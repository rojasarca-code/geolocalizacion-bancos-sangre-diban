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S I A" sheetId="1" r:id="rId4"/>
    <sheet state="visible" name="BS I B" sheetId="2" r:id="rId5"/>
    <sheet state="visible" name="BS I C" sheetId="3" r:id="rId6"/>
    <sheet state="visible" name="BS II" sheetId="4" r:id="rId7"/>
    <sheet state="visible" name="BS III" sheetId="5" r:id="rId8"/>
    <sheet state="visible" name="SEGUIMIENTO RENIPRESS-SUSPENSIO" sheetId="6" r:id="rId9"/>
    <sheet state="visible" name="CORREO AREA LEGAL" sheetId="7" r:id="rId10"/>
    <sheet state="visible" name="AUTOMATICO" sheetId="8" r:id="rId11"/>
    <sheet state="visible" name="DATOS BANCOS TIPO II" sheetId="9" r:id="rId12"/>
    <sheet state="visible" name="CONVENIOS" sheetId="10" r:id="rId13"/>
    <sheet state="visible" name="COMITE TRANSFUSIONAL" sheetId="11" r:id="rId14"/>
  </sheets>
  <definedNames>
    <definedName hidden="1" localSheetId="5" name="_xlnm._FilterDatabase">'SEGUIMIENTO RENIPRESS-SUSPENSIO'!$A$3:$M$59</definedName>
    <definedName hidden="1" localSheetId="9" name="_xlnm._FilterDatabase">CONVENIOS!$A$4:$Z$154</definedName>
  </definedNames>
  <calcPr/>
  <extLst>
    <ext uri="GoogleSheetsCustomDataVersion2">
      <go:sheetsCustomData xmlns:go="http://customooxmlschemas.google.com/" r:id="rId15" roundtripDataChecksum="sPCLVI3anLn4pIf3hNTIaf6kvfXWWPuybnpIkqUo0ms="/>
    </ext>
  </extLst>
</workbook>
</file>

<file path=xl/sharedStrings.xml><?xml version="1.0" encoding="utf-8"?>
<sst xmlns="http://schemas.openxmlformats.org/spreadsheetml/2006/main" count="11690" uniqueCount="6006">
  <si>
    <t xml:space="preserve"> </t>
  </si>
  <si>
    <t>angamos</t>
  </si>
  <si>
    <t>F</t>
  </si>
  <si>
    <t>BANCO DE SANGRE TIPO I C</t>
  </si>
  <si>
    <t>BANCO DE SANGRE TIPO II</t>
  </si>
  <si>
    <t>N°</t>
  </si>
  <si>
    <t>N° DE INSCRIPCIÓN</t>
  </si>
  <si>
    <t>ACTO RESOLUTIVO</t>
  </si>
  <si>
    <t xml:space="preserve"> FECHA (DIA/MES/AÑO)</t>
  </si>
  <si>
    <t>FECHA DE PUBLICACION RD</t>
  </si>
  <si>
    <t>RENIPRESS</t>
  </si>
  <si>
    <t xml:space="preserve">ACTO RESOLUTIVO </t>
  </si>
  <si>
    <t>CATEGORIA</t>
  </si>
  <si>
    <t>DIRIS/DIRESA</t>
  </si>
  <si>
    <t>IPRESS</t>
  </si>
  <si>
    <t>DISTRITO</t>
  </si>
  <si>
    <t>PROVINCIA</t>
  </si>
  <si>
    <t>REGION</t>
  </si>
  <si>
    <t>SUBSECTOR</t>
  </si>
  <si>
    <t>DIRECTOR</t>
  </si>
  <si>
    <t>CONTACTO</t>
  </si>
  <si>
    <t>JEFE DE BANCO DE SANGRE</t>
  </si>
  <si>
    <t>PERSONAL</t>
  </si>
  <si>
    <t>DIRECCIÓN</t>
  </si>
  <si>
    <t>Patólogo Clínico</t>
  </si>
  <si>
    <t>SUB SECTOR</t>
  </si>
  <si>
    <t>Otra Especial</t>
  </si>
  <si>
    <t>T.M.</t>
  </si>
  <si>
    <t>BANCO DE SANGRE TIPO I B</t>
  </si>
  <si>
    <t>Biól.</t>
  </si>
  <si>
    <t>N° EXPEDIENTE</t>
  </si>
  <si>
    <t>CONVENIO</t>
  </si>
  <si>
    <t>PRIVADO</t>
  </si>
  <si>
    <t>CAMBIOS EN PERSONAL, INFRAESTRUCTURA, EQUIPAMIENTO, ETC</t>
  </si>
  <si>
    <t>PER-BSII150130-001</t>
  </si>
  <si>
    <t>R.D. N° 001-2022 DIGDOT/MINSA</t>
  </si>
  <si>
    <t xml:space="preserve">
MINSA        5
ESSALUD        3
FFAA        0</t>
  </si>
  <si>
    <t>-</t>
  </si>
  <si>
    <t xml:space="preserve"> FECHA DE RD (DIA/MES/AÑO)</t>
  </si>
  <si>
    <t>DIRESA/GERESA</t>
  </si>
  <si>
    <t>PER-BSIC150122-001</t>
  </si>
  <si>
    <t>R.D. N° 006-2023 DIGDOT/MINSA</t>
  </si>
  <si>
    <t>III-2</t>
  </si>
  <si>
    <t>DIRIS LIMA CENTRO</t>
  </si>
  <si>
    <t>INSTITUTO NACIONAL DE SALUD DEL NIÑO SAN BORJA</t>
  </si>
  <si>
    <t xml:space="preserve">Patólogo Clínico </t>
  </si>
  <si>
    <t>SAN BORJA</t>
  </si>
  <si>
    <t>LIMA</t>
  </si>
  <si>
    <t>Personal</t>
  </si>
  <si>
    <t>CALLE AGUSTÍN DE LA ROSA TORA N° 1399 URB. JACARANDÁ II</t>
  </si>
  <si>
    <t>MINSA</t>
  </si>
  <si>
    <t>DRA. ZULEMA TOMAS GONZALES</t>
  </si>
  <si>
    <t>Otras Especial</t>
  </si>
  <si>
    <t>DR. JOE AVENDAÑO DOMINGUEZ</t>
  </si>
  <si>
    <t>Biol.</t>
  </si>
  <si>
    <t>Cel: 966003247, Cel:940427294, Correo: javendaño@insnsb.gob.pe, joeli.adx@gmail.com</t>
  </si>
  <si>
    <t>N° EXPEDIENTES</t>
  </si>
  <si>
    <t>Médico Patólogo Clínico Joe Eli Avendaño Domínguez, Médico Patólogo Clínico Juan Carlos Peñaranda Salazar, Médica Patóloga Clínica Patricia García López, Médica Patóloga Clínica Milagros Isabel Saénz Becerra, Médica Patóloga Clínica Gabriela Susana Mallma Rosales, Médico Patólogo Clínico Paulo César Salas Bravo, Médica Patóloga Clínica Janet Marcelina Quispe Quispe, T.M. Merlina Doilyth Domínguez Cachique, T.M. Lissett Karina Velásquez Cueto, T.M. Lucía Julissa De La Cruz Palomino, T.M. Mayra Paulina Estrada Muñoz, T.M. Nely Margarita Gutiérres Otiniano, T.M. Charles Carhuamanca Campian, T.M. Lucas Grados Lissette Isabel, T.M. José Manuel Alejandro Llosa Neyra, T.M. Ada Curahua Ortega, T.M. Rosa Milagros Sánchez Pérez, T.M. Johanna Aracelli Zuñiga, T.M. José Luis Reyes Rojas, T.M. José Félix Graza Figueroa, T.M. Sergio Efraín Arias Quispe, T.M. Velia Violeta Roldán Mayorca , T.M. Eduardo Daniel Peláez Dávila, T.M. Jenny Salas Landa</t>
  </si>
  <si>
    <t>2022-0052741</t>
  </si>
  <si>
    <t>MODIFICACIÓN EN RECURSOS HUMANOS, INFRAESTRUCTURA, EQUIPAMIENTO, CONVENIOS, ETC.</t>
  </si>
  <si>
    <t>PER-BSIB131001-001</t>
  </si>
  <si>
    <t>POR REGULARIZAR</t>
  </si>
  <si>
    <t>R.D. N° 008-2022 DIGDOT/MINSA</t>
  </si>
  <si>
    <t>II-2</t>
  </si>
  <si>
    <t>ESSALUD-HOSPITAL III SUAREZ ANGAMOS</t>
  </si>
  <si>
    <t>PER-BSIA150114-001</t>
  </si>
  <si>
    <t>R.D. N° 002-2022 DIGDOT/MINSA</t>
  </si>
  <si>
    <t>MIRAFLORES</t>
  </si>
  <si>
    <t>AV ANGAMOS ESTE N°261</t>
  </si>
  <si>
    <t>ESSALUD</t>
  </si>
  <si>
    <t xml:space="preserve">II-E </t>
  </si>
  <si>
    <t>DR.FAUSTO ANIBAL VILLAVICENCIO SILVA</t>
  </si>
  <si>
    <t>980234828 / fausto.villavicencio@essalud.gob.pe</t>
  </si>
  <si>
    <t>DRA KATTIA ANAHI RIVERO VILLEGAS</t>
  </si>
  <si>
    <t>DRA ROCIO ALVAREZ MATAMOROS, DRA MARIZA RAMOS GARCIA, LIC ANALIA MERCEDES CORREA SANTILLAN, LIC ERIKA ROJAS MONZON, LIC MANSUETO CAJALEON LLANOS,  LIC JOHN ANTONIO COLQUI REINOSO, LIC MARTHA CALDERON LOZANO, LIC ROSA GOMERO BLAS, LIC ERIKA LARA PACHERRES, LIC GLADYS QUISPE PALMA, LIC LIZ ALVARADO PEZO</t>
  </si>
  <si>
    <t>2022-0112748 - 022-0114514</t>
  </si>
  <si>
    <t>DIRIS LIMA ESTE</t>
  </si>
  <si>
    <t>CLÍNICA SANTA JULIA</t>
  </si>
  <si>
    <t>PER-BSII150101-002</t>
  </si>
  <si>
    <t>LA MOLINA</t>
  </si>
  <si>
    <t>R.D. N° 014-2022-DIGDOT/MINSA</t>
  </si>
  <si>
    <t>AV. JAVIER PRADO N° 7118</t>
  </si>
  <si>
    <t>Dr. OSCAR ALBERTO ALVARADO GALINDO</t>
  </si>
  <si>
    <t>oscaralvarado44@yahoo.es</t>
  </si>
  <si>
    <t>II-1</t>
  </si>
  <si>
    <t>GERESA LA LIBERTAD</t>
  </si>
  <si>
    <t>HOSPITAL CESAR VALLEJO MENDOZA</t>
  </si>
  <si>
    <t>SANTIAGO DE CHUCO</t>
  </si>
  <si>
    <t>LA LIBERTAD</t>
  </si>
  <si>
    <t>CALLE MARISCAL CÁCERES N° 1145</t>
  </si>
  <si>
    <t>PER-BSIC150101-002</t>
  </si>
  <si>
    <t>R.D. N° 045-2023 DIGDOT/MINSA</t>
  </si>
  <si>
    <t>DR JORGE CABALLERO</t>
  </si>
  <si>
    <t>jacrmed@hotmail.com</t>
  </si>
  <si>
    <t>INSTITUTO NACIONAL MATERNO PERINATAL</t>
  </si>
  <si>
    <t>Dra. CARLA PATRICIA RODRIGUEZ PALOMINO</t>
  </si>
  <si>
    <t>T.M. Heiner Vásquez Idrogo, T.M. Solange Thalía Ramos Córdova, T.M. Carlos Fernando Jimenez Ramos, Bióloga Katherine Liliana Zapata Cabañas</t>
  </si>
  <si>
    <t>JR. Santa Rosa 941</t>
  </si>
  <si>
    <t>M.C. FÉLIX DASIO AYALA PERALTA</t>
  </si>
  <si>
    <t>N° 2022-0046422, N° 2022-0068637</t>
  </si>
  <si>
    <t>direcciongeneral@iemp.gob.pe / fayala@iemp.gob.pe</t>
  </si>
  <si>
    <t>DR. MIGUEL PAREDES ASPILCUETA</t>
  </si>
  <si>
    <t>CEL: 947102006 / 950101796</t>
  </si>
  <si>
    <t>Medico Patologo Miguel Paredes Aspilcueta, Tecnóloga Médica: Clelia Delfina Hermoza Zarate, Tecnólogo Médico: Miguel A. Vásquez Mendoza, Tecnóloga Médico: Liviac Espinoza Nancy P.</t>
  </si>
  <si>
    <t>SEGURO SOCIAL DE SALUD-HOSPITAL DE EMERGENCIAS GRAU</t>
  </si>
  <si>
    <t>2022-0070823</t>
  </si>
  <si>
    <t>PER-BSIB150131-002</t>
  </si>
  <si>
    <t>R.D. N° 010-2022 DIGDOT/MINSA</t>
  </si>
  <si>
    <t>AV GRAU N°351</t>
  </si>
  <si>
    <t>M.C. HUMBERTO DELFÍN VÁSQUEZ CUBAS</t>
  </si>
  <si>
    <t>humberto.vasquez@essalud.gob.pe</t>
  </si>
  <si>
    <t>PATÓLOGA CLÍNICA ZULEMA BERRIOS FUENTES</t>
  </si>
  <si>
    <t>Médico Patólogo Clínico Reynaldo Giovanni Estela Ramírez</t>
  </si>
  <si>
    <t>T.M MANRIQUE PEREZ ELIO, T.M. DIANA ARELLANO GAMARRA, T.M. EVA ESTRELLA SURICHAQUI, T.M. DALIA ARIAS HUAPAYA, T.M. JOSE ARMANDO SURCO ROCA, T.M. GLORIA ROBERTA OROPEZA RAMIREZ</t>
  </si>
  <si>
    <t>Cel: 996228972  correo: Reyesra98@yahoo.com</t>
  </si>
  <si>
    <t>Médico Patólogo Clínico Reynaldo Giovanni Estela Ramírez, T.M. Santos Juan Auqui Sulca, T.M. Jorge Antonio Vásquez Epequin</t>
  </si>
  <si>
    <t>2023-0013071, 2023-0017818, 2023-0026686</t>
  </si>
  <si>
    <t>N° 2022-0042252, N° 2022-0048706</t>
  </si>
  <si>
    <t>PER-BSII40101-003</t>
  </si>
  <si>
    <t>R.D. N° 017-2022 DIGDOT/MINSA</t>
  </si>
  <si>
    <t>PROMOTORA ASISTENCIAL S.A.C CLÍNICA LIMATAMBO</t>
  </si>
  <si>
    <t>PER-BSIC130101-003</t>
  </si>
  <si>
    <t>R.D. N° 055-2023 DIGDOT/MINSA</t>
  </si>
  <si>
    <t>III-1</t>
  </si>
  <si>
    <t xml:space="preserve">HOSPITAL VICTOR LAZARTE ECHEGARAY </t>
  </si>
  <si>
    <t>TRUJILLO</t>
  </si>
  <si>
    <t>SAN ISIDRO</t>
  </si>
  <si>
    <t>PROLONGACIÓN UNIÓN N°1350</t>
  </si>
  <si>
    <t>AVENIDA REPUBLICA DE PANAMA N° 3606</t>
  </si>
  <si>
    <t>CARLOS EDUARDO ESQUERRE AGUIRRE</t>
  </si>
  <si>
    <t>PER-BSIA150117-002</t>
  </si>
  <si>
    <t>carlos.espequerre@essalud.gob.pe</t>
  </si>
  <si>
    <t>DR. EDGARDO BERTILO MALPARTIDA FANTINI (GG) DR. DANIEL MONTESINOS AVILA (DM)</t>
  </si>
  <si>
    <t>DRA. LUZ EMILIA ESTRADA CORTEZ</t>
  </si>
  <si>
    <t>(01) 617-1111   jsalazar@clinicalimatambo.com</t>
  </si>
  <si>
    <t>R.D. N° 003-2022 DIGDOT/MINSA</t>
  </si>
  <si>
    <t>MÉDICA PATÓLOGA CLÍNICA TEOFILA CARMEN ESTACIO ROJAS</t>
  </si>
  <si>
    <t>Médica Patóloga Clínica Patriciia Contreras Vera, T.M. Jackelin Mejia Bardales, T.M. Yeni Roldan Arteaga, T.M. Rocio del Pilar Ruiz Sanchez, T.M. Cesar Larrea Rodriguez, T.M. Luis Boza Valverde</t>
  </si>
  <si>
    <t>Cel: 999 667 910 Correo: estaciolab@hotmail.com</t>
  </si>
  <si>
    <t>Dra. Teófila Carmen Estacio Rojas - Médico Patólogo Clínico, Tecnóloga Médica: Jessica Aima Huallpa, Tecnólogo Médico: Edward Paul Cayetano Méndez, Tecnólogo Médico: Christopher Toledo Gamonal</t>
  </si>
  <si>
    <t>GERESA AREQUIPA</t>
  </si>
  <si>
    <t>INSTITUTO REGIONAL DE ENFERMEDADES NEOPLASICAS DEL SUR - IREN SUR</t>
  </si>
  <si>
    <t>AREQUIPA</t>
  </si>
  <si>
    <t>2023-0010906 / 2023-0020464</t>
  </si>
  <si>
    <t>N° 2022-0075013, N° 2022-0084531</t>
  </si>
  <si>
    <t>AVENIDA DE LA SALUD S/N</t>
  </si>
  <si>
    <t>FFAA</t>
  </si>
  <si>
    <t>HOSPITAL SANTA ROSA</t>
  </si>
  <si>
    <t>M.C. JESUS ALBERTO RIVERA JOVE</t>
  </si>
  <si>
    <t>gerencia@irensur.gob.pe</t>
  </si>
  <si>
    <t>DR. FREDY AGUILAR PUMA</t>
  </si>
  <si>
    <t xml:space="preserve">Cel: 968081135 </t>
  </si>
  <si>
    <t>Medico Patologo Fredy Aguilar Puma, Blg Laura Quispe Marcelina, Blg Martinez Rodríguez Alexader, Blg David Rosas Wilber, Blg Parada Jara Carmen, Blg Quispe Ayme Helcy, TM Mamani Cota William, TM Ortiz Astorga Obdulia</t>
  </si>
  <si>
    <t>DIRIS LIMA NORTE</t>
  </si>
  <si>
    <t>2022-0080662 / 2022-0092846</t>
  </si>
  <si>
    <t>CLÍNICA MUNDO SALUD</t>
  </si>
  <si>
    <t>LOS OLIVOS</t>
  </si>
  <si>
    <t>AV. CARLOS IZAGUIRRE N° 1234</t>
  </si>
  <si>
    <t>Dra. MONICA BEATRIZ ALFONSO SALAS</t>
  </si>
  <si>
    <t>PER-BSIC150130-005</t>
  </si>
  <si>
    <t>Cel: 989011384 - 942474041</t>
  </si>
  <si>
    <t>R.D. N° 068-2023 DIGDOT/MINSA</t>
  </si>
  <si>
    <t>Médico Patólogo Clínico Wilder Eduardo Ramos Castillo</t>
  </si>
  <si>
    <t>Cel: 971500688 correo: willy.erc2308@gmail.com</t>
  </si>
  <si>
    <t>TM. Roxana Valer Vilcahuaman, TM. Miriam Loayza Yasonna, TM Milena Chavez</t>
  </si>
  <si>
    <t>PER-BSIB120301-003</t>
  </si>
  <si>
    <t>R.D. N° 015-2022 DIGDOT/MINSA</t>
  </si>
  <si>
    <t>N° 2022-0040639, N° DIGDOT20220000376</t>
  </si>
  <si>
    <t>comunica horario de atencion de 8am a 8pm</t>
  </si>
  <si>
    <t>PER-BSII150140-004</t>
  </si>
  <si>
    <t>II-E</t>
  </si>
  <si>
    <t>R.D. N° 023-2022 DIGDOT/MINSA</t>
  </si>
  <si>
    <t>DIRIS LIMA SUR</t>
  </si>
  <si>
    <t>DIRESA JUNIN</t>
  </si>
  <si>
    <t>CONGREGACION HIJAS DE SAN CAMILO - CLINICA PADRE LUIS TEZZA</t>
  </si>
  <si>
    <t>HOSPITAL SELVA CENTRAL Y ENFERMEDADES TROPICALES "HUGO PESCE PESCETTO"</t>
  </si>
  <si>
    <t>SANTIAGO DE SURCO</t>
  </si>
  <si>
    <t>CHANCHAMAYO</t>
  </si>
  <si>
    <t>CLINICA ONCOSALUD  (RECTIFICACION ADRIAN)</t>
  </si>
  <si>
    <t>JUNIN</t>
  </si>
  <si>
    <t>AV. EL POLO  N° 570</t>
  </si>
  <si>
    <t>JR. LOS CAUCHOS N° 223-271 Y JR. LOS ROBLES N° 527</t>
  </si>
  <si>
    <t>M.C. MANUEL CORDOVA POGGI</t>
  </si>
  <si>
    <t>DR. JULIO AZAÑA MUÑOZ</t>
  </si>
  <si>
    <t>julio.azana@essalud.gob.pe, gina.daniran@essalud.gob.pe</t>
  </si>
  <si>
    <r>
      <rPr>
        <rFont val="Calibri"/>
        <color rgb="FF000000"/>
        <sz val="11.0"/>
      </rPr>
      <t>direcciónmedica@clinica</t>
    </r>
    <r>
      <rPr>
        <rFont val="Calibri"/>
        <color rgb="FF1155CC"/>
        <sz val="11.0"/>
        <u/>
      </rPr>
      <t>tezza.com.pe</t>
    </r>
  </si>
  <si>
    <t>AV. GUARDIA CIVIL N° 585</t>
  </si>
  <si>
    <t>Frank Young Tabusso</t>
  </si>
  <si>
    <t>fyounq@auna.pe</t>
  </si>
  <si>
    <t>Dra. Zahina Rocio Pineda Sánchez</t>
  </si>
  <si>
    <t xml:space="preserve">-Tecnólogo Medico: Efraín Gómez Soto, -Tecnólogo Medico: Juan Carlos Vergaray Enríquez. -Tecnólogo Medico: Javier García Saavedra. -Tecnólogo Medico: Eduardo Peláez Davila. -Tecnólogo Medico: Eulogio Caceres Leguia. -Tecnólogo Medico: Patricia Saenz Montoya. TM. Juan Alessandro Moreno Angulo </t>
  </si>
  <si>
    <t>MÉDICO PATÓLOGO CLÍNICO MARIO LINARES SULLCA</t>
  </si>
  <si>
    <t>2023-0020826 / 2023-0028071</t>
  </si>
  <si>
    <t xml:space="preserve">Cel: 943933977; mariolinares@gmail.com </t>
  </si>
  <si>
    <t>Médico Patólogo Clínico Mario Linares Sullca, T.M. Arias González Paul Eduardo, T.M. Paolo Félix Sedano Guerrero, T.M. Jaqueline Bellissa Cóndor Romero</t>
  </si>
  <si>
    <t>APP</t>
  </si>
  <si>
    <t>DRA CINTHIA PAULINA TACSA PASCUAL (Dra. Stefanie Coletti temporal 09/06/26)</t>
  </si>
  <si>
    <t>N° 2022-0063224, N° DIGDOT20220000469</t>
  </si>
  <si>
    <t>PER-BSIA150130-003</t>
  </si>
  <si>
    <t>R.D. N° 004-2022 DIGDOT/MINSA                                       R.D. N.° 016-2025-DIGDOT-MINSA</t>
  </si>
  <si>
    <t>9/11/2022                        28/02/2025</t>
  </si>
  <si>
    <t>14/12/2022
28/02/2025</t>
  </si>
  <si>
    <t>PER-BSIC110201-006</t>
  </si>
  <si>
    <t>R.D. N° 085-2023 DIGDOT/MINSA</t>
  </si>
  <si>
    <t>Médicos Patologos Rene Cárdenas Morales, André Castro Rosado</t>
  </si>
  <si>
    <t>DIRESA ICA</t>
  </si>
  <si>
    <t>DIRECCIÓN REGIONAL DE SALUD ICA-HOSPITAL SAN JOSÉ DE CHINCHA</t>
  </si>
  <si>
    <t>CHINCHA ALTA</t>
  </si>
  <si>
    <t>PER-BSIB1171-004</t>
  </si>
  <si>
    <t>CHNCHA</t>
  </si>
  <si>
    <t>ICA</t>
  </si>
  <si>
    <t>2022-0083566 / 2022-0091220 / 2022-0101946</t>
  </si>
  <si>
    <t>AV. ABELARDO ALVA MAURTUA N°600</t>
  </si>
  <si>
    <t>CLÍNICA PROVIDENCIA, CLINICA SAN JUAN DE DIOS, CLINICA PAULISTA, CLINICA ZEGARRA, CLINICA CHORRILLOS, Hospital Barton Callao, Clinica San Marcos, Clinica Risso, Clinica San Clemente, Clinica La Familia, Congregacion hijas de san caminlo, Clinica Campbell, CLINICA ZEGARRA, Monte Sinai, Integra quirurgica</t>
  </si>
  <si>
    <t>EDILBERTO VILCA ROJAS</t>
  </si>
  <si>
    <t xml:space="preserve">Mediante Carte N° 042-DM-CPLT-2024, de fecha 16 de agosto de 2024, el Director Médico de la Clínica Padre Luis Tezza comunica la designación de la Médica Patóloga Clínica CINTHIA PAULINA TACSA PASCUAL como Jefe del Banco de Sangre tipo II                                                                                                                 Mediante Carte N° 015-DM-CPLT-2024, de fecha 01 de mayo de 2024, el Director Médico de la Clínica Padre Luis Tezza comunica la designación de la Médica Patóloga Clínica Puente Portocarrero Lilian Milagros como Jefe del Banco de Sangre tipo II                                                                                                 </t>
  </si>
  <si>
    <t>tramite.documentario@hsjch.gob.pe</t>
  </si>
  <si>
    <t>PATÓLOGA CLÍNICA OLGA TUCTO LÓPEZ</t>
  </si>
  <si>
    <t>CLÍNICA INSTITUTO ONCOLÓGICO PERUANO S.A.C. (SUSPENSION DEFINITIVA)</t>
  </si>
  <si>
    <t>T.M. JULIO ALEJANDRO CANTO YAURICASA, T.M. CARLOS ALBERTO AQUIJE MENDOZA, T.M. CHRISTIAN CERVANTES PEREZ, T.M. DIANA SUCAPUCA RAMIREZ, T.M. KAREN CISNEROS MORALES</t>
  </si>
  <si>
    <t>N°2023-0026076, N°2023-0036794</t>
  </si>
  <si>
    <t>PNP</t>
  </si>
  <si>
    <t>JR. EDUARDO ORDOÑEZ N° 215</t>
  </si>
  <si>
    <t>R.D. N° 020-2022 DIGDOT/MINSA</t>
  </si>
  <si>
    <t>PER-BSII150103-005</t>
  </si>
  <si>
    <t>Dr. GERARDO JIMMY CAMPOS SICCHA</t>
  </si>
  <si>
    <t>R.D. N° 005-2023 DIGDOT/MINSA</t>
  </si>
  <si>
    <t>Cel: 993061742</t>
  </si>
  <si>
    <t>Médico especialista en Patología y Laboratorio Clínico Cesar Augusto Chian García</t>
  </si>
  <si>
    <t>Cel: 990380377 correo: cesar.chian@upch.pe</t>
  </si>
  <si>
    <t>PER-BSIC70101-007</t>
  </si>
  <si>
    <t>Médico en Patología y Lab. Clínico Cesar Augusto Chian García, Médico Hematóloga Melissa Caterina Morales Coloma, T.M. Rosa Elena Chumpitaz Arias, T.M. Ángel Satoshi Villegas Pérez, T.M. Jaime Eberto Carrión Basauri, Téc. Lab. Víctor Miguel Vásquez Robles</t>
  </si>
  <si>
    <t>R.D. N° 124-2023 DIGDOT/MINSA</t>
  </si>
  <si>
    <t>HOSPITAL TOMAS LA FORA</t>
  </si>
  <si>
    <t>N° 2022-0051539, N° 2022-0039799</t>
  </si>
  <si>
    <t>DIRESA CALLAO</t>
  </si>
  <si>
    <t>Razón social Callao Salud S.A.C. y nombre comercial Hospital Alberto Leonardo Barton Thompson</t>
  </si>
  <si>
    <t>GUADALUPE</t>
  </si>
  <si>
    <t>PACASMAYO</t>
  </si>
  <si>
    <t>JR AYACUCHO N° 251</t>
  </si>
  <si>
    <t>CALLAO</t>
  </si>
  <si>
    <t>Av. Argentina N°3525</t>
  </si>
  <si>
    <t>ELSA CLARA LA TORRE CRUZ</t>
  </si>
  <si>
    <t>HOSPITAL EMERGENCIA ATE VITARTE (FALTA RD DE BAJA)</t>
  </si>
  <si>
    <t>elsa_claral@yahoo.es</t>
  </si>
  <si>
    <t>ATE VITARTE</t>
  </si>
  <si>
    <t>DRA. RAQUEL MEDINA CASTILLO (DIRECTOR MEDICO)</t>
  </si>
  <si>
    <t>MC. JULIO CESAR RODRIGUEZ CRUZ</t>
  </si>
  <si>
    <t>raquelmed97@gmail.com / 987520618</t>
  </si>
  <si>
    <t>Cel:955371669</t>
  </si>
  <si>
    <t>GIOVANNA ROCÍO VIVES RIVERO</t>
  </si>
  <si>
    <t>MC. JULIO CESAR RAMIREZ CRUZ, Tecnólogo Médico: Genaro Tomas Gálvez Abanto, Tecnólogo Medico: Edy Alcides Alvarado Chomba, Tecnólogo Medico : Marcela Quiroz Casos</t>
  </si>
  <si>
    <t>946518303   giovi.rvr@gmail.com</t>
  </si>
  <si>
    <t>AV. JOSÉ CARLOS MARIÁTEGUI 364</t>
  </si>
  <si>
    <t>Calidad: Christian Miguel Rivera Castillo, TM: 1. José Luis Cruz Villar 2.Melissa Joseline Iparraguirre Huiza 3.Yanet Centeno Aguirre 4. Sandra Soledad Villanueva Quispe5.Juan Gabriel Orellana Orizano 6.Jackelyne Ivette Cullas Musayon 7.Ginger Liliana Villachica Risco 8.Shirley Melody Enciso Nolasco 9.Vianca Lizandra Cardenas Huatuco 10.Diana Patricia Almeyda Carbajal. TEC. LAB: 1.Kiara Andrea Shepherd Vargas2.Paolo Edu M. Calixto Bujaico3.Santisteban Soto German Josue4.Reynaldo Campos Tapia 5.Cindy Fabiola Torres Raymondi6.Yarifi Yunis Nieto 7.Nery Laura Dueñas Ochavano</t>
  </si>
  <si>
    <t>M.C. ELIO F. ROCAFUERTE DIAZ</t>
  </si>
  <si>
    <t>N° 2022-2022-0093906</t>
  </si>
  <si>
    <t>M.C. FEDERICO YAÑEZ ROJAS</t>
  </si>
  <si>
    <t>913290580 / fyanez@heav.gob.pe</t>
  </si>
  <si>
    <t>N°2023-0102300, N°2023-0116713, N°2023-0119886</t>
  </si>
  <si>
    <t>MÉDICOS PATÓLOGOS: LUIS PALMA GARCIA, KATIA ZUÑIGA GOMEZ, PAULO POMA GABINO, CLEIDERMAN  CHUQUIN SALAS, JHOSSELYM LEON CARLOS, ROCIO PERALTA CAPARACHIN, MELISSA CCASANI BARRIOS, JANET AQUINO ALMENDRE, JOHANA CUEVAS CONDOR, ANDREA CONDOR PACHECO, CAROLINA OLGUIN AMADO, MARIELLA HERNANDEZ ARANA</t>
  </si>
  <si>
    <t>RS: VILLA MARÍA DEL TRIUNFO S.A.C. NC: GUILLERMO KAELIN DE LA FUENTE / CLINICA TEZZA / CLINICA SAN BORJA SANNA</t>
  </si>
  <si>
    <t>2023-0000631</t>
  </si>
  <si>
    <t>PER-BSIC130107-008</t>
  </si>
  <si>
    <t>R.D. N° 147-2023 DIGDOT/MINSA</t>
  </si>
  <si>
    <t>PER-BSIB150131-005</t>
  </si>
  <si>
    <t>R.D. N° 003-2023 DIGDOT/MINSA</t>
  </si>
  <si>
    <t>DIRESA LA LIBERTAD</t>
  </si>
  <si>
    <t>IPRESS Instituto Regional de Enfermedades Neoplásicas “Dr. Luis Pinillos Ganoza” - IREN NORTE (DAR DE BAJA RD)</t>
  </si>
  <si>
    <t>PER-BSII140101-006</t>
  </si>
  <si>
    <t>R.D. N° 020-2023 DIGDOT/MINSA</t>
  </si>
  <si>
    <t>SISTEMAS DE ADMINISTRACIÓN HOSPITALARIA S.A.C.- SANNA CLÍNICA EL GOLF</t>
  </si>
  <si>
    <t>MOCHE</t>
  </si>
  <si>
    <t>GERESA LAMBAYEQUE</t>
  </si>
  <si>
    <t>Carretera Panamericana Norte KM 558</t>
  </si>
  <si>
    <t>HOSPITAL NACIONAL ALMANZOR AGUINAGA ASENJO – ESSALUD</t>
  </si>
  <si>
    <t>AV. AURELIO MIRO QUESADA N° 1030</t>
  </si>
  <si>
    <t>CHICLAYO</t>
  </si>
  <si>
    <t>MANUEL ALIPIO CEDANO GUADIAMOS</t>
  </si>
  <si>
    <t>manuelcig@hotmail.com</t>
  </si>
  <si>
    <t>DR. LUIS TRUJILLO POMIANO</t>
  </si>
  <si>
    <t>LAMBAYEQUE</t>
  </si>
  <si>
    <t>PLAZA DE LA SEGURIDAD SOCIAL S/N</t>
  </si>
  <si>
    <t>DR GIANCARLO DEMICHELLI ARIAS</t>
  </si>
  <si>
    <t>PER-BSIA040129-004</t>
  </si>
  <si>
    <t xml:space="preserve">DR. JAMES VALERA SAAVEDRA </t>
  </si>
  <si>
    <t>R.D. N° 005-2022 DIGDOT/MINSA</t>
  </si>
  <si>
    <t>ABRAHAM BURGA GHERSI</t>
  </si>
  <si>
    <t>968 833 443</t>
  </si>
  <si>
    <t>abraham.burga@essalud.gob.pe</t>
  </si>
  <si>
    <t>TM EDUARDO GUERRA PACHAMANGO, TM NOEMI GARCIA TELLO, TM ELIZABETH CHILCON NOLASCO, TM CARLOS REBAZA ESQUEN, TM IRMA ORBEGOSO AMAYA, TM CARMEN CASTAÑEDA FLORES,TM CARLOS CASTILLO LEON, TM SOLEDAD AZAÑERO SANCHEZ</t>
  </si>
  <si>
    <t xml:space="preserve">DRA. ANA CECILIA ZEVALLOS GONZALES </t>
  </si>
  <si>
    <t>Medico Patologo clinico: Olga Margarita Lopez Odría;  Tecnologos Medicos: María Elena del Carmen Mostacero Castillo, Vania Paloma Laguna Paz, Luani Nair Linares Masson, Hime Joel Granda García, Edson Jan Carlo Abanto Izquierdo ,Yohana Maricela Cienfuegos Mellado , Jonathan Velásquez Cuba, Ana María Rodríguez Apolo, Jhan Francis Canales Loayza, Carlos Ernesto Escala Soto</t>
  </si>
  <si>
    <t>CEL: 947950940</t>
  </si>
  <si>
    <t>Tecnólogo Médico: Hernán Alfonso García Neyra, Tecnólogo Médico: Jhonatan Grins Lozano Pérez, Tecnólogo Médico: Neli Victoria Cavero Silva, Tecnólogo Médico: Erixson Nixon Vergara Sánchez, Tecnólogo Médico: Adita Amalia Hernández Centurión, Tecnólogo Médico: Yeni Alcántara Suárez, Tecnólogo Médico: Kely Mendoza Vásquez, Tecnólogo Médico: Daniela Jannet Niño Purisaca, Tecnólogo Médico: Sylvia Beatriz Chiroque Olivos, Tecnólogo Médico: Mónica Patricia Fernández Saldarriaga , Tecnólogo Médico: Edgardo Fabián Carrasco Llatas, Tecnólogo Médico: Roxana Jakelene Asenjo Quispe, Tecnólogo Médico: Carlos Enrique Farfán Gonzales, Tecnólogo Médico: Vilma Sandoval Rodríguez , Biólogo: Ana María Garma Samillán, Técnico de Laboratorio: Nicanor Gonzalo Puicón Velásquez, Técnica de Laboratorio: Catherine Stefany Cantos Puicón, Técnica de Laboratorio: Doris Elena Ríos Vílchez, Técnica de Laboratorio: Junior Germán Santamaria Otero, Técnica de Laboratorio: Patricia Liliana Temoche Orellano, Técnica de Laboratorio: Gustavo Alan Castro Torres, Técnica de Laboratorio: Diana Ysabel Tocas Quispe, Técnica de Laboratorio: Dora Luz Balladares Moreno</t>
  </si>
  <si>
    <t>N° 2023-0149464, 2023-0138287, 2023-0146690</t>
  </si>
  <si>
    <t>N° 2022-0096406 , 2022-0104934 y 2022-0113634</t>
  </si>
  <si>
    <t>CLINICA SAN BORJA SANNA</t>
  </si>
  <si>
    <t>CLÍNICA UROSUR</t>
  </si>
  <si>
    <t>JOSÉ LUIS BUSTAMANTE Y RIVERO</t>
  </si>
  <si>
    <t>2022-0111930 / 2023-0009884 / 2023-0012813</t>
  </si>
  <si>
    <t>PER-BSIC220101-009</t>
  </si>
  <si>
    <t>R.D. N° 201-2023 DIGDOT/MINSA</t>
  </si>
  <si>
    <t>URN. LA ESPERANZA E-6</t>
  </si>
  <si>
    <t>Dra. ROXANA PONCE QUISPE</t>
  </si>
  <si>
    <t>054 - 423738</t>
  </si>
  <si>
    <t>Médica Patóloga Clínica Gleidy Mallma Vilca</t>
  </si>
  <si>
    <t>Cel: 974218956 correo: gleidy432@gmail.com</t>
  </si>
  <si>
    <t>PER-BSIB150101-006</t>
  </si>
  <si>
    <t>PER-BSII150142-007</t>
  </si>
  <si>
    <t>Médica Patóloga Clínica Gleidy Mallma Vilca, T.M. Milagros Del Rosario Chávez, T.M. Obdulia Jenne Ortiz Astorga, Bióloga Erika Gladiz Ninahuaman Aracayo</t>
  </si>
  <si>
    <t>R.D. N° 012-2023 DIGDOT/MINSA</t>
  </si>
  <si>
    <t>R.D. N° 037-2023 DIGDOT/MINSA</t>
  </si>
  <si>
    <t>N°2022-00406329</t>
  </si>
  <si>
    <t>HOSPITAL DE EMERGENCIAS VILLA EL SALVADOR</t>
  </si>
  <si>
    <t>DIRESA SAN MARTIN</t>
  </si>
  <si>
    <t>VILLA EL SALVADOR</t>
  </si>
  <si>
    <t>HOSPITAL MOYOBAMBA</t>
  </si>
  <si>
    <t>INSTITUTO NACIONAL DE CIENCIAS NEUROLOGICAS</t>
  </si>
  <si>
    <t>MOYOBAMBA</t>
  </si>
  <si>
    <t>LIMA/BARRIOS ALTOS</t>
  </si>
  <si>
    <t>AV. 200 MILLAS S/N CRUCE CON AV. PASTOR SEVILLA</t>
  </si>
  <si>
    <t>SAN MARTIN</t>
  </si>
  <si>
    <t>AV. GRAU S/N CDRA 4</t>
  </si>
  <si>
    <t>JR.ANCASH N°1271</t>
  </si>
  <si>
    <t>NIGOEN PERCY HUAMANÍ QUISPE</t>
  </si>
  <si>
    <t>DENNIS LEWIS PEREZ POSTIGO</t>
  </si>
  <si>
    <t>DR. JORGE ENRIQUE MEDINA RUBIO</t>
  </si>
  <si>
    <t>DRA. WENDY CÓRDOVA BERNAL</t>
  </si>
  <si>
    <t>jmedinar@incn.gob.pe, giancarlo.demichelli@gmail.com</t>
  </si>
  <si>
    <t>Dr. Denis Juan Reyes Reynaldo - Médico Patólogo Clínico/  LIC TM BRIGHYTT MONTOYA 940190335</t>
  </si>
  <si>
    <t>GIANNA GIAMPETRI VANCES</t>
  </si>
  <si>
    <t>Dr. Brayan Jarold Gálvez Marticorena, Médico Patólogo Clínico, Tecnólogo Médico: Alania Yauri Andres , Tecnólogo Médico: Almonte Vargas Veronica Milagros, Tecnólogo Médico: Vega Ardiles Kimberly Alexis , Tecnólogo Médico: Diana Zoraida Correa Guerrero, Tecnólogo Médico:Avalos Champa Carmen Yesenia , Tecnólogo Médico: Percy Alvaro Bendezu Felices, Tecnólogo Médico: Luz Marina Durand Carrasco, Tecnólogo Médico: Milagros Rosario Espinoza Valdivia, Tecnólogo Médico: Delgado Ortiz Sara, Tecnólogo Médico: Felicita Cristina Blascano Rebaza , Tecnólogo Médico:Berrocal Luna Norma Yanina , Tecnologo Medico Casablanca Alvarado Juana ,Tecnologo Medico Cervantes Huarhua Valeria Melissa,tecnologo Medico Cuzco Huallpa Liz Melissa,Tecnologo Medico Huamani Vargas Rosmery,Tecnologo Medico Ortocoma Guizado Cristina , Tecnólogo Médico: Milagros Sanchez Bermudo,Tecnologo Medico Quintana Cañari Alexandra Técnico de Laboratorio: Judith Rosemery Leguia Gutierrez, Técnica de Laboratorio: Cesar Augusto Prudencio Palomino, Tec en Lab Huaman Parra Gretta Sheyla, tec en Lab Navarro Vera Edison  Administrativo: Ramirez Quilca Luz maria</t>
  </si>
  <si>
    <t xml:space="preserve">Tecnólogo Médico: María Kelli Muñoz Huamán. Tecnólogo Médico: Chris Andrea Villarreal Vásquez, Tecnólogo Médico: Jhon Lenin Rojas Rengifo, Tecnólogo Medico: Damián Piscoya Villegas.  Tecnólogo Medico: María Brighytt Montoya Pereira.
</t>
  </si>
  <si>
    <t>MEDICO PATOLOGO : GIANCARLO DEMICHELLI, TM .CARMEN QUISPE MLEYVA</t>
  </si>
  <si>
    <t>PER-BSIA040101-005</t>
  </si>
  <si>
    <t>R.D. N° 006-2022 DIGDOT/MINSA</t>
  </si>
  <si>
    <t>2023-0019212</t>
  </si>
  <si>
    <t>Expediente N° 2023-0174816 y N° 2023-0192657</t>
  </si>
  <si>
    <t>N°2022-0092427 -N°2023-0004534</t>
  </si>
  <si>
    <t>NO TIENE</t>
  </si>
  <si>
    <t>SÍ, FALTA ACTUALIZAR SEGÚN RESPONDAN (2026)</t>
  </si>
  <si>
    <t>PER-BSII150115-008</t>
  </si>
  <si>
    <t>CLÍNICA SERMEDIAL</t>
  </si>
  <si>
    <t>PER-BSIB150117-007</t>
  </si>
  <si>
    <t>R.D. N° 039-2023 DIGDOT/MINSA</t>
  </si>
  <si>
    <t>PER-BSIC70101-010</t>
  </si>
  <si>
    <t>R.D. N° 021-2023 DIGDOT/MINSA</t>
  </si>
  <si>
    <t>R.D. N° 021-2024 DIGDOT/ MINSA</t>
  </si>
  <si>
    <t>CALLE FRANCISCO IBÁÑEZ N° 100 UMACOLLO</t>
  </si>
  <si>
    <t>Ing. PAOLA ZAMALLOA ARANIBAR (ADMINIST)</t>
  </si>
  <si>
    <t>HOSPITAL NACIONAL GUILLERMO ALMENARA IRIGOYEN - ESSALUD</t>
  </si>
  <si>
    <t>Cel: 958790652</t>
  </si>
  <si>
    <t>LA VICTORIA</t>
  </si>
  <si>
    <t>Médica especialista en Anatomía Patológica y Lab. Clínico Gonzales Durand Yvonne</t>
  </si>
  <si>
    <t>Cel: 959915177 correo: yvonnegonzalesd@gmail.com</t>
  </si>
  <si>
    <t>Médico en Anatomía Patológica y Lab. Clínico Gonzales Durand Yvonne, T.M. Diana Aide Herrera Paredes, Bióloga Nadia Carmela Santos, Bióloga Shirley Sandra Campos Beltrán, Biólogo Daniel Santos Lique Zurita</t>
  </si>
  <si>
    <t>CLINICA AVIVA SEDE MENDIOLA</t>
  </si>
  <si>
    <t>AV GRAU N°800</t>
  </si>
  <si>
    <t>DANFER WENCESLAO HUAPAYA GARCIA</t>
  </si>
  <si>
    <t>juan.zubieta@essalud.gob.pe</t>
  </si>
  <si>
    <t>Av. Alfredo Mendiola N°6301</t>
  </si>
  <si>
    <t>N° 2022-0046422, N° 2022-0054509</t>
  </si>
  <si>
    <t>DR ZUBIETA CABANILLAS JUAN SAMUEL</t>
  </si>
  <si>
    <t>Hospital II Lima Norte-Callao “Luis Negreiros Vega – Red Asistencial Sabogal”</t>
  </si>
  <si>
    <t>CEL: 994083671/ LIC . MAGDA TORRES CEL:987211976</t>
  </si>
  <si>
    <t>FLOR DE MARIA DE LAS MERCEDES CALDERON ORMEÑO</t>
  </si>
  <si>
    <t>M.PATOLOGO: Dra. Yolanda Virginia cuba, Dr. Víctor San Martin Chipoco /T.MLic. Lucia Farfán Garate, Abel Alva León, Cinthia Azabache Palomino, Vilma Basurto Ortiz, Cecilia Soto Núñez, Alejandro Bustamante del Rio, Vilma Caballero Zabala, Luis Calderón Cumpa, Isabel Davalo Flores, Fredy Díaz Rosado, Liliana Fernández Rodríguez, Virginia García Sosa, Emiliano Huamán Estrella, Mabel Manrique Manrique, Sandra Pacheco Huamán, Magda Torres Castillo, Diego Espinoza La Matta, David Cruz Collantes</t>
  </si>
  <si>
    <t>flor.calderon@aviva.pe</t>
  </si>
  <si>
    <t xml:space="preserve">MÉDICO PATÓLOGO CLÍNICO JUAN CARLOS GOMEZ DE LA TORRE PRETELL </t>
  </si>
  <si>
    <t>Avenida Tomas Valle S/N Cdra.39 Urb. Vipol</t>
  </si>
  <si>
    <t xml:space="preserve">Dr. Juan Carlos Gómez de la Torre Pretell, Tecnólogo Medico: Rosemary Cristina Ramírez Fajardo, Tecnólogo Medico: Manuel Martin Díaz Quepuy, Tecnólogo Medico: Alexis Cárdenas Perea, Tecnólogo Medico: Keissy Milagros Paredes Guerra, Tecnólogo Medico: Jackelyne Ivette Cullas Musayon </t>
  </si>
  <si>
    <t>ENRIQUE MECHATO ALDAVE</t>
  </si>
  <si>
    <t>2023-0013080/20230013492</t>
  </si>
  <si>
    <t>enrique.mechato@essalud.gob.pe</t>
  </si>
  <si>
    <t>PATOLOGO CLINICO LILIANA JOSELYN MESIAS GANDARILLAS</t>
  </si>
  <si>
    <t>939 145 009</t>
  </si>
  <si>
    <t>-TM. RENSO CARLOS ESPINOZA ROMERO -TM. ROQUE MORALES LEOPOLDO FRANK -TM. CHRISTOPHER ALEJANDRO RIVERA VILCHEZ-TM. ISRAEL ALEXANDER GONGORA HUAMANI-TM. FRANCISCO JAVIER CATAÑO CAPCHA</t>
  </si>
  <si>
    <t>PER-BSIA040107-006</t>
  </si>
  <si>
    <t>N° 2023-0000400</t>
  </si>
  <si>
    <t>R.D. N° 009-2022 DIGDOT/MINSA</t>
  </si>
  <si>
    <t>PER-BSII150133-009</t>
  </si>
  <si>
    <t>R.D. N° 044-2023 DIGDOT/MINSA</t>
  </si>
  <si>
    <t>2024-0020575, 2024-0033847 y 2024-0051746</t>
  </si>
  <si>
    <t>PER-BSIB150131-008</t>
  </si>
  <si>
    <t>DEPARTAMENTO</t>
  </si>
  <si>
    <t>R.D. N° 029-2023 DIGDOT/MINSA</t>
  </si>
  <si>
    <t>HOSPITAL MARIA AUXILIADORA</t>
  </si>
  <si>
    <t>CLÍNICA DE REPRODUCCIÓN Y GENÉTICA - CLÍNICA MELO</t>
  </si>
  <si>
    <t>SAN JUAN DE MIRAFLORES</t>
  </si>
  <si>
    <t>JACOBO HUNTER</t>
  </si>
  <si>
    <t>CANTIDAD</t>
  </si>
  <si>
    <t>AVENIDA MIGUEL IGLESIAS N°968</t>
  </si>
  <si>
    <t>ONCOCENTER PERÚ S.A.C. - CLÍNICA AUNA GUARDIA CIVIL</t>
  </si>
  <si>
    <t>M.C. LUÍS ENRIQUE VIZCARRA JARA</t>
  </si>
  <si>
    <t>lvizcarra@hma.gob.pe</t>
  </si>
  <si>
    <t>PER-BSIC100601-011</t>
  </si>
  <si>
    <t>CALLE NICARAGUA L-10</t>
  </si>
  <si>
    <t>M.C. ARCELIA MORAYMA MACEDO DOMINGUEZ</t>
  </si>
  <si>
    <t>R.D. N°005-2025 DIGDOT/ MINSA</t>
  </si>
  <si>
    <t xml:space="preserve">CEL: 950165615 Lic. Juan </t>
  </si>
  <si>
    <t>Dr. BERNABÉ ROGELIO MELO DUEÑAS</t>
  </si>
  <si>
    <t>M.C. Carmen Estacio Rojas – Medico Patólogo Clínico , M.C.  – Katia Roxana Zuñiga Gómez , TM. Marybell Portuguez Sanchez ,TM. Luis Capcha Aguilar , TM. Marieta Timana Ancajima ,TM. Vilma Mercado Tunque , TM. María Manrique Candiotty ,TM. Petronila Julia Martínez Alban ,  TM. Jessica Aima Huallpa , TM. Yanina Berrocal Luna , TM. Renzo Montellano Rodríguez , TM. Christopher Toledo Gamonal , TM. Juan Auqui Sulca</t>
  </si>
  <si>
    <t>Médica Patóloga Clínica Yesica Zevallos Molleda</t>
  </si>
  <si>
    <t>Cel: 977129135 correo: yesicazemo28@hotmail.com</t>
  </si>
  <si>
    <t>Médica Patóloga Clínica Yesica Zevallos Molleda, T.M. José Carlos Martínez Montes, Bióloga Rocío Zevallos Cayro</t>
  </si>
  <si>
    <t xml:space="preserve"> N° 2023-0007408 y N° 2023-0015262</t>
  </si>
  <si>
    <r>
      <rPr>
        <rFont val="Calibri"/>
        <color rgb="FF000000"/>
        <sz val="11.0"/>
      </rPr>
      <t>Av. Guardia Civil N</t>
    </r>
    <r>
      <rPr>
        <rFont val="Calibri"/>
        <color rgb="FF000000"/>
        <sz val="11.0"/>
      </rPr>
      <t>° 368</t>
    </r>
  </si>
  <si>
    <t>CLINICA SAGRADA FAMILIA, CENTRO MATERNO INFANTIL JOSE CARLOS MARIATEGUI, CLINICA BUENA AVENTURA, CLINICA SANTA JULIA, CLINICA LAURELES (PENDIENTE RENOVACIÓN)</t>
  </si>
  <si>
    <t>DRA. MARTHA BIBIANA PEREZ VILLABONA</t>
  </si>
  <si>
    <t>mperezvi@auna.pe</t>
  </si>
  <si>
    <t>N° 2022-0045974, N° 2022-0054567</t>
  </si>
  <si>
    <t xml:space="preserve">DIRESA HUANUCO </t>
  </si>
  <si>
    <t xml:space="preserve">MÉDICO PATÓLOGO CLÍNICO Christian Enrique Hurtado Tacuri </t>
  </si>
  <si>
    <t xml:space="preserve">HOSPITAL DE TINGO MARIA </t>
  </si>
  <si>
    <t xml:space="preserve">RUA RUPA </t>
  </si>
  <si>
    <t>MÉDICO PATÓLOGO CLÍNICO Christian Enrique Hurtado Tacuri , - Tecnólogo Médico: Carhuamaca Campian Charles, Tecnólogo Médica: Enciso Meza Olga Bertha, Tecnólogo Médica: Zapata Calle Mariela, Tecnólogo Médica: Lucas Grados Lissette Isabel, Tecnólogo Médica: Verastegui Topovich Renata Patricia</t>
  </si>
  <si>
    <t xml:space="preserve">LEONCIO PRADO </t>
  </si>
  <si>
    <t>PER-BSII130105-010</t>
  </si>
  <si>
    <t>HUANUCO</t>
  </si>
  <si>
    <t>R.D. N° 047-2023 DIGDOT/MINSA</t>
  </si>
  <si>
    <t>AV. UCAYALI 114</t>
  </si>
  <si>
    <t>PER-BSIA150121-007</t>
  </si>
  <si>
    <r>
      <rPr>
        <rFont val="Calibri"/>
        <color rgb="FF000000"/>
        <sz val="11.0"/>
      </rPr>
      <t>N° 2023-0005799, 2023-0008765 y 2023-001427</t>
    </r>
    <r>
      <rPr>
        <rFont val="Calibri"/>
        <color rgb="FF000000"/>
        <sz val="11.0"/>
      </rPr>
      <t>3</t>
    </r>
  </si>
  <si>
    <t>LUIS ALBERTO NOVOA RAMIREZ</t>
  </si>
  <si>
    <t>III-E</t>
  </si>
  <si>
    <t>R.D. N° 007-2022 DIGDOT/MINSA</t>
  </si>
  <si>
    <t>carlosdiaz_27@hotmail.com</t>
  </si>
  <si>
    <t>HOSPITAL DE ALTA COMPLEJIDAD VIRGEN DE LA PUERTA</t>
  </si>
  <si>
    <t xml:space="preserve">PATÓLOGO CLÍNICO VICTOR HUGO SEGURA LOPEZ </t>
  </si>
  <si>
    <t>LA ESPERANZA</t>
  </si>
  <si>
    <t>971 568 737</t>
  </si>
  <si>
    <t>PER-BSIB140101-009</t>
  </si>
  <si>
    <t>R.D. N° 033-2023 DIGDOT/MINSA</t>
  </si>
  <si>
    <t>LIGA CONTRA EL CÁNCER - PERÚ</t>
  </si>
  <si>
    <t>AV. REACTIVACION N° 2007</t>
  </si>
  <si>
    <t xml:space="preserve">BLGO. CORTEGANA VARGAS CARLOS ENRIQUE, BLGO. HUAMAN ANDRES ADA YULISA , BLGO. CINTHIA MIRELLA GODOS LOPEZ , BLGO. SALDAÑA ALFARO MIGUEL IVAN, BLGO. ANGEL JAVIER HIDALGO AYAMBO, TM. KENNETH OSCAR NICK MONTALVO LOYOLA, TM.LIZ ELIZABETH SORIA SALAZAR 
</t>
  </si>
  <si>
    <t>PUEBLO LIBRE</t>
  </si>
  <si>
    <t>M.C. JAIME ALBERTO MONTOYA GONZALES</t>
  </si>
  <si>
    <t>jaime.montoya@essalud.gob.pe</t>
  </si>
  <si>
    <t>AV. BRASIL N° 2746</t>
  </si>
  <si>
    <t>2024-0183515, 2024-0215234, 2024-0271935 y 2025-0013581</t>
  </si>
  <si>
    <t>GSP TRUJILLO S.A.C. - CLÍNICA AUNA SEDE CHICLAYO</t>
  </si>
  <si>
    <t>Dra. DAMARY MILLA SAAVEDRA</t>
  </si>
  <si>
    <t>01 204-0404 cel: 988562238 correo: ligacancer@ligacancer.org.pe</t>
  </si>
  <si>
    <t>DRA. AMALIA SILVA CHAVEZ</t>
  </si>
  <si>
    <t>CEL: 976 019 199</t>
  </si>
  <si>
    <t>Médica Patóloga Clínica Evelyn Norabuena Mautino</t>
  </si>
  <si>
    <t xml:space="preserve">AV. MARISCAL NIETO N° 480 </t>
  </si>
  <si>
    <t>Cel: 953950676 correo: evnoma@hotmail.com</t>
  </si>
  <si>
    <t>Médica Patóloga Clínica Evelyn Norabuena Mautino, T.M. Marañón Bendezú Ruth Guadalupe, Tec. Lab. Ana Flor Marca Pérez</t>
  </si>
  <si>
    <t>DRA. CARLA ELIZABETH URIARTE ALAYZA</t>
  </si>
  <si>
    <t>jarrue@auna.pe</t>
  </si>
  <si>
    <t>MÉDICO PATÓLOGO CLINICO JOHAN ARRUE HERNANDEZ</t>
  </si>
  <si>
    <t>Médico Patólogo Clínico Johan Arrue Hernández, Tecnólogos Médicos: Marilú Piscoya Soto, Luz Sánchez Ayasta, Rodorico Cieza Marín y Euber Sánchez Ramírez</t>
  </si>
  <si>
    <t>N° 2022-0061080, N° 2022-0069696</t>
  </si>
  <si>
    <t>N° 2023-0010703</t>
  </si>
  <si>
    <t>Médica Patóloga Clínica Amalia Silva Chavez, Medica Patologa Lesly Tacanga Espinoza, T.M. Henri Arauno Cartagena, T.M. Milagros Maco Leon, T.M. Edwin Fonseca Espinoza, T.M. Jessica Orbegoso Yparraguirre, T.M. Natali Morales Camacho</t>
  </si>
  <si>
    <t>PER-BSIC180101-012</t>
  </si>
  <si>
    <t>R.D.N°011-2025DIGDOT/MINSA</t>
  </si>
  <si>
    <t>PER-BSIB130101-011</t>
  </si>
  <si>
    <t>R.D. N° 040-2023 DIGDOT/MINSA</t>
  </si>
  <si>
    <t>DIRESA MOQUEGUA</t>
  </si>
  <si>
    <t>2023-0011509</t>
  </si>
  <si>
    <t>PER-BSIA040126-008</t>
  </si>
  <si>
    <t>Hospital II Moquegua - EsSalud</t>
  </si>
  <si>
    <t>R.D. N° 011-2022 DIGDOT/MINSA</t>
  </si>
  <si>
    <t>CLÍNICA SANTA ANA S.A.C.-CLÍNICA FÁTIMA</t>
  </si>
  <si>
    <t>VICTOR LARCO HERRERA</t>
  </si>
  <si>
    <t>MOQUEGUA</t>
  </si>
  <si>
    <t>MARISCAL NIETO</t>
  </si>
  <si>
    <t xml:space="preserve">AV. FÁTIMA 494 URB. CALIFORNIA </t>
  </si>
  <si>
    <t>Urb. Capillune S/N San Francisco</t>
  </si>
  <si>
    <t>PER-BSII150101-011</t>
  </si>
  <si>
    <t>NOVA CLINIC EXCELLENCE S.A.C. - NOVA CLÍNICA QUIRÚRGICA</t>
  </si>
  <si>
    <t>R.D. N° 066-2023 DIGDOT/MINSA</t>
  </si>
  <si>
    <t xml:space="preserve">GERENTE MARIA LUISA MAS MELENDEZ </t>
  </si>
  <si>
    <t>YANAHUARA</t>
  </si>
  <si>
    <t>clinicafatima01@gmail.com</t>
  </si>
  <si>
    <t>JORGE CASTRO TORRES</t>
  </si>
  <si>
    <t>MÉDICO PATOÓLOGO CLÍNICO AMALIA CELINA CHAVEZ SILVA</t>
  </si>
  <si>
    <t>nadia.mendoza@essalud.gob.pe</t>
  </si>
  <si>
    <t>CALLE ALFONSO UGARTE N° 652</t>
  </si>
  <si>
    <t xml:space="preserve">PATOLOGO Nadia Jessica Mendoza </t>
  </si>
  <si>
    <t>T.M. JESSICA MARIBEL ORBEGOSO YPARRAGUIRRE T.M. ESTEFANIA ALAYO ROSALES T.M. MILAGROS LANDA PRECIADO</t>
  </si>
  <si>
    <t>Dra. JAQUELINE CRUZ VARGAS</t>
  </si>
  <si>
    <t>NACIONAL DOS DE MAYO - HOSPITAL NACIONAL DOS DE MAYO</t>
  </si>
  <si>
    <t xml:space="preserve">-        Lic. Iris Baldarrago Valdivia, Lic. Samuel Yañez Candela, Lic. Cari Flores Pedro,  Lic. Diaz Huamán Eugenio, Lic. Gómez Vilca Ferrer, Lic. Masco Jove Leonel, Lic. Medina Farfán Johan, Lic. Ríos Ramos Eduardo, Lic. Saire Mallma Rudy, Lic. Sánchez Apaza Yaneth.
</t>
  </si>
  <si>
    <t>novaclinicarequipa@gmail.com</t>
  </si>
  <si>
    <t>N°2023-0014686</t>
  </si>
  <si>
    <t>Parque Historia de la Medicina Peruana s/n Altura cuadra 13 Av. Grau</t>
  </si>
  <si>
    <t>HOSPITAL BELEN DE TRUJILLO</t>
  </si>
  <si>
    <t>N°2024-0207488</t>
  </si>
  <si>
    <t xml:space="preserve">HOSPITAL DANIEL ALCIDES CARRION DE TACNA </t>
  </si>
  <si>
    <t>MC. VICTOR RAFAEL GONZALES PEREZ</t>
  </si>
  <si>
    <t>hdosdemayo@hotmail.com</t>
  </si>
  <si>
    <t>CAJAMARCA</t>
  </si>
  <si>
    <t>HEMATOLOGO CARLOS ALBERTO DELGADO SILVA</t>
  </si>
  <si>
    <t>TM: Marlene Jaen Cuellar Bautista, Guizado Pino Alberta Luisa, Gianina Susan Ballez Rojas, Fernando Cardenas Medina, Cardenas Teran Jesus, Santos Ccancco Gastelu, Amilcar de los Santos Cordova Garcia, Jose Enrique Ferrari Rivera, Blanca Leon Rondinel, Juan Ronald Llamocca Dominguez, Abraham Luna Flores, Gabriela del Rocío Manco Huamán, Elizabeth Perez Asto, Rodriguez Apolo Ana Maria, Marcela Edith Rodriguez Crisostomo</t>
  </si>
  <si>
    <t>PER-BSIC060401-013</t>
  </si>
  <si>
    <t>R.D. N°018-2025 DIGDOT/ MINSA</t>
  </si>
  <si>
    <t>N°2023-0023245; N°2023-0030750; N°2023-0035973; N°2023-0036400</t>
  </si>
  <si>
    <t>PER-BSIB220901-010</t>
  </si>
  <si>
    <t>R.D. N° 041-2023 DIGDOT/MINSA</t>
  </si>
  <si>
    <t>PER-BSII150101-012</t>
  </si>
  <si>
    <t>R.D. N° 082-2023 DIGDOT/MINSA</t>
  </si>
  <si>
    <t>DIRESA CAJAMARCA</t>
  </si>
  <si>
    <t>CENTRO NEUROQUIRURGICO DE LA SELVA S.A.C.-CLINICA RODRIGUEZ</t>
  </si>
  <si>
    <t>HOSPITAL DE APOYO CHOTA - JOSE SOTO CABANILLAS</t>
  </si>
  <si>
    <t>TARAPOTO</t>
  </si>
  <si>
    <t>CHOTA</t>
  </si>
  <si>
    <t>Médica Patóloga Clínica Cecilia Manrique Sam</t>
  </si>
  <si>
    <t>Cel: 989687151; correo: mcmanriques1@hotmail.com</t>
  </si>
  <si>
    <t>HOSPITAL NACIONAL ARZOBISPO LOAYZA</t>
  </si>
  <si>
    <t>JR. EZEQUIEL MONTOYA N°718</t>
  </si>
  <si>
    <t>Médica Patóloga Clínica Cecilia Manrique Sam, T.M. Claudia del Pilar Molleda Huerta, T.M. Gabriela Sofía Manrique Almenara, T.M. Juan Alberto Ccallata Arizaca, Bióloga Jessika Paola Pickman Medina</t>
  </si>
  <si>
    <t>JR. Brasil N°262</t>
  </si>
  <si>
    <t>DR. ROMMEL CERDA GONZALES</t>
  </si>
  <si>
    <t>AV. ALFONSO UGARTE N° 848</t>
  </si>
  <si>
    <t>rcerdag@diresacajamarca.gob.pe</t>
  </si>
  <si>
    <t>MC. OSWALDO RODRIGUEZ MEDINA</t>
  </si>
  <si>
    <t>clinicarodriguez2020@hotmail.com</t>
  </si>
  <si>
    <t>MC. CARLOS HOMERO OTINIANO ALVARADO</t>
  </si>
  <si>
    <t>N° 2022-0075211, N° DIGDOT20220000451</t>
  </si>
  <si>
    <t>cotiniano@hospitalloayza.gob.pe</t>
  </si>
  <si>
    <t>MÉDICO PATÓLOGO LUIS ALBERTO ABAD POZO</t>
  </si>
  <si>
    <t>M.C. JUAN TICLLA VASQUEZ</t>
  </si>
  <si>
    <t>DR. VICTOR RAUL CAMPUZANO LEZAMA</t>
  </si>
  <si>
    <t>920 244 145 (Lic. Verónica)/ 945148273 (Patólogo James Añazgo)</t>
  </si>
  <si>
    <t>TM. SOTO ORTIZ MARLENI, TM. CORONEL GAVIDIA ROXANA, TM.Odar Rojas Janett Patricia, TM. CARRANZA QUISPE CRSHY GRACIELA, TM.JULCA TORO JOANA MABEL / TEC. RAFAEL VASQUEZ CARMELA, TEC. CORONADO VASQUEZ LUZ MAGALY</t>
  </si>
  <si>
    <t>DR. James Añazgo Pinedo, TM. Marco Antonio Castillo Rojas, TM. Verónica Janeth López Vargas, TM Medina gallardo Marilyn</t>
  </si>
  <si>
    <t>Dra. Diana Aracely Salgado Ale, Dr. Tommy Djanggo Cruz, TM. Selene Bautista Salas, TM. Segundo Quintos Vivanco, TM. Luz Baca Curo, TM. Bertha Quilla Orihuela, TM. Carlos Trujillo Soto, Dr. Yenni Narcizo Susanibar, TM. Kimberly Vega Ardiles, TM. Maria Ramos Mansilla, TM. Zoila Altamirano Agreda, TM. Jose Oliva Menacho, TM. Jose Luis Cruz Villar, TM. Ruben Castillon Cueva</t>
  </si>
  <si>
    <t>2 (TEC.)</t>
  </si>
  <si>
    <t>PER-BSIA150136-009</t>
  </si>
  <si>
    <t>R.D. N° 012-2022 DIGDOT/MINSA</t>
  </si>
  <si>
    <t>N°2023-0017075</t>
  </si>
  <si>
    <t>N° 2025-0002256</t>
  </si>
  <si>
    <t>BANCO DE SANGRE REGIONAL SAN MARTIN</t>
  </si>
  <si>
    <t>N° 2023-0027987 / 2023-0033844 / 2023-0034143 / 2023-0044931</t>
  </si>
  <si>
    <t xml:space="preserve">HOSPITAL I OCTAVIO MONGRUT MUÑOZ </t>
  </si>
  <si>
    <t>SAN MIGUEL</t>
  </si>
  <si>
    <t>PER-BSIB130101-012</t>
  </si>
  <si>
    <t>PER-BSII180101-013</t>
  </si>
  <si>
    <t>R.D. N° 056-2023 DIGDOT/MINSA</t>
  </si>
  <si>
    <t>R.D. N° 094-2023 DIGDOT/MINSA</t>
  </si>
  <si>
    <t>AVENIDA PARQUE LAS LEYENDAS N° 255</t>
  </si>
  <si>
    <t>Dr. Roger Augusto, BEVILACQUA WONG</t>
  </si>
  <si>
    <t>roger.bevilacqua@essalud.gob.pe</t>
  </si>
  <si>
    <t>Medico Patologo Oscar Daniel Alama Bazan</t>
  </si>
  <si>
    <t>CLINICA SAN PABLO DE TRUJILLO- CLINICA LA MERCED SAC</t>
  </si>
  <si>
    <t xml:space="preserve">Cel: 941423820 correo: </t>
  </si>
  <si>
    <t xml:space="preserve">TRUJILLO </t>
  </si>
  <si>
    <t>HOSPITAL REGIONAL DE MOQUEGUA</t>
  </si>
  <si>
    <t>Médico Patólogo Clínico Oscar Daniel Alama Bazan, T.M. Cristina Morals Peña, T.M. Angel Leiva Bazan, T.M.Giovanna Granda Carrion, T.M. Francisco Ortiz Canasa, T.M.Alba Vilca Cabana</t>
  </si>
  <si>
    <t>AV.HUSARES DE JUNIN 690 LA MERCED</t>
  </si>
  <si>
    <t>PER-BSIC150122-014</t>
  </si>
  <si>
    <t>JOSE LUIS CARRANZA CASTILLO</t>
  </si>
  <si>
    <t>R.D. N°028-2025 DIGDOT/ MINSA</t>
  </si>
  <si>
    <t>N° 2022-0074635 , N° 2022-0084778</t>
  </si>
  <si>
    <t>jcarranza@sanpablo.com.pe</t>
  </si>
  <si>
    <t>Av. Bolívar S/N</t>
  </si>
  <si>
    <t>MEDICO PATOLOGO CLINICO CARLOS EDUARDO ESQUERRE AGUIRRE</t>
  </si>
  <si>
    <t>938 339 507</t>
  </si>
  <si>
    <t>JOSE LUIS HORNA DONOSO</t>
  </si>
  <si>
    <t>LIC. TM EDWIN YULFO FONSECA ESPINOZA,LIC. TM SILVIA ELIZABETH LINO CAPRISTAN,BLG. JUANA ELIZABETH BELTRAN MORENO</t>
  </si>
  <si>
    <t>jlhd@hotmail.com</t>
  </si>
  <si>
    <t>GINA SHEILA GUILAR CASTRO</t>
  </si>
  <si>
    <t>PER-BSIA130101-010</t>
  </si>
  <si>
    <t>N° 2023-0011833, 2023-0015413 y 2023-0025830</t>
  </si>
  <si>
    <t>Jefe de Banco de Sangre Medico Patólogo: Dra. Gina Sheila Aguilar Castro, Tecnólogo Médico Especialista en Laboratorio clínico: Lic. Julia Maquera Maquera, Biólogo Percy Damián Pérez Mamani, Bióloga Joysen Torres Huaranca, Bióloga Patricia Aliaga Mamani, Biólogo Hemberly Velásquez Mamani, Bióloga Carmen Catalina Chávez Paliza, Técnico de Laboratorio, Tec. Eva Segura Vasquez, Tec. Nelly Huaquipaco Traverso, Tec. Escarle Valdez Mamani, Tec. Higor Castillo Cabina, Tec. Lucero Luz de Jesús Mayta Pino, Tec. Laura Apaza Ticona, Enfermera: Lic. Carmen Jiménez Pilco</t>
  </si>
  <si>
    <t>R.D. N° 013-2022 DIGDOT/MINSA</t>
  </si>
  <si>
    <t>“HOSPITAL DE EMERGENCIAS JOSÉ CASIMIRO ULLOA”</t>
  </si>
  <si>
    <t xml:space="preserve">Av. Roosevelt N° 6355 (Ex Av. República de Panamá), </t>
  </si>
  <si>
    <t>Expediente N° 2023-0017256, N° 2023-0037365</t>
  </si>
  <si>
    <t>M.C. ALBERTO GUZMAN GONZALES</t>
  </si>
  <si>
    <t>agonzales@hejcu.gob.pe</t>
  </si>
  <si>
    <t>M.C. OSCAR ROCA VALENCIA</t>
  </si>
  <si>
    <t>998 556 892</t>
  </si>
  <si>
    <t>PER-BSIB120808-013</t>
  </si>
  <si>
    <t>CLIN.ZEGARRA-CIRUG.PLAST.Y MED.ESTET.SAC – CLÍNICA ZEGARRA SAC</t>
  </si>
  <si>
    <t xml:space="preserve">RESPONSABLE DE CALIDAD : Lic. T.M. Bruno Valera Hurtado ( 985 407 655), Lic. T.M. Amanda Medina, Lic. T.M. Andrel Castañón Guzmán, Lic. T.M. Carlos Herbozo Solís, Lic. T.M. Piet Guevara Castillo,Lic. T.M. Yesenia Quispe Gaspar,Lic. T.M. Estefanía Cárdenas,Lic. T.M. Carolina Huanca,Lic. T.M. Bresida Llerena.
</t>
  </si>
  <si>
    <t>R.D. N° 052-2023 DIGDOT/MINSA</t>
  </si>
  <si>
    <t>CALLE SAN ANDRÉS N° 356</t>
  </si>
  <si>
    <t>N° 2025-0051971, N° 2025-0058646 y N° 2025-0064888</t>
  </si>
  <si>
    <t>ANTERO WALTER ZEGARRA CARRANZA (Gerente General)</t>
  </si>
  <si>
    <t>CEL: 943360743 EMAIL: CLINICAZEGARRA.TRUJILLO@GMAIL.COM</t>
  </si>
  <si>
    <t>CUSCO</t>
  </si>
  <si>
    <t>MÉDICO PATÓLOGO CLÍNICO KAREN CASTILLO MINAYA</t>
  </si>
  <si>
    <t>CEL: 943868974 EMAIL: KAREN_YACAMI@YAHOO.COM</t>
  </si>
  <si>
    <t>HOSPITAL II ALBERTO HURTADO ABADIA</t>
  </si>
  <si>
    <t xml:space="preserve">M.C. KAREN CASTILLO MINAYA, T.M ANA MARÍA ARTEAGA CHAVEZ, T.M. YENI MARILU ROLDAN ARTEAGA </t>
  </si>
  <si>
    <t>PER-BSII150122-014</t>
  </si>
  <si>
    <t>SANTA ROSA DE SACCO</t>
  </si>
  <si>
    <t>R.D. N° 097-2023 DIGDOT/MINSA</t>
  </si>
  <si>
    <t>YAULI</t>
  </si>
  <si>
    <t>PER-BSIC200401-015</t>
  </si>
  <si>
    <t>R.D. N°031-2025 DIGDOT/ MINSA</t>
  </si>
  <si>
    <t>AVENIDA MIGUEL GRAU 1250</t>
  </si>
  <si>
    <t>N° 2022-0082167</t>
  </si>
  <si>
    <t>CLINICA PADRE LUIS TEZZA</t>
  </si>
  <si>
    <t>Aurelio Cordova Bravo</t>
  </si>
  <si>
    <t>pedro.yarascaga@essalud.gob.pe</t>
  </si>
  <si>
    <t xml:space="preserve">MEDIC  SER SAC -AUNA CLINICA DELGADO </t>
  </si>
  <si>
    <t>DIRESA PIURA</t>
  </si>
  <si>
    <t xml:space="preserve">MEDICO PATOLOGO CLINICO LINARES SULLCA MARIO </t>
  </si>
  <si>
    <t>HOSPITAL CHULUCANAS</t>
  </si>
  <si>
    <t>CHULUCANAS</t>
  </si>
  <si>
    <t xml:space="preserve">TM: Oscar Ticona Rivero, Yanqui Mamani Victoria Gladys, Cárdenas Arellano Rosa, Luis Navarro Mattos,Felix Guizado Mercado </t>
  </si>
  <si>
    <t>MORROPON</t>
  </si>
  <si>
    <t>AV. ANGAMOS OESTE 450-490</t>
  </si>
  <si>
    <t>PIURA</t>
  </si>
  <si>
    <t>PER-BSIA120501-011</t>
  </si>
  <si>
    <t>Calle Daniel Alcides Carrión S/N Asentamiento humano Vate Manrique</t>
  </si>
  <si>
    <t>R.D. N° 018-2022 DIGDOT/MINSA</t>
  </si>
  <si>
    <t>ELIO PAUL LUCCHESI VASQUEZ</t>
  </si>
  <si>
    <t>iperez@auna.pe</t>
  </si>
  <si>
    <t>2022-0083386, 2022-0101975, 2023-0005590, 2023-0017883 y 2023-0029793</t>
  </si>
  <si>
    <t>M.C. Eduardo Ricardo ALVAREZ DELGADO</t>
  </si>
  <si>
    <t>DRA. INA PEREZ HUAYNALAYA</t>
  </si>
  <si>
    <t>dirección@hospitalchulucanas.gob.pe</t>
  </si>
  <si>
    <t>M.C. Patricia Lalupu Saldaña</t>
  </si>
  <si>
    <t>Dra. INA PEREZ HUAYNALAYA PATOLOGA, Dra. LEISSY LOPEZ  SALGUERO PATOLOGA, Dr. ALFREDO GOYTENDIA CORTEZ, Dra. VERALUCIA DE LA VEGA CUADROS PATOLOGA, Dr. ROMANO PISSANI GIL PATOLOGO, Dr. FARADI MURILLO LOPEZ PATOLOGA. TECNOLOGOS: TM JESUS ESTHER BERNAL TELLO, TM LILA PINO MELGAR, TM ANA MARIA LLANOS OCHOA, TM GARY DOMINGUEZ RIVAS , TM ZUZET CARDOSO ALVAREZ , TM KATIA HUERTA ANDRADE , TM JOSE LUIS SALAZAR CASTILLO, TM MILAGROS HIDALGO PUICON, TM JULIO CESAR COYOTUPAC LOPEZ, TM ROGER URQUIZA RODRIGUEZ, TM ANGEL VILLEGAS PEREZ, TM YAHAIRA ORTEGA CHAUCA, TM MARIA AROCUTIPA CCOPA, TM CAREN SALAZAR TELLO, TM CRISTIAN MANUEL CORTEZ MEDRANO, TM JAVIER ALFONSO REYNOSO FRANCIA , TM JOSE GRAZA  FIGUEROA</t>
  </si>
  <si>
    <t>952 086 096</t>
  </si>
  <si>
    <t>RED DE SALUD JUNIN - HOSPITAL DE APOYO JUNIN</t>
  </si>
  <si>
    <t xml:space="preserve">- Lic. T.M. Brun Lozada jorge León, Lic. Alicia de Fátima Zapata Vinces,  Lic. T.M. Liz Nahomy Farfán Vallejos, Lic. T.M. William Chinchay Puiachi, Lic. T.M. Bertha Gomez Valle, Lic. T.M. Maria Flores Julca
</t>
  </si>
  <si>
    <t>PER-BSIB40103-014</t>
  </si>
  <si>
    <t>JR. SAENZ PEÑA N° 690 - LADO OESTE</t>
  </si>
  <si>
    <t>R.D. N° 059-2023 DIGDOT/MINSA</t>
  </si>
  <si>
    <t>N° 2025-0013856, N° 2025-0045627 y N° 2025-0051225</t>
  </si>
  <si>
    <t xml:space="preserve">Fredy Quispe Gomez </t>
  </si>
  <si>
    <t>dirsaludjunin@gmail.com, yuriach@gmail.com</t>
  </si>
  <si>
    <t>DR. YURI ALIAGA CHAVEZ</t>
  </si>
  <si>
    <t>2023-0045782 / 2023-0059287</t>
  </si>
  <si>
    <t>Cel: 940309513 - Correo: yuriach@gmail.com</t>
  </si>
  <si>
    <t>HUANCAVELICA</t>
  </si>
  <si>
    <t>CLINICA AUNA SEDE VALLESUR , CLINICA AUNA SEDE BELLAVISTA, CLINICA AUNA SEDE PIURA, CLINICA AUNA SEDE CHICLAYO, CLINICA AUNA GUARDIA CIVIL</t>
  </si>
  <si>
    <t>HOGAR CLINICA SAN JUAN DE DIOS DE AREQUIPA</t>
  </si>
  <si>
    <t>CAYMA</t>
  </si>
  <si>
    <t>Médico Cirujano Yuri Aliaga Chavez, TM Victor Quesquen Carrillo, TM Nancy Luz Cedano Clemente, TM Diana Angela Saravia Pamo</t>
  </si>
  <si>
    <t>AV. EJERCITO N° 1020</t>
  </si>
  <si>
    <t>N° 2022-0073653</t>
  </si>
  <si>
    <t>CESAR AUGUSTO ARROYO GUTIERREZ</t>
  </si>
  <si>
    <t>clinicasjd.arequipa@sanjuandedios.pe / 955877185</t>
  </si>
  <si>
    <t>PER-BSII10201-015</t>
  </si>
  <si>
    <t>PER-BSIC150113-016</t>
  </si>
  <si>
    <t xml:space="preserve">MED PATOLOGO CLINICO ROSARIO ELSA JESUS ZUÑIGA MANRIQUE </t>
  </si>
  <si>
    <t>R.D. N° 118-2023 DIGDOT/MINSA</t>
  </si>
  <si>
    <t>R.D. N°044-2025 DIGDOT/ MINSA</t>
  </si>
  <si>
    <t>TM. Lesly Araujo Román, Ronald León Soto; Blgos: Flora Bobadilla Ingals, Diana Altamirano Parada,Guadalupe Luque Lázaro,Rossana Mansilla, Julio Ortega</t>
  </si>
  <si>
    <t>2023-0016894, 2023-0026191, 2023-0025146</t>
  </si>
  <si>
    <t>CLINICA SAN FELIPE S.A.</t>
  </si>
  <si>
    <t>JESUS  MARIA</t>
  </si>
  <si>
    <t>PER-BSIA120101-012</t>
  </si>
  <si>
    <t>PER-BSIB150114-015</t>
  </si>
  <si>
    <t>R.D. N° 016-2022 DIGDOT/MINSA</t>
  </si>
  <si>
    <t>R.D. N° 062-2023 DIGDOT/MINSA</t>
  </si>
  <si>
    <t>DIRESA AMAZONAS</t>
  </si>
  <si>
    <t>Av. Gregorio Escobedo N° 650</t>
  </si>
  <si>
    <t>HOSPITAL DE APOYO GUSTAVO LANATTA LUJAN</t>
  </si>
  <si>
    <t>BAGUA</t>
  </si>
  <si>
    <t>REPRESENTANTE LEGAL PAULA DEVESCOVI STENDBERGH</t>
  </si>
  <si>
    <t>pdevescovi@idd.com.pe</t>
  </si>
  <si>
    <t>CLINICA ZARATE E.I.R.L.</t>
  </si>
  <si>
    <t>AMAZONAS</t>
  </si>
  <si>
    <t>HOSPITAL I CARLOS ALCANTARA BUTTERFIELD</t>
  </si>
  <si>
    <t>M.C. Manuel Leiva Beraun</t>
  </si>
  <si>
    <t>HUANCAYO</t>
  </si>
  <si>
    <t>AV. HEROES DEL CENEPA N°980</t>
  </si>
  <si>
    <t>999 912 443</t>
  </si>
  <si>
    <t>YESPER SARAVIA DIAZ</t>
  </si>
  <si>
    <t>Responsable de calidad: T.M. Rosmery Ramirez Fajardo Fajardo (951 074 143), T.M. RAMOS JIMENEZ JUAN, T.M. GONZALES HERRERA ROBERTO, T.M. BARRETO HUAMAN FLOR, T.M. LOPEZ CASU ROSA, T.M. GONZALEZ ROJAS SANDRA, JANAMPA GUZMAN CESAR, TECNICO EN LABORATORIO AYALA CHOQUEMAMANI ELIZABETH , MC ROSEMARY FERNANDEZ, TM CANDY GARCIA, MARIANA ROSADO</t>
  </si>
  <si>
    <t>AV. URUGUAY N° 533</t>
  </si>
  <si>
    <t>direccionhospitalbagua@gmail.com</t>
  </si>
  <si>
    <t>Av. Los Constructores 1201 - Urb. Covima</t>
  </si>
  <si>
    <t>DR. CARLOS E. CERVERA NORIEGA</t>
  </si>
  <si>
    <t>Dr. Diego Matos Knutsen</t>
  </si>
  <si>
    <t>ELIAS RODRIGUEZ SALAZAR</t>
  </si>
  <si>
    <t>mariazaratecristobal27@gmail.com</t>
  </si>
  <si>
    <t>elias.rodriguez@essalud.gob.pe</t>
  </si>
  <si>
    <t>Dr. Carlos E. Cervera Noriega, TM Yosuny Alvarado, TM. Davis Vasquez, TM Gelver, TM. Robert Alejandria, TM Ruth Avendaño, TM. Sara Valdivia</t>
  </si>
  <si>
    <t>Médico Especialista En Patología Clínica Maria Graciela Neyra Mercado</t>
  </si>
  <si>
    <t>Dra. Kellina Almora León</t>
  </si>
  <si>
    <t>Cel: 944828131 correo: walterpando@hotmail.com</t>
  </si>
  <si>
    <t xml:space="preserve">TM Luisa Elizabeth Luisa Lozano Miguel, TM Elva Fatima Caballero Muñoz, TM Maria Arcelli Garcia Urbina , TM Pascuala Aurora Inga Peña, TM Eduardo Simon Paredes Lujan  </t>
  </si>
  <si>
    <t xml:space="preserve">Dra. Kellina Almora León, T.M. Wendy Palomino Lazo, T.M.Sheyla Aranda Sanabria 
                     </t>
  </si>
  <si>
    <t>N° 2025-0060020, N° 2025-0070878, N° 2025-0088942</t>
  </si>
  <si>
    <t>2023-0032090 / 2023-0036645 / 2023-0039528 / DIGDOT20230000144 / 2023-0036645 / 2023-0065314 / 2023-0092360</t>
  </si>
  <si>
    <t>N° 2022-0076348</t>
  </si>
  <si>
    <t>N°2023-0022499; N°2023-0023267; N°2023-0027091, N°2023-0034479; N°2023-0035690 y N°2023-0035735</t>
  </si>
  <si>
    <t>PER-BSIC150801-017</t>
  </si>
  <si>
    <t>R.D. N°062-2025 DIGDOT/ MINSA</t>
  </si>
  <si>
    <t>PER-BSII230103-016</t>
  </si>
  <si>
    <t>PER-BSIA150501-013</t>
  </si>
  <si>
    <t>R.D. N° 119-2023 DIGDOT/MINSA</t>
  </si>
  <si>
    <t>R.D. N° 019-2022-DIGDOT/MINSA</t>
  </si>
  <si>
    <t>PER-BSIA150121-071</t>
  </si>
  <si>
    <t>R.D. N° 074-2023 DIGDOT/MINSA</t>
  </si>
  <si>
    <t>DIRESA TACNA</t>
  </si>
  <si>
    <t>DIRESA LIMA</t>
  </si>
  <si>
    <t>HOSPITAL III DANIEL ALCIDES CARRION - SEGURO SOCIAL DE SALUD</t>
  </si>
  <si>
    <t>CLÍNICA DANIEL ALCIDES CARRIÓN CAÑETE E.I.R.L.</t>
  </si>
  <si>
    <t>SAN VICENTE DE CAÑETE</t>
  </si>
  <si>
    <t>CAÑETE</t>
  </si>
  <si>
    <t>URB. BEATO JOSEMARIA ESCRIBA DE BALAGUER LOS REYES I-16</t>
  </si>
  <si>
    <t>DIRIS LIMA PROVINCIAS</t>
  </si>
  <si>
    <t>HOSPITAL GUSTAVO LANATTA LUJAN - ESSALUD</t>
  </si>
  <si>
    <t>Dra. BELLA MILAGROS ALEGRÍA LOZANO</t>
  </si>
  <si>
    <t>HUACHO</t>
  </si>
  <si>
    <t>milagrosalegria30@hotmail.com</t>
  </si>
  <si>
    <t>HUAURA</t>
  </si>
  <si>
    <t>Dr. Zahnder Cubas Bances (YA NO ES JEFE)</t>
  </si>
  <si>
    <t>CLINICAS SAN BERNARDO S.A.</t>
  </si>
  <si>
    <t>CALANA</t>
  </si>
  <si>
    <t>Cel: 965606523 correo: zahndercubas@gmail.com</t>
  </si>
  <si>
    <t>AV. FRANCISCO VIDAL N° 707</t>
  </si>
  <si>
    <t xml:space="preserve">TACNA </t>
  </si>
  <si>
    <t>Médico Patólogo Clínico Zahnder Cubas Bances, Tecnóloga Médica Mayra Paulina Estrada Muñoz, Tecnólogo Médico Gustavo Ricardo Cama Cruz</t>
  </si>
  <si>
    <t xml:space="preserve">LIMA </t>
  </si>
  <si>
    <t>TACNA</t>
  </si>
  <si>
    <t>EDUARDO JAVIER REY ETTO</t>
  </si>
  <si>
    <t>CARRETERA CALANA KM 6,5</t>
  </si>
  <si>
    <t>CALLE SAN JOSE N° 161</t>
  </si>
  <si>
    <t>DR LUIS BARRIENTOS MORALES-GERENTE</t>
  </si>
  <si>
    <t>M.C. FELIX DAVID SAYAS POMA</t>
  </si>
  <si>
    <t>N° 2022-0069311, N° 2022-0091413</t>
  </si>
  <si>
    <t>luis.barrientos@essalud.gob.pe</t>
  </si>
  <si>
    <t>MAURO MARCELO LIZARRAGA FERRAND</t>
  </si>
  <si>
    <t>M.C. ELIZABETH SUJEY PINO DEL PINO</t>
  </si>
  <si>
    <t>mlizarraga@clinica-sanbernardo.com</t>
  </si>
  <si>
    <t>Lic. Elmer Trujillo Román, Lic. Zarela Sánchez García, Lic. Juana Carrascal Juana, Lic. Jaime Luyo Delgado, Lic. Aida Buleje Cabrera</t>
  </si>
  <si>
    <t>-        T.M. Hebert Hugo Quintana Rojas,T.M. Luisa Elizabeth Torres Ramos, T.M. José Johao Cayo Castillo, T.M. Julio Alejandro Viacava Zeballos, T.M. Irma Andrea Carrillo Ticona,T.M. Nalldy Fiorella Vizcarra Todco, T.M. Agripina Olinoa Condori Alejo.</t>
  </si>
  <si>
    <t>DR. RAFAEL RODRIGUEZ BAYONA</t>
  </si>
  <si>
    <t>N° 2025-0037146, N° 2025-0058717 Y N°2025-0086567</t>
  </si>
  <si>
    <t>Tecnólogo Médico: Christian Lengua Figueroa, Tecnóloga Médica: Mishell Verena Ñahuin Quispe</t>
  </si>
  <si>
    <t>N° 2023-0042948, N° 2023-0057314, N° 2023-0090827 y N° 2023-0092833</t>
  </si>
  <si>
    <t>PER-BSIA120114-014</t>
  </si>
  <si>
    <t xml:space="preserve">HOSPITAL BASE II MOQUEGUA </t>
  </si>
  <si>
    <t>R.D. N° 021-2022 DIGDOT/MINSA</t>
  </si>
  <si>
    <t>CLINICA MEDICO QUIRURGICO HUANCAYO E.I.R.L</t>
  </si>
  <si>
    <t>PER-BSIC150122-018</t>
  </si>
  <si>
    <t>2023-0036348</t>
  </si>
  <si>
    <t>EL TAMBO</t>
  </si>
  <si>
    <t>R.D. N°050-2025 DIGDOT/ MINSA</t>
  </si>
  <si>
    <t>PER-BSII40101-017</t>
  </si>
  <si>
    <t>R.D. N° 132-2023 DIGDOT/MINSA</t>
  </si>
  <si>
    <t>CLINICA SANTA LUCIA / CLINICA ANNGLOAMERICANA</t>
  </si>
  <si>
    <t>AV.HUANCAVELICA NRO 1285</t>
  </si>
  <si>
    <t>LEONARDO ENRIQUE GUILLERMO CUBAS</t>
  </si>
  <si>
    <t>clinicahuancayo@gmail.com , Cel: 955742727</t>
  </si>
  <si>
    <t xml:space="preserve">CLINICA GOOD HOPE </t>
  </si>
  <si>
    <t>Medico Patologo Clinico Julio Troncoso Mena</t>
  </si>
  <si>
    <t>SEGURO SOCIAL DE SALUD - HOSPITAL NACIONAL III-1 CARLOS ALBERTO SEGUÍN ESCOBEDO</t>
  </si>
  <si>
    <t>Cel: 947803062</t>
  </si>
  <si>
    <t>AV. MALECON BALTA 956</t>
  </si>
  <si>
    <t xml:space="preserve">SARA MUÑOZ SOLIS  </t>
  </si>
  <si>
    <t>Esquina Peral - El filtro S/N</t>
  </si>
  <si>
    <t>PER-BSIB150201-016</t>
  </si>
  <si>
    <t>gerente.adt@goodhope.org.pe, asesor.legal@goodhope.org.pe     989320080</t>
  </si>
  <si>
    <t>N°2022-0080981</t>
  </si>
  <si>
    <t>PATOLOGO CLINICO GRACIELA CELINA PRIALE PRIALE</t>
  </si>
  <si>
    <t>Miguel A. BARREDA DE LA CRUZ</t>
  </si>
  <si>
    <t>R.D. N° 075-2023 DIGDOT/MINSA</t>
  </si>
  <si>
    <t>992 747 133</t>
  </si>
  <si>
    <t xml:space="preserve">-        TM.JOSE ANTONIO OLIVOS ASTUPIÑA, TM.FRANCISCO GITTER VARGAS VARGAS, TM. HUAMANI VARGAS ROSMERY, TM.MARIA EDELMIRA BALDARRAGA
</t>
  </si>
  <si>
    <t>miguel.barreda@essalud.gob.pe</t>
  </si>
  <si>
    <t>DRA. BUSTOS SALINAS LUZ OFELIA</t>
  </si>
  <si>
    <t>966 361 694</t>
  </si>
  <si>
    <t>2025-0063699, 2025-0078938, 2025-0101487</t>
  </si>
  <si>
    <t>PER-BSIA100101-015</t>
  </si>
  <si>
    <t>DRA. LUZ BUSTOS SALINAS, TM. JOSE CARLOS MARTINES MONTES, TM CLELIA CORNEJO SORIA DE ARCE, TM DIANA HERRERA PAREDES, TM MILAGROS CHAVEZ VIZCARRA, BLG.Rossmary vera rivera, BLG. Susana Paredes Nuñez, BLG. Elizabeth Gallegos Calatayud, BLG. Malua Alarcon Valdivia, BLG. Obdulia Quispe Leon.</t>
  </si>
  <si>
    <t>R.D. N° 022-2022 DIGDOT/MINSA</t>
  </si>
  <si>
    <t>2023-0054323 / 2023-0065009</t>
  </si>
  <si>
    <t>HOSPITAL BARRANCA CAJATAMBO SBS</t>
  </si>
  <si>
    <t>DIRESA HUANUCO</t>
  </si>
  <si>
    <t>BARRANCA</t>
  </si>
  <si>
    <t>CLÍNICA SAN JUAN BOSCO E.I.R.L.</t>
  </si>
  <si>
    <t>HUÁNUCO</t>
  </si>
  <si>
    <t>HOSPITAL SAMUEL PASTOR</t>
  </si>
  <si>
    <t>AV. Nicolas  de Pierola N°210-221</t>
  </si>
  <si>
    <t>JR. DOS DE MAYO N° 1616</t>
  </si>
  <si>
    <t>Jack Marlon Jara Reyes</t>
  </si>
  <si>
    <t>direccion_ejecutiva@hospitalbarranca.gob.pe</t>
  </si>
  <si>
    <t>ALVARO FABRICIO FERNANDEZ PORTUGAL</t>
  </si>
  <si>
    <t>MEDICO PATOLOGO CLINICO : ELSA ISELA SALOME TOLENTINO</t>
  </si>
  <si>
    <t>CEL 962819802</t>
  </si>
  <si>
    <t>MÉDICO ANATOMO PATÓLOGO CARLOS ALAN ESTELA CHAVEZ</t>
  </si>
  <si>
    <t>PER-BSII100101-018</t>
  </si>
  <si>
    <t>T.M: Flores Ardiles Victor Hernan, Edgar Hernesto Sanches Herrera, Luz angelica Moran de Los Santos, Cotrina Barzola, Paola Elizabeth, Kikuyo lay Iwana Amacifuen, Catherine solano Rios, Patricia Elizabeth Reyes Gallegos</t>
  </si>
  <si>
    <t>CEL: 948675874</t>
  </si>
  <si>
    <t>R.D. N° 125-2023 DIGDOT/MINSA</t>
  </si>
  <si>
    <t>T.M. GERMAN ANTONIO CAYO LOAYZA, T.M. CRISTOBAL ANTONIO BAUTISTA ESCOBAR</t>
  </si>
  <si>
    <t>PER-BSIC150131-019</t>
  </si>
  <si>
    <t>R.D. N°056-2025 DIGDOT/ MINSA</t>
  </si>
  <si>
    <t>N° 2023-0015565, N°2023-00025959 y N°2023-0040188</t>
  </si>
  <si>
    <t>N°2022-0097818</t>
  </si>
  <si>
    <t>HOSPITAL DE HUACHO / INSTITUTO NACIONAL DE SALUD DEL NIÑO SAN BORJA</t>
  </si>
  <si>
    <t>HOSPITAL REGIONAL HERMILIO VALDIZAN</t>
  </si>
  <si>
    <t>nombre comercial “CLINICA JAVIER PRADO” y con razón social “CLINICA JAVIER PRADO SA”</t>
  </si>
  <si>
    <t>Jr. Hermilio Valdizan Nº959</t>
  </si>
  <si>
    <t>M.C BENEDETTI PAVEL QUIÑOES</t>
  </si>
  <si>
    <t>PER-BSIB150134-017</t>
  </si>
  <si>
    <t>Av. Javier Prado Este 499 Urb. Jardín Lima</t>
  </si>
  <si>
    <t>R.D. N° 093-2023 DIGDOT/MINSA</t>
  </si>
  <si>
    <t>PER-BSIA150132-016</t>
  </si>
  <si>
    <t>DR. HUANCA FALCON OLIMPO</t>
  </si>
  <si>
    <t>R.D. N° 026-2022 DIGDOT/MINSA</t>
  </si>
  <si>
    <t>M.C. ENRIQUE SOLORZANO BARRERA</t>
  </si>
  <si>
    <t xml:space="preserve">TM. Mendoza Vilca Lucy, TM.  Arratea Gallardo, TM. Collachagua Herrera Maykel, TM.Fajardo Guevara Dany
</t>
  </si>
  <si>
    <t>esolorzano@cjp.pe</t>
  </si>
  <si>
    <t>M.C. ANDRÉ CASTRO ROSADO</t>
  </si>
  <si>
    <t>954 069 445</t>
  </si>
  <si>
    <t>CLINICA SAN JUAN DE DIOS - HOGAR CLINICA SAN JUAN DE DIOS</t>
  </si>
  <si>
    <t xml:space="preserve">- Lic. T.M. Maria Escobar Valdiviezo., Lic. T.M. Carlos Flores Butron, Lic. T.M. Geraldine Velasquez Huarcaya.,Lic. T.M. Jorge Acosta Quiniche,Lic. T.M. Farid Guerra Gutierrez (RESPONSABLE DE CALIDAD )
</t>
  </si>
  <si>
    <t>2023-0041139/ 2023-0092474 /2023-0112838</t>
  </si>
  <si>
    <t>PROMOTORA ASISTENCIAL S.A.C CLÍNICA LIMATAMBO-PROMOSA CLINICA LIMATAMBO SEDE SJL</t>
  </si>
  <si>
    <t>SAN LUIS</t>
  </si>
  <si>
    <t>CLINICA SANTA LUCILA CLINICA INTEGRAL</t>
  </si>
  <si>
    <t>2 (TEC)</t>
  </si>
  <si>
    <t>SAN JUAN DE LURIGANCHO</t>
  </si>
  <si>
    <t>Av. Nicolas Arriola N°3250</t>
  </si>
  <si>
    <t>AV. PROCERES DE LA INDEPENDENCIA N° 2701</t>
  </si>
  <si>
    <t xml:space="preserve">N° 2025-0063223, N° 2025-0076546, N° 2025-0098986 
y N° 2025-0104744
</t>
  </si>
  <si>
    <t>FELIX ACUÑA ZAMORA</t>
  </si>
  <si>
    <t>felizcuña@ohsanjuandedios.org</t>
  </si>
  <si>
    <t>EDGARDO BERTILO MALPARTIDA FANTINI</t>
  </si>
  <si>
    <t>MEDICO PATOLOGO:. Adrián Martin de Jesús Villaorduña Nahuis</t>
  </si>
  <si>
    <t>JUNÍN</t>
  </si>
  <si>
    <t xml:space="preserve">Jsalazar@clinicalimatambo.com </t>
  </si>
  <si>
    <t>PER-BSII60801-019</t>
  </si>
  <si>
    <t>Medico Patologo .Carmen Estacio Rojas</t>
  </si>
  <si>
    <t>R.D. N° 135-2023 DIGDOT/MINSA</t>
  </si>
  <si>
    <t>Lic. T.M :Enibet Susan Salazar Mesa, Edith zandra Quispe Tecse,  María Angélica Quinto Fernández, Juan Cosme Aquino Ramírez</t>
  </si>
  <si>
    <t>942822764 Administradora Srta jazmin Fernandez</t>
  </si>
  <si>
    <t>T.M EDUAR PAUL CAYETANO MENDEZ , T.M . JESSICA AIMA HUALLPA</t>
  </si>
  <si>
    <t>PER-BSIC150112-020</t>
  </si>
  <si>
    <t>N°2023-0034808, N°2023-0051814 Y N°2023-0062016</t>
  </si>
  <si>
    <t>R.D. N°096-2025 DIGDOT/ MINSA</t>
  </si>
  <si>
    <t>HOSPITAL GENERAL DE JAEN</t>
  </si>
  <si>
    <t>N°2022-0096450 - 2022-0107117</t>
  </si>
  <si>
    <t>JAEN</t>
  </si>
  <si>
    <t>AVENIDA PAKAMUROS 1289</t>
  </si>
  <si>
    <t>MC.DIANA BOLIVAR JOO</t>
  </si>
  <si>
    <t>PER-BSIB150115-018</t>
  </si>
  <si>
    <t>directora medica: 999446421</t>
  </si>
  <si>
    <t>R.D. N° 110-2023 DIGDOT/MINSA</t>
  </si>
  <si>
    <t>PER-BSIA120114-017</t>
  </si>
  <si>
    <t>DR. OSCAR MITCHEL ZAPATA YAMUNAQUE</t>
  </si>
  <si>
    <t>con razon social "CLINICA JESUS DEL NORTE SOCIEDAD ANONIMA CERRADA" y nombre comercial "CLINICA JESUS DEL NORTE"</t>
  </si>
  <si>
    <t>R.D. N° 025-2022 DIGDOT/MINSA</t>
  </si>
  <si>
    <t>INDEPENDENCIA</t>
  </si>
  <si>
    <t xml:space="preserve">Médico patólogo Oscar Mitchel Zapata Yamunaque, Fernando Barboza. TM. John Eduardo Otiniano Moya, TM. Tatiana Diomar Chavez Orosco, TM. Rocio Del Milagro Chilon Riojas,  TM.Cortez Sandoval Celedonio, TM. Nixon Heredia Castillo, TM. Yuri Adolfo Cruz, TM. Ana Maria Jimenez Torres ,  TM. Lucy Leydi Pinedo Tapia.  Tec. lab Aurora Huaman Huayama, Tec. Rut Becerra Peña,  Tec. Jose Luis Sanchez Santisteban,  Tec.Doris Rosaly Ordoñez Peña, Tec. Ruly Garcia Olivera,  Tec. Sheyla Anabel Polo Coronel , Tec. Santos Diaz Javier Percy 
</t>
  </si>
  <si>
    <t xml:space="preserve">Av. Carlos Izaguirre N°153 </t>
  </si>
  <si>
    <t>HOSPITAL DE EMERGENCIAS PEDIATRICAS</t>
  </si>
  <si>
    <t>CLINICA REBAGLIATI</t>
  </si>
  <si>
    <t>M.C Erika Geovanna Espinoza Vasquez</t>
  </si>
  <si>
    <t xml:space="preserve">N° 2023-0106043, 2023-0120069, 2023-0129398, DIGDOT20230000241 y 2023-0138693  </t>
  </si>
  <si>
    <t>PC Darwin Enriquez Castro</t>
  </si>
  <si>
    <t>AV. GRAU Nº 854</t>
  </si>
  <si>
    <t>CALLE PIRITA N°191</t>
  </si>
  <si>
    <t>Tomy Villanueva Arequipeño</t>
  </si>
  <si>
    <t>LIC TM AGUILAR VELASQUEZ ERIKA, LIC TM MORENO ANGULO JUAN , LOAYZA YASENA MIRIAM, LIC TM VIVENES MALAVA GREISMAR, LIC TM AQUINO FERNANDEZ ANDERSON, TEC</t>
  </si>
  <si>
    <t>Dr. Geovanny Paucar Condori</t>
  </si>
  <si>
    <t>tvillanueva@hep.gob.pe</t>
  </si>
  <si>
    <t>clinicarebagliati@hotmail.com</t>
  </si>
  <si>
    <t>Medico Patologo: Príncipe Laines Fortunato Martin</t>
  </si>
  <si>
    <t>1 ( TEC)</t>
  </si>
  <si>
    <t>Medico Hematologo Walter Italo Pando Rojas</t>
  </si>
  <si>
    <t>PER-BSII70102-020</t>
  </si>
  <si>
    <t>Cel: 968348797  correo: walterpando@gmail.com</t>
  </si>
  <si>
    <t>R.D. N° 137-2023 DIGDOT/MINSA</t>
  </si>
  <si>
    <t>N°2025-0146579, N°2025-0172631,2025-0175738 y N°2025-0202053</t>
  </si>
  <si>
    <t>LIC. TECNOLOGO DANNA DELISA TERRAZOS ROMERO, TEC. LUZ MILAGROS DE LA CRUZ CURAZZI</t>
  </si>
  <si>
    <t>CLINICA SAN PABLO</t>
  </si>
  <si>
    <t xml:space="preserve">- Carhuamaca zarate pamela, TM.Orellano Hinojosa Luis, TM.Guzmán Garay Marco, TM.Rojas Herrera Friny, TM.Mendoza Álvarez José, TM.Vivas Hurtado Carlos., TM.Vasquez Aguirre Luz, TM.Bravo Cossio Fanny
</t>
  </si>
  <si>
    <t>N° 2022-0082757, N°2022-0101004</t>
  </si>
  <si>
    <t>HOSPITAL NACIONAL ALBERTO SABOGAL SOLOGUREN - RED ASISTENCIAL SABOGAL - ESSALUD</t>
  </si>
  <si>
    <t>BELLAVISTA</t>
  </si>
  <si>
    <t>Expediente N° 2023-0033715, N° 2023-0051539 y 2023-0055599</t>
  </si>
  <si>
    <t>PER-BSIC150130-021</t>
  </si>
  <si>
    <t>Jirón Colina Nº 1081</t>
  </si>
  <si>
    <t>R.D. N°104-2025 DIGDOT/ MINSA</t>
  </si>
  <si>
    <t>M.C. Carmen Sara TERRAZAS OBREGON</t>
  </si>
  <si>
    <t>carmen.terrazas@essalud.gob.pe</t>
  </si>
  <si>
    <t>PER-BSIA150122-018</t>
  </si>
  <si>
    <t>M.C. JOSE LUIS HUERTO AGUILAR</t>
  </si>
  <si>
    <t>PER-BSIB140301-019</t>
  </si>
  <si>
    <t>R.D. N° 024-2022 DIGDOT/MINSA</t>
  </si>
  <si>
    <t>R.D. N° 126-2023 DIGDOT/MINSA</t>
  </si>
  <si>
    <t>razón social “CLINICA INTERNACIONAL S A.” y nombre comercial “CLINICA INTERNACIONAL-SEDE SAN BORJA”</t>
  </si>
  <si>
    <t>Medico Patólogo Clínico: Jorge Ruiz Cotrina, Lic. Tecnólogos Médicos: Patricia Zarate, Luisa Almora, Jorge Camargo, Sara Moreno, Magdalena Cueva, David Cusi, Teresa Alvarez, Luis Meza, Elsa Punchin, Julie Montalvo, Carlos Sanchez, Edison Nina, Angel Esteban, Elva Pajuelo, Raquel Cubas, Margiori Gutierrez.</t>
  </si>
  <si>
    <t>CLINICA MIRAFLORES S.A.C</t>
  </si>
  <si>
    <t>Av. Guardia Civil (Ex. Avenida Del Aire) N°385-Mz A3 Lt.07 CORPAC 1era Zona y Av. Guardia Civil (Ex. Avenida del aire) Mz. A-4 Lt1,2,3 CORPAC 1era Zona</t>
  </si>
  <si>
    <t>2023-0104915, 2023-0120169, 2023-0131812</t>
  </si>
  <si>
    <t>HOSPITAL PROVINCIAL DOCENTE BELÉN - LAMBAYEQUE</t>
  </si>
  <si>
    <t>APODERADO LEGAL: Mauricio Raúl DE MENDOZA FUENZALIDA</t>
  </si>
  <si>
    <t>amendoza@cinternacional.com.pe'</t>
  </si>
  <si>
    <t>AV.  JOSE ENCINAS N° 141</t>
  </si>
  <si>
    <t>DR. Agusto Felipe Ascenzo Aparicio</t>
  </si>
  <si>
    <t>AV. RAMON CASTILLA N°597</t>
  </si>
  <si>
    <t>JESUS ALFONSO YESQUEN ALBURQUERQUE</t>
  </si>
  <si>
    <t>ginefert@igf.com.pe / 016109696</t>
  </si>
  <si>
    <t>HOSPITALBELEN.LAMBAYEQUE@GMAIL.COM</t>
  </si>
  <si>
    <t>Médico Patólogo Dra. Ana Maria Corilloclla Flores</t>
  </si>
  <si>
    <t>DR. LEONARDO ENRIQUE GARCIA MANOSALVA</t>
  </si>
  <si>
    <t>PAT. CLÍ. MANRIQUE CASTAGNOLA EDDY RENZO</t>
  </si>
  <si>
    <t>TM KAREN HUAMANI CAJALEON, TM MAGDA DEL ROSARIO NUNAYALLE VARGAS, TM DUBRASKA YETSEBELL GONZALES MORA, TM RUTH DOMINGUEZ TRUJILLO, BLG LUZ ANGELA LAZARTE GALVAN</t>
  </si>
  <si>
    <t xml:space="preserve">TM. Romero Martinez Medalit, TM. Siguas Carhuaricra Luisa, TM. Salas Licuona Tiffany, TM. Delgado Lopez Jhon, TM. Villa Reyes Roxana
</t>
  </si>
  <si>
    <t>N° 2022-0089026, N°2022-0109023</t>
  </si>
  <si>
    <t>4(TEC)</t>
  </si>
  <si>
    <t>CLINICA ANGLOAMERICANA</t>
  </si>
  <si>
    <t>PER-BSII150140-021</t>
  </si>
  <si>
    <t>R.D. N° 153-2023 DIGDOT/MINSA</t>
  </si>
  <si>
    <t>N°2025-0153901, 2025-0190125, 2025-0202141 y 2025-0220000</t>
  </si>
  <si>
    <t>PER-BSIA090301-019</t>
  </si>
  <si>
    <r>
      <rPr>
        <rFont val="Calibri"/>
        <color rgb="FF000000"/>
        <sz val="11.0"/>
      </rPr>
      <t>DR.LEONARDO GARCIA MANOSALVA, TM. RICARDO GONZALES AYASTA, TM. BREMIDA BRAVO ASENJO, TM. EUCLIDES BACA</t>
    </r>
    <r>
      <rPr>
        <rFont val="Calibri"/>
        <b/>
        <color rgb="FF000000"/>
        <sz val="11.0"/>
      </rPr>
      <t>LL</t>
    </r>
    <r>
      <rPr>
        <rFont val="Calibri"/>
        <color rgb="FF000000"/>
        <sz val="11.0"/>
      </rPr>
      <t>A VEGA, BLG. RAQUEL CA</t>
    </r>
    <r>
      <rPr>
        <rFont val="Calibri"/>
        <b/>
        <color rgb="FF000000"/>
        <sz val="11.0"/>
      </rPr>
      <t>ST</t>
    </r>
    <r>
      <rPr>
        <rFont val="Calibri"/>
        <color rgb="FF000000"/>
        <sz val="11.0"/>
      </rPr>
      <t>A</t>
    </r>
    <r>
      <rPr>
        <rFont val="Calibri"/>
        <b/>
        <color rgb="FF000000"/>
        <sz val="11.0"/>
      </rPr>
      <t>ÑED</t>
    </r>
    <r>
      <rPr>
        <rFont val="Calibri"/>
        <color rgb="FF000000"/>
        <sz val="11.0"/>
      </rPr>
      <t>A MORENO, BLG. FIORELLA LOPEZ ESQUEN, TEC. TOMA</t>
    </r>
    <r>
      <rPr>
        <rFont val="Calibri"/>
        <b/>
        <color rgb="FF000000"/>
        <sz val="11.0"/>
      </rPr>
      <t xml:space="preserve">S </t>
    </r>
    <r>
      <rPr>
        <rFont val="Calibri"/>
        <color rgb="FF000000"/>
        <sz val="11.0"/>
      </rPr>
      <t>ACOSTA SUCLUPE</t>
    </r>
  </si>
  <si>
    <t>R.D. N° 002-2023 DIGDOT/MINSA</t>
  </si>
  <si>
    <t>EXPEDIENTE N° 2023-0085644</t>
  </si>
  <si>
    <t>PER-BSIC150121-022</t>
  </si>
  <si>
    <t>R.D. N°144-2025 DIGDOT/ MINSA</t>
  </si>
  <si>
    <t>CLINICA SAN PABLO S.A.C</t>
  </si>
  <si>
    <t>CALLE LA CONQUISTA N° 145 URB . EL DERBY</t>
  </si>
  <si>
    <t>DIRESA HUANCAVELICA</t>
  </si>
  <si>
    <t>HOSPITAL DE LIRCAY</t>
  </si>
  <si>
    <t>ABEL GARCIA VILLAFUERTE</t>
  </si>
  <si>
    <t>PER-BSIB21801-020</t>
  </si>
  <si>
    <t>LIRCAY</t>
  </si>
  <si>
    <t>nombre comercial Clínica Centenario Peruano Japonesa y con razón social “Asociación Peruano Japonesa”.</t>
  </si>
  <si>
    <t>agarciav@sanpablo.com.pe</t>
  </si>
  <si>
    <t>ANGARAES</t>
  </si>
  <si>
    <t>AV. ESMERALDA S/N BELLAVISTA</t>
  </si>
  <si>
    <t>AV, PASEO DE LOS ANDES N° 675</t>
  </si>
  <si>
    <t>DR.JUAN OTAÑE RODRIGUEZ</t>
  </si>
  <si>
    <t>JACKELINE BALTA SOTO</t>
  </si>
  <si>
    <t>juan_a2108@hotmail.com , Hospitaldelircay_Ang_Hvca@Outlook.com</t>
  </si>
  <si>
    <t>R.D. N° 130-2023 DIGDOT/MINSA</t>
  </si>
  <si>
    <t>PASCUAL CASTILLO OLORTEGUI</t>
  </si>
  <si>
    <t>Medico General Yim Ivan Mauri Vasquez</t>
  </si>
  <si>
    <t>PCASTILLO@CLINICAPJ.ORG.PE</t>
  </si>
  <si>
    <t>Obta.Ramos 982503800</t>
  </si>
  <si>
    <t xml:space="preserve">            TM: ARMANDO MORENO (CALIDAD),  MARIA UCAÑAN, VICTOR AGUILAR, BRIAN CRISPIN, LIZBTH TARAZONA, ROSMEY HUAMANI, SHALON CHUQUIHUACCHA,  OKIRO SAENZ, EDVIN SANTIAGO, TECNICOS LABORATORIO: NORMA CASTILLO, MICHAEL VASQUEZ, LUISA SILVA, BRIGITTE VILCHEZ, CAROL BURGA</t>
  </si>
  <si>
    <t>P.C. ROLANDO KANASHIRO HIGA</t>
  </si>
  <si>
    <t>T.M. JESUS ESCOBAR G,T.M. ROXANA VILLAR R, T.M. LUCIA DE LA CRUZ P., T.M. JOSE LLOSA NEYRA, T.M. YADIRA ZABARBURU Y.,  T.M. PABLO VERA O</t>
  </si>
  <si>
    <t>DIRESA ANCASH</t>
  </si>
  <si>
    <t>HOSPITAL LA CALETA</t>
  </si>
  <si>
    <t>01(TEC)</t>
  </si>
  <si>
    <t>CHIMBOTE</t>
  </si>
  <si>
    <t>SANTA</t>
  </si>
  <si>
    <t>N° 2022-0099202, 2022-0087051 y 2022-0117080</t>
  </si>
  <si>
    <t>ANCASH</t>
  </si>
  <si>
    <t>N°2023-0145241,2023-0162860,2023-171263,20230171843</t>
  </si>
  <si>
    <t xml:space="preserve">      Expediente N° 2025-0359743 y 2025-0362188
</t>
  </si>
  <si>
    <t>CLINICA JESUS DEL NORTE, Clinica San Camilo</t>
  </si>
  <si>
    <t>AV. MALECON GRAU S/N</t>
  </si>
  <si>
    <t>FERNANDO ITURRIZAGA HERRERA</t>
  </si>
  <si>
    <t>mesadepartes.hlc@gmail.com</t>
  </si>
  <si>
    <t>CESAR CÁCERES OTERO</t>
  </si>
  <si>
    <t>Cel: 970706940 Lic. Haydee</t>
  </si>
  <si>
    <t>Dr. Antonio José Espinoza Medina, Especialista en Patología y Laboratorio Clínico, Tecnólogo Médico: Haydee Margot Mendoza Ávila, Julio César Paredes Ramos, Silvia Albertina Vidal Carbajal, Luis Armando Hernandez Arteaga, Milagros Fatima La Jara Solano, Medaly Anais Vasquez Callan, Deysi Victoria Fernandez Castillo.</t>
  </si>
  <si>
    <t>PER-BSII150130-022</t>
  </si>
  <si>
    <t>PER-BSIA140101-020</t>
  </si>
  <si>
    <t>PER-BSIC200101-023</t>
  </si>
  <si>
    <t>R.D. N° 152-2023 DIGDOT/MINSA</t>
  </si>
  <si>
    <t>R.D. N° 001-2023 DIGDOT/MINSA</t>
  </si>
  <si>
    <t>XXXXX</t>
  </si>
  <si>
    <t>XXXX</t>
  </si>
  <si>
    <t>Expedientes: N° 2023- 0106311, N°2023- 0119964, N° 2023- 0120818 y N° 2023- 0128833</t>
  </si>
  <si>
    <t>HOSPITAL ELEAZAR GUZMAN BARRON</t>
  </si>
  <si>
    <t>NC: CLINICA SAN BORJA RS: LA ESPERANZA DEL PERU S.A</t>
  </si>
  <si>
    <t>HOSPITAL II JORGE REATEGUI DELGADO</t>
  </si>
  <si>
    <t>CLINICA SAN EDUARDO - CLINICA FLORIAN S.A.C.</t>
  </si>
  <si>
    <t>AV. GUARDIA CIVIL N°337</t>
  </si>
  <si>
    <t>PER-BSIB40101-021</t>
  </si>
  <si>
    <t>R.D. N° 138-2023 DIGDOT/MINSA</t>
  </si>
  <si>
    <t>CARLOS MARTINEZ VARGAS TENORIO SANCHO DAVILA</t>
  </si>
  <si>
    <t>carlos.martinez@sanna.pe</t>
  </si>
  <si>
    <t>CALLE 7 DE ENERO SUR 264</t>
  </si>
  <si>
    <t>AMPARO BEATRIZ GUILLEN LAZO</t>
  </si>
  <si>
    <t>16744 (*)</t>
  </si>
  <si>
    <t>DR. JUAN JULIO FLORIAN CABELLOS</t>
  </si>
  <si>
    <t xml:space="preserve">TM. Vania Laguna Paz (responsable de calidad), TM. Marielena Mostacero Castillo, TM.Ferrari Rivera, TM.Jonathan Velásquez Cuba. TM.Carlos Escala Soto, TM. Jhan Canales Loayza.
TM. Yohana Cienfuegos Melado, TM.Ana Rodríguez Apolo, TM.Martin Díaz Quepuy, Luis Vargas Marchuca Vera, TM.Edson Abanto Izquierdo.TM. Luani Linares Masson.
</t>
  </si>
  <si>
    <t>laboratorios.saneduardo@gmail.com</t>
  </si>
  <si>
    <t>CLINICAS AUNA SEDE VALLE SUR - RS: CLINICA VALLE SUR S.A</t>
  </si>
  <si>
    <t>Medico Patologo: Dra. Angela Yovera Puican</t>
  </si>
  <si>
    <t>AV.  GRAU N°1150</t>
  </si>
  <si>
    <t>Cel: 978835551 - anyi130@hotmail.com</t>
  </si>
  <si>
    <t>Medico Patologo: Angela Yovera Puican , Blg. Cinthia Rojas Muñoz , TM. Morales Nunez Olga, TM. Anderson Ramos Diaz</t>
  </si>
  <si>
    <t>AV LA SALLE N°116</t>
  </si>
  <si>
    <t xml:space="preserve">Expediente N° 2023-0061241, N° 2023-0032315, Nº2023-0061438, 
                    N°2023-0164883
</t>
  </si>
  <si>
    <t>Dr. FELIX HUMBERTO ZAPATA RODRIGUEZ</t>
  </si>
  <si>
    <t>Razón social Callao Salud S.A.C. y nombre comercial Hospital Alberto Leonardo Barton Thompson, Clinica Santa Isabel, Clinica Alvarez, Medavan, CEFRA</t>
  </si>
  <si>
    <t>EDGAR EDUARDO RUIVERA DIAZ</t>
  </si>
  <si>
    <t>PAT. CLÍN. ANA BACA PADILLA</t>
  </si>
  <si>
    <t>erivera@auna.pe , ,huanqui@auna.pe</t>
  </si>
  <si>
    <t>N° 2022-0090255</t>
  </si>
  <si>
    <t>DR.JUAN JOSE DIAZ ROSSEL</t>
  </si>
  <si>
    <t>T.M. Ernesto Calderon Carlos, T.M. Deybi Junior Carmen Hermandez. T.M. Armando Siesquén Santisteban. T.M. Angelia Reyes Jimenez. T.M. Steffanni Gissel Ocampos Reyel. T.M. Jimmy Neptali Severino Suarez.</t>
  </si>
  <si>
    <t>TM. Claudia Molleda Huerta , Juan Alberto Ccallta Arizaca, Gabriela sofia Manrique Almenara</t>
  </si>
  <si>
    <t>PER-BSII150143-023</t>
  </si>
  <si>
    <t>R.D. N° 167-2023 DIGDOT/MINSA</t>
  </si>
  <si>
    <t>Expedientes : N°2023-0114665 , 2023-0126060 y 2023-0143911</t>
  </si>
  <si>
    <t>2026-0185217, 2026-0209690 y 2026-0226179</t>
  </si>
  <si>
    <t>PER-BSIA110201 -273</t>
  </si>
  <si>
    <t xml:space="preserve">R.D N°090-2025-DIGDOT/MINSA </t>
  </si>
  <si>
    <t>LORETO</t>
  </si>
  <si>
    <t>RS: VILLA MARÍA DEL TRIUNFO S.A.C. NC: GUILLERMO KAELIN DE LA FUENTE</t>
  </si>
  <si>
    <t>VILLA MARÍA DEL TRIUNFO</t>
  </si>
  <si>
    <t>PER-BSIB30101-022</t>
  </si>
  <si>
    <t>CLINICA DANIEL A. CARRION</t>
  </si>
  <si>
    <t>R.D. N° 142-2023 DIGDOT/MINSA</t>
  </si>
  <si>
    <t>PUEBLO JOVEN NUEVA ESPERANZA Mz. 1B, SUBLOTE 1, PABELLÓN 1, CRUCE AV. 26 DE NOVIEMBRE CON AV. DEFENSORES DE LIMA</t>
  </si>
  <si>
    <t xml:space="preserve">CHINCHA </t>
  </si>
  <si>
    <t>DRA. CARLA UARIARTE ALAYZA (DIRECTOR MEDICO)</t>
  </si>
  <si>
    <t>AV. IDELFONSO Nº 226 - JR. LIMA N° 566</t>
  </si>
  <si>
    <t>patricia.leon@callaosalud.com.pe / 952795593</t>
  </si>
  <si>
    <t>DIRESA APURIMAC</t>
  </si>
  <si>
    <t>Médico patologo clinico ROCIO VIVES RIVERO</t>
  </si>
  <si>
    <t>ALFONSO ORMEÑO VILLA</t>
  </si>
  <si>
    <t>IPRESS denominada Seguro Social de Salud - ESSALUD - Hospital II Abancay</t>
  </si>
  <si>
    <t>cdacsa@hotmail.com</t>
  </si>
  <si>
    <t>ALICIA ANTOINETTE ARIZOLA AGUADO</t>
  </si>
  <si>
    <t>Médico Patólogo Clínico asistente: Arcelia Morayma Macedo Domínguez.  Lic. Tecnólogos Médicos (11): Richard Humberto Lima García, José Luis Espillco Herrera, Jacqueline Cáceres Morveli, Abraham Luna Flores, Aquiles Alexander Chihuana Arbieto, Licet Giannina García Julca, Feliciano Rodríguez Cenepo, Indhira Medalith Quispe Escalante, Anny Russvel Chávez Yacila, Sergio Efraín Arias Quispe y Luz Estefania Cárdenas Espinoza.</t>
  </si>
  <si>
    <t>LIC. OLGA ARGUEDAS ANTON, LIC. MARIA NELLY MEZA ACEVEDO, LIC. MARIA DELGADO DIAZ</t>
  </si>
  <si>
    <t>ABANCAY</t>
  </si>
  <si>
    <t>Expedientes: 2023-0140999, N° 2023-01586041, N° 2023-0180842</t>
  </si>
  <si>
    <t>APURIMAC</t>
  </si>
  <si>
    <t>2025- 0137727, 2025-0157964</t>
  </si>
  <si>
    <t>Lote 61 Quinta Cayetana Patibamba</t>
  </si>
  <si>
    <t>JORGE PONCE JUAREZ</t>
  </si>
  <si>
    <t>jorge.ponce@essalud.gob.pe</t>
  </si>
  <si>
    <t>DRA. KATYA ROZZANA RODRIGUEZ BERRIO</t>
  </si>
  <si>
    <t>999 494 921</t>
  </si>
  <si>
    <t>PER-BSII21809-024</t>
  </si>
  <si>
    <t xml:space="preserve">LIC. PAUL JUSTO CONDORI PEREZ, TM EDINSON BORDA VILLCAS, TM ZAIDA LISSETH HANCCO SOTO, TM CRISTOBAL GUTIERREZ RAMIREZ, TM EDGAR DE LA CRUZ MENDOZA, TM VICTORIA ASTOCAZA ROSALES, </t>
  </si>
  <si>
    <t>R.D. N° 169-2023 DIGDOT/MINSA</t>
  </si>
  <si>
    <t>PER-BSIA150117-022</t>
  </si>
  <si>
    <t>N° 2023-0130263 Y N°2023-0140466</t>
  </si>
  <si>
    <t>R.D. N° 009-2023 DIGDOT/MINSA</t>
  </si>
  <si>
    <t>NUEVO CHIMBOTE</t>
  </si>
  <si>
    <t>Av. Brasil s/n Urb. Santa Cristina</t>
  </si>
  <si>
    <t>CLINICA SAN BARTOLOME</t>
  </si>
  <si>
    <t>PER-BSIB150118-023</t>
  </si>
  <si>
    <t>CESAR AUGUSTO ACEVEDO ORELLANO</t>
  </si>
  <si>
    <t>R.D. N° 144-2023 DIGDOT/MINSA</t>
  </si>
  <si>
    <t>mesadepartes@hegb.gob</t>
  </si>
  <si>
    <t>M.C. Vásquez Sáenz Ruddy Jaqueline (refiere ya no es Jefa)</t>
  </si>
  <si>
    <t>AV. CARLOS IZAGUIRRE N° 1142</t>
  </si>
  <si>
    <t>JORGE ELIAS PALACIOS BAZAN</t>
  </si>
  <si>
    <t xml:space="preserve">M.C. Vásquez Sáenz Ruddy Jaqueline  1. T.M. Matos Huaytan Cesar David.,  T.M. Zavaleta Vargas Gregoria Elena., T.M. Pereda Ruiz Jorge Junior,  T.M. Liñan Gerrero Roberto Carlos., T.M. Heredia Martinez Marco Antonio,T.M. Alzamora Maldonado Candy Dolibet, T.M. Carbajal Valverde Diego Ian.
</t>
  </si>
  <si>
    <t>clinicasanbartolome@hotmail.com</t>
  </si>
  <si>
    <t xml:space="preserve">DIRIS LIMA ESTE </t>
  </si>
  <si>
    <t>Medico Patologo: Jorge Martin Ruiz Cotrina</t>
  </si>
  <si>
    <t xml:space="preserve">HOSPITAL DE MEDIANA COMPLEJIDAD JOSE AGURTO TELLO </t>
  </si>
  <si>
    <t>Lic. Edison Nina: 940 249 827</t>
  </si>
  <si>
    <t>Medico Patologo: Jorge Martin Ruiz Cotrina, TM. Edison Nina Carpio, TM. Reynaldo Artica Vicente, T.M. Evelyne Tracy Paredes Sipan</t>
  </si>
  <si>
    <t>N° 2023- 0170193, N° 2023- 0195403 y N° 2023- 0194973</t>
  </si>
  <si>
    <t>LURIGANCHO-CHOSICA</t>
  </si>
  <si>
    <t>N° 2022-0118036 y 2023-0005017</t>
  </si>
  <si>
    <t xml:space="preserve">JIRÓN JR. AREQUIPA 214 - 218 </t>
  </si>
  <si>
    <t>HOSPITAL E. SERGIO BERNALES</t>
  </si>
  <si>
    <t>Ciro Liberato Ramon</t>
  </si>
  <si>
    <t>LIBERO24919@GMAIL.COM</t>
  </si>
  <si>
    <t>PER-BSII150101-025</t>
  </si>
  <si>
    <t>PEDRO LUIS KOC CASTAÑEDA</t>
  </si>
  <si>
    <t>R.D. N° 179-2023 DIGDOT/MINSA</t>
  </si>
  <si>
    <t>PER-BSIA040126-023</t>
  </si>
  <si>
    <t>R.D. N° 004-2023 DIGDOT/MINSA</t>
  </si>
  <si>
    <t xml:space="preserve">HOSPITAL NACIONAL DOCENTE MADRE NIÑO SAN BARTOLOME </t>
  </si>
  <si>
    <r>
      <rPr>
        <rFont val="Calibri"/>
        <b/>
        <color rgb="FF000000"/>
        <sz val="11.0"/>
      </rPr>
      <t xml:space="preserve"> LIC. TM. Andrea Yanina Condor</t>
    </r>
    <r>
      <rPr>
        <rFont val="Calibri"/>
        <color rgb="FF000000"/>
        <sz val="11.0"/>
      </rPr>
      <t xml:space="preserve">,    </t>
    </r>
    <r>
      <rPr>
        <rFont val="Calibri"/>
        <b/>
        <color rgb="FF000000"/>
        <sz val="11.0"/>
      </rPr>
      <t>LIC. T.M. Fernando Zosimo Navarro Atiz</t>
    </r>
    <r>
      <rPr>
        <rFont val="Calibri"/>
        <color rgb="FF000000"/>
        <sz val="11.0"/>
      </rPr>
      <t xml:space="preserve">, </t>
    </r>
    <r>
      <rPr>
        <rFont val="Calibri"/>
        <b/>
        <color rgb="FF000000"/>
        <sz val="11.0"/>
      </rPr>
      <t>LIC. T.M. Lisseth Robles Ramos</t>
    </r>
    <r>
      <rPr>
        <rFont val="Calibri"/>
        <color rgb="FF000000"/>
        <sz val="11.0"/>
      </rPr>
      <t xml:space="preserve">, </t>
    </r>
    <r>
      <rPr>
        <rFont val="Calibri"/>
        <b/>
        <color rgb="FF000000"/>
        <sz val="11.0"/>
      </rPr>
      <t>LIC. T.M. Diana Irma Herrera Crispín</t>
    </r>
    <r>
      <rPr>
        <rFont val="Calibri"/>
        <color rgb="FF000000"/>
        <sz val="11.0"/>
      </rPr>
      <t xml:space="preserve"> ,  </t>
    </r>
    <r>
      <rPr>
        <rFont val="Calibri"/>
        <b/>
        <color rgb="FF000000"/>
        <sz val="11.0"/>
      </rPr>
      <t>LIC. T.M. Juana Ortiz Talaverano</t>
    </r>
    <r>
      <rPr>
        <rFont val="Calibri"/>
        <color rgb="FF000000"/>
        <sz val="11.0"/>
      </rPr>
      <t>,</t>
    </r>
    <r>
      <rPr>
        <rFont val="Calibri"/>
        <b/>
        <color rgb="FF000000"/>
        <sz val="11.0"/>
      </rPr>
      <t xml:space="preserve">  LIC. T.M. Máximo Llantoy Calle, LIC. T.M. Leopoldo Frank roque Morales, LIC. T.M. Mlasquez Quispe Diorella Yuly, Lic. T.M. Mery Luz Sanchez Candiotti, LIC. T.M. Willmer Galvez Huaman</t>
    </r>
    <r>
      <rPr>
        <rFont val="Calibri"/>
        <color rgb="FF000000"/>
        <sz val="11.0"/>
      </rPr>
      <t xml:space="preserve">
</t>
    </r>
  </si>
  <si>
    <t>AVENIDA ALFONSO UGARTE 825</t>
  </si>
  <si>
    <t>ROCIO DE LAS MERCEDES LEON RODRIGUEZ</t>
  </si>
  <si>
    <t xml:space="preserve">MC. PATOLOGO FANNY BENDEZU IBARRA </t>
  </si>
  <si>
    <t>N°2023-0129159,N°2023-0142019, N°2023-0149364, N°2023-0152231, N°; Mediante exp N° 2024-0193107 de fecha 15/08/2024 Envian oficio informando que el Banco de Sangre fue reubicado dentro de la IPRESS, actualización de recurso humano del Banco de Sangre
2023-0162959</t>
  </si>
  <si>
    <t>988 881 090</t>
  </si>
  <si>
    <t xml:space="preserve">TM. Ricaldes Leiva Neli Marciana TM. Cardenas Huatuco Vianca Lizandra TM. Graciela Portillo LLnaco TM. Rocio Quea Mamani  TM. Evert Segundo Suarez Obregón TM. Edward Julcamanyan Tantavilca  TM. Magallanes Sebastian Martín Gaspar  TM. Andres Lara Rodriguez  TM. 
</t>
  </si>
  <si>
    <t>INSTITUTO DE ESPECIALIDADES MÉDICAS QUIRÚRGICAS Y ONCOLÓGICAS SEÑOR DE LA MISERICORDIA - CLÍNICA ALIVIARI</t>
  </si>
  <si>
    <t>CALLE LEON VELARDE N° 406</t>
  </si>
  <si>
    <t>2023-0167858, 2023-0178236 y 2023-0193605</t>
  </si>
  <si>
    <t>HOSPITAL CARLOS LANFRANCO LA HOZ</t>
  </si>
  <si>
    <t>PER-BSIB200101-024</t>
  </si>
  <si>
    <t>PATRICIO GONZALO AZÁLGARA LAZO</t>
  </si>
  <si>
    <t>R.D. N° 146-2023 DIGDOT/MINSA</t>
  </si>
  <si>
    <t>administracion@aliviari.com</t>
  </si>
  <si>
    <t>MÉDICO PATOLOGO: LUIS ANTONIO VIZCARRA ZEGARRA</t>
  </si>
  <si>
    <t>ADMINISTRADOR: 993380851</t>
  </si>
  <si>
    <t>T.M. GUADALUPE MIRELLA COILO. TM. LEIDY YAMILET CANO QUISPE</t>
  </si>
  <si>
    <t>PER-BSII150113-026</t>
  </si>
  <si>
    <t>IPRESS Grupo Carita Feliz S.A.</t>
  </si>
  <si>
    <t>R.D. N° 180-2023 DIGDOT/MINSA</t>
  </si>
  <si>
    <t>N°2022-0112741, N°2023-0003612.</t>
  </si>
  <si>
    <t>Calle Huancavelica N°1039, Urb. 4 de enero</t>
  </si>
  <si>
    <t>HOSPITAL NACIONAL EDGARDO REBAGLIATI MARTINS</t>
  </si>
  <si>
    <t>JESUS MARIA</t>
  </si>
  <si>
    <t>PER-BSIA150113-024</t>
  </si>
  <si>
    <t>JR. EDGARDO REBAGLIATI N°490</t>
  </si>
  <si>
    <t>R.D.N° 013-2023 DIGDOT/MINSA</t>
  </si>
  <si>
    <t>RICARDO OLEA ZAPATA</t>
  </si>
  <si>
    <t>JUAN ALBERTO SANTILLANA CALLIRGOS</t>
  </si>
  <si>
    <t>ricardo.olea@clinicacaritafeliz.com</t>
  </si>
  <si>
    <t>juan.santillana@essalud.gob.pe</t>
  </si>
  <si>
    <t>JOEL ANCAJIMA MORE</t>
  </si>
  <si>
    <t>PATOLOGO CLINICO ARTUTO SAGASTEGUI SOTO</t>
  </si>
  <si>
    <t>979 374 361</t>
  </si>
  <si>
    <t xml:space="preserve">TM HARLINSON PACHERRE SEMINARIO, TM NOE OLAYA NIÑO, TM YESENIA VALENCIA VALVERDE, TM JUNIOR CARMEN HERNANDEZ, TM ERNESTO CALDERON CARLOS, </t>
  </si>
  <si>
    <t>UCAYALI</t>
  </si>
  <si>
    <t>SERVICIOS ASISTENCIALES SANTA BEATRIZ S.A.C. - CLINICA SANTA BEATRIZ</t>
  </si>
  <si>
    <t xml:space="preserve">1. TM JENNY MARLENE ALVARADO DURAN, 
2. TM EDWIN AZAÑA ALONSO, 
3. TM BEJAR VILELA ROSARIO,
 4. TM YADIRA MIRTHA CALDERON ESPINOZA,
 5. TM HENRY ADOLFO CAMPOS PAJUELO 
6. TM WILLY MANUEL CERON TELLO, 
7. TM BELINDA ROCIO CORDOVA CERVANTES, 
8. TM JOSE MANUEL CORNEJO SALAZAR
9. TM CARLOS LUIS COSTILLA RIVERA, 
10. TM CARLOS CRUZALEGUI FALCON
11. TM MARIA CLIMENE DAMACEN MELEDEZ,
12. TM REYNALDO ENCISO HUAMANI
13. TM ELIZABETH HUAMANI MOSCOL
14. TM JOSE VICENTE JARA VILA
15. TM ROSA MICAELA KAMIYA SHIBATA 
16. TM LEYVA CARLOS ANITA DEL CARMEN, 
17 TM MELENDEZ VERASTEGUI IVAN BENJAMIN, 
18 TM LUIS ENRIQUE MENDOZA FIESTAS
19 TM JIMMY RINALDO MORALES DEL PINO
20 TM OBREGON HUAYTA MARGOT OLIVIA, 
21 TM MARIO ANTONIO PAIVA CASTILLO
22 TM JOSE ANTONIO PAREDES ARRASCUE, 
23 TM KARLA ALEXANDRA PAREDES GARCIA
24 TM PENALILLO PIMENTEL CARLOS ENRIQUE, 
25 TM GUILLERMO VICTOR PEREZ HUIÑAC, 
26 TM HECTOR ENRIQUE REYNA GARCIA
27 TM JORGE LUIS SANCHEZ ACEVEDO, 
28 TM GIOVANNA ERIKA SANCHO PALOMINO, 
29 TM SILVIA MONICA SANI SALAZAR
30 TM MARIA CECILIA SOTO VALDEZ, 
31 TM TORRES ORTIZ RICARDO MARCEL 
32 TM VILLENA SOSA, NELVI JOSSELY, 
33 TM ROXANA ZAPATA COLLADO </t>
  </si>
  <si>
    <t>2023-0144155</t>
  </si>
  <si>
    <t>JR. RAMON DAGNINO N° 227</t>
  </si>
  <si>
    <t>N° 2023-0184935, N°2023-0194587</t>
  </si>
  <si>
    <t>ALEXIS ROMERO ROMERO</t>
  </si>
  <si>
    <t>aromero@clinicasantabeatriz.pe</t>
  </si>
  <si>
    <t>PER-BSIB130101-025</t>
  </si>
  <si>
    <t>R.D. N° 159-2023 DIGDOT/MINSA</t>
  </si>
  <si>
    <t>PER-BSII120101-027</t>
  </si>
  <si>
    <r>
      <rPr>
        <rFont val="Calibri"/>
        <color rgb="FF000000"/>
        <sz val="11.0"/>
      </rPr>
      <t xml:space="preserve">Médico Patólogo: Noelia Valdez Arroyo 
</t>
    </r>
    <r>
      <rPr>
        <rFont val="Calibri"/>
        <b/>
        <color rgb="FF000000"/>
        <sz val="11.0"/>
      </rPr>
      <t>(Cambio de jefatura, ver celda Y29)</t>
    </r>
  </si>
  <si>
    <t>R.D. N° 196-2023 DIGDOT/MINSA</t>
  </si>
  <si>
    <t>Cel. Dra Noelia Valdez.988115674</t>
  </si>
  <si>
    <t>TM MIGUEL ORDERIQUE, TM DAVID MAYLLE, TM SANCHEZ MASLUCAN</t>
  </si>
  <si>
    <t xml:space="preserve">RS: GPS TRUJILLO SAC Y NC: CLINICA CAMINO REAL </t>
  </si>
  <si>
    <t>N°2022-0098487. N°2022-0114700</t>
  </si>
  <si>
    <t>Calle Francisco Bolognesi N° 561-Trujillo</t>
  </si>
  <si>
    <t>Hospital Regional Docente Clínico Quirúrgico Daniel Alcides Carrión de Huancayo</t>
  </si>
  <si>
    <t>(2026) Jefe de Banco: Jesús Alberto Diaz Franco</t>
  </si>
  <si>
    <t>SUSANA DEL CARMEN ALARCON FERNANDEZ,</t>
  </si>
  <si>
    <t>salarconf@auna.pe</t>
  </si>
  <si>
    <t>PATOLOGO CLINICO KAREN YANET CASTILLO MINAYA</t>
  </si>
  <si>
    <t>Av. Daniel Alcides Carrión 1552 – 1556</t>
  </si>
  <si>
    <t>f</t>
  </si>
  <si>
    <t xml:space="preserve">-        TM.GERALDINE HASTRID MONDRAGON GIL, TM. ANDERSON JESUS VIGO SALINAS, TM. KARLA GABRIELA FERNANDEZ SAAVEDRA
</t>
  </si>
  <si>
    <t>Jorge ROJAS AIRE</t>
  </si>
  <si>
    <t>danielalcidescarrion@hdachyo.gob.pe</t>
  </si>
  <si>
    <t>PER-BSIA200101-025</t>
  </si>
  <si>
    <t>R.D. N° 007-2023 DIGDOT/MINSA</t>
  </si>
  <si>
    <t>PATOLOGO CLINICO Lorenzo Castro Germana</t>
  </si>
  <si>
    <t xml:space="preserve">Lic. Kattian Gavino, Lic. Danna Terrazos,Lic. Tania Ingaruca,Lic. Silvia Guevara ,Lic. Frescia Chinchay ,Lic. Katherine Aguirre
</t>
  </si>
  <si>
    <t>N°2023-0148745, N°2023-0139194, N°2023-0164806</t>
  </si>
  <si>
    <t xml:space="preserve">HOSPITAL BELEN </t>
  </si>
  <si>
    <t>CLINICA LA FLORIDA SAC</t>
  </si>
  <si>
    <t>N°2023-0162979, 2023-0176061,2023-0182589, 2023-0200634,   2023-0211076</t>
  </si>
  <si>
    <t>AV. RICHARD CUSHING N° 208 - 282</t>
  </si>
  <si>
    <t>MIGUEL ALBERTO CHAVARRI VARGAS</t>
  </si>
  <si>
    <t>clinicalafloridasac@outlook.com, mickychavarri@hotmail.com</t>
  </si>
  <si>
    <t>PER-BSIB60601-026</t>
  </si>
  <si>
    <t xml:space="preserve">Medico Patologo Clinico Kely Magali Velásquez Torres </t>
  </si>
  <si>
    <t>R.D. N° 154-2023 DIGDOT/MINSA</t>
  </si>
  <si>
    <t>CEL DR.CHAVARRI: 968 956 825</t>
  </si>
  <si>
    <t>PER-BSII120101-028</t>
  </si>
  <si>
    <t>R.D. N° 193-2023 DIGDOT/MINSA</t>
  </si>
  <si>
    <t>Hospital Santa María de Cutervo de Cajamarca</t>
  </si>
  <si>
    <t>N° 2023-0000322, N°2023-0000788 y N°2023-00048477</t>
  </si>
  <si>
    <t>CUTERVO</t>
  </si>
  <si>
    <t xml:space="preserve">Hospital Nacional Ramiro Priale Priale </t>
  </si>
  <si>
    <t>Jr. Inca s/n</t>
  </si>
  <si>
    <t>ROSA DELGADO TORO</t>
  </si>
  <si>
    <t>oitesrscutervo@gmail.com</t>
  </si>
  <si>
    <t>Av. Independencia N°296 el Tambo</t>
  </si>
  <si>
    <t>M.C. Victoria Vargas Vasquez</t>
  </si>
  <si>
    <t>PER-BSIA150113-026</t>
  </si>
  <si>
    <t>JESUS EUGENIO BORJAS VELASQUEZ</t>
  </si>
  <si>
    <t>R.D. N° 011-2023 DIGDOT/MINSA</t>
  </si>
  <si>
    <t>Tecnólogos Médicos: Cristhy Carranza, Juan Collantes, Yamelly Coronel, Idelsa Flores. Bióloga Natali Zambrano</t>
  </si>
  <si>
    <t>Medico Patologo Clinico CHRISTIAAN FERNANDO CASTRO CONTRERAS</t>
  </si>
  <si>
    <t>TM. Angel Wilmer Rodriguez Quispe , TM. Eloy Nahum Huaman Francia, TM.Cortez Alejandro Juan, TM. Mandujano Yalico Fernando Ernesto, TM. Celso Segundo Cotrina Garces, TM. Angela Yauri Gutierrez y la TM. Laura Guicela Flores.</t>
  </si>
  <si>
    <t>N° 2023-0150368, 2023-0160492</t>
  </si>
  <si>
    <t>NUEVA CLINICA DE LIMA SAC</t>
  </si>
  <si>
    <t xml:space="preserve">Expedientes: Nº2023-0171125 N°2023-0196487, N° 2023-0203484 y
2023-0211666
</t>
  </si>
  <si>
    <t>AV. BRASIL N° 1199</t>
  </si>
  <si>
    <t>PER-BSIB150137-027</t>
  </si>
  <si>
    <t>DR. GLYCERIO YURI ARROYO TOVAR</t>
  </si>
  <si>
    <t>R.D. N° 163-2023 DIGDOT/MINSA</t>
  </si>
  <si>
    <t>ADMINISTRACION@BELLAFORMA.COM</t>
  </si>
  <si>
    <t>MEDICO PATOLOGO: Carlos Mendoza Euribe</t>
  </si>
  <si>
    <t>PER-BSII10101-029</t>
  </si>
  <si>
    <t>R.D. N° 197-2023 DIGDOT/MINSA</t>
  </si>
  <si>
    <t xml:space="preserve">HOSPITAL IIE SAN ISIDRO LABRADOR </t>
  </si>
  <si>
    <t>SANTA ANITA</t>
  </si>
  <si>
    <t>Tecnólogo Médico: Mauro Durand Ocaña</t>
  </si>
  <si>
    <t>HOSPITAL REGIONAL VIRGEN DE FATIMA</t>
  </si>
  <si>
    <t>AVENIDA CARRETERA CENTRAL 1345 KM3,5</t>
  </si>
  <si>
    <t>CHACHAPOYAS</t>
  </si>
  <si>
    <t>HECTOR BERASTAIN MERINO</t>
  </si>
  <si>
    <t>2022-0105567 2022-0114521 2023-0003542</t>
  </si>
  <si>
    <t>hector.berastain@essalud.gob.pe</t>
  </si>
  <si>
    <t>PASAJE DANIEL ALCIDES CARRION N°440</t>
  </si>
  <si>
    <t>Dra. SHIRLEY KAREM MORALES GUTIERREZ</t>
  </si>
  <si>
    <t>Jorge Orestes Ojeda Torres</t>
  </si>
  <si>
    <t>TM.SANTOS VARAS LENIN POLIVIO, TM.PERCY CRUZ ROSALES, TM.VICTOR HUGO LLAJA VERGARAY, TM.JAIME FELIX COCA NUÑEZ , TM.WILMER CRISENCIO GERI PAREDES</t>
  </si>
  <si>
    <t>direccion@hospitalvirgendefatima.gob.pe</t>
  </si>
  <si>
    <t>Antonio José Espinoza medina (COMUNICO QUE YA NO ES JEFE)</t>
  </si>
  <si>
    <t>T.M. Leiva Bustamante Yuliza, T.M. Lalangui Sarmiento Angela, T.M. Ramos Serrato Juan Carlos, T.M. Tocto DIaz Einer, T.M. Ramirez Agurto Ana</t>
  </si>
  <si>
    <t>N° 2023-0161980, 2023-0163842 y 2023-0172023</t>
  </si>
  <si>
    <t>TUMBES</t>
  </si>
  <si>
    <t>2023-0179226 / 2023-0192244 / 2023-0226364 / 023-0228894</t>
  </si>
  <si>
    <t>PER-BSIB150103-028</t>
  </si>
  <si>
    <t>R.D. N° 158-2023 DIGDOT/MINSA</t>
  </si>
  <si>
    <t>PER-BSIA100101-027</t>
  </si>
  <si>
    <t>R.D. N° 010-2023 DIGDOT/MINSA</t>
  </si>
  <si>
    <t>PER-BSII150131-030</t>
  </si>
  <si>
    <t>R.D. N° 212-2023 DIGDOT/MINSA</t>
  </si>
  <si>
    <t>HOSPITAL II VITARTE - ESSALUD</t>
  </si>
  <si>
    <t>ATE</t>
  </si>
  <si>
    <t xml:space="preserve">CLINICA HUANUCO E.I.R.L. </t>
  </si>
  <si>
    <t xml:space="preserve">JR. SAN MARTIN DE PORRES N°265 </t>
  </si>
  <si>
    <t>NC: CLINICA RICARDO PALMA, RS: ADMINISTRADORA CLINICA RICARDO PALMA S.A</t>
  </si>
  <si>
    <t xml:space="preserve">JEAN LOUIS FRANCIA VELASQUEZ </t>
  </si>
  <si>
    <t>jean.francia@essalud.gob.pe</t>
  </si>
  <si>
    <t>JR. CONSTITUCION N° 980</t>
  </si>
  <si>
    <t>MEDICO PATOLOGO CLINICO IOHANA NAZARITA VERA NUÑEZ</t>
  </si>
  <si>
    <t>AV.JAVIER PRADO ESTE 1038</t>
  </si>
  <si>
    <t>FAUSTINIANO VENTURO CASTRO</t>
  </si>
  <si>
    <t>TM. SIMON EUGENIO ARHUATA CASAVILCA, TM JAIME ELIAS FLORENCIO FRETEL , TM HERMELINDA ROSA MONROY QUISPE, TM LUIS MIGUEL ZAMORA GONZALES</t>
  </si>
  <si>
    <t xml:space="preserve">JAIME EDUARDO MOYA GRANDE </t>
  </si>
  <si>
    <t>clinicahuanuco@hotmail.com</t>
  </si>
  <si>
    <t>jmoya@crp.com.pe</t>
  </si>
  <si>
    <t xml:space="preserve">MÉDICO ANATOMO PATÓLOGO JUAN WILDER MOTTA RODRIGUEZ </t>
  </si>
  <si>
    <t>Patologo clinico Manrique Castagnola Eddy Renzo</t>
  </si>
  <si>
    <t>Cel: 950519393</t>
  </si>
  <si>
    <t>Anatomo Patológo: Motta Rodríguez Juan Wilder, TM.Cayo Loayza German Antonio, TM. Bautista Escobar Cristóbal Antonio</t>
  </si>
  <si>
    <t>N°2023-0171248, 2023-0174604</t>
  </si>
  <si>
    <t>TM:  Liz Magnolia Chirre Prada, Delgado Lopez John Jesus, Tiffany Liz Katherine Salas Licuona, Christopher Toledo Gamonal</t>
  </si>
  <si>
    <t>N° 2023-0205352, 2023-0202642, 2023-0221972, 2023-0240550 y 2023-0257707.</t>
  </si>
  <si>
    <t>N° 2022-0114184 y N° 2022- 0118569</t>
  </si>
  <si>
    <t>PUNO</t>
  </si>
  <si>
    <t>HOSPITAL REGIONAL HERMILIO VALDIZAN MEDRANO</t>
  </si>
  <si>
    <t>PER-BSIB120101-029</t>
  </si>
  <si>
    <t>R.D. N° 165-2023 DIGDOT/MINSA</t>
  </si>
  <si>
    <t>PER-BSII30101-031</t>
  </si>
  <si>
    <t>R.D. N° 221-2023 DIGDOT/MINSA</t>
  </si>
  <si>
    <t>PER-BSIA250101-028</t>
  </si>
  <si>
    <t xml:space="preserve">RS: CLINICA ORTEGA SRL, NC: CLINICA ORTEGA </t>
  </si>
  <si>
    <t>R.D. N° 014-2023 DIGDOT/MINSA</t>
  </si>
  <si>
    <t>Avenida Daniel Alcides Carrión 1124</t>
  </si>
  <si>
    <t>Hospital Regional Guillermo Díaz de la Vega de Abancay</t>
  </si>
  <si>
    <t>FELIX RAFAEL ORTEGA ALVAREZ</t>
  </si>
  <si>
    <t>DIRESA UCAYALI</t>
  </si>
  <si>
    <t>gerencia.co@clinicaortega.pe, asistente.gerencia.dm@clinicaortega.pe</t>
  </si>
  <si>
    <t>CLINICA FERNANDEZ  S.R.L</t>
  </si>
  <si>
    <t>MEDICO PATOLOGO CLINICO CASTRO GERMANA LORENZO JOSE</t>
  </si>
  <si>
    <t>CALLERIA</t>
  </si>
  <si>
    <t>AV. DANIEL ALCIDES CARRION S/N</t>
  </si>
  <si>
    <t>CORONEL PORTILLO</t>
  </si>
  <si>
    <t xml:space="preserve">TM.CONTRERAS ROMERO MONICA,  VELIZ POMA MILAGRITOS, TELLO ENRIQUEZ TONY , PUMA PILCO , MARCOS COTERA SHYRLEY </t>
  </si>
  <si>
    <t>JESUS RAMON ARTEAGA PINAZO</t>
  </si>
  <si>
    <t>AV.SAENZ N°150</t>
  </si>
  <si>
    <t>direcciongeneral@hrgdv.gob.pe</t>
  </si>
  <si>
    <t>PATOLOGO CLINICO DIANIRA LEON SIERRA</t>
  </si>
  <si>
    <t>JORGE FERNANDEZ PICON</t>
  </si>
  <si>
    <t>MESADEPARTES@CLINICAFERNANDEZ.PE</t>
  </si>
  <si>
    <t>2023-0153826, 2023-0166250, 2023-0182620 y 2023-0187216</t>
  </si>
  <si>
    <t>TM: YORDY ANTONY AMAO SIERRA, EDINSON BORDA VILLCAS, ELSA YESMINA PRADA QUISP,RODRIGUEZ CCARHUAS ALICIA, NANCY ESTHER GARCIA RAYMONDI, ELVER ABEL CALLE QUISPE</t>
  </si>
  <si>
    <t>MEDICO PATOLOGO MELENDEZ GENARO RICHARD 953935675</t>
  </si>
  <si>
    <t>953935675 -GERENTE 961671002 JORGE FERNANDEZ</t>
  </si>
  <si>
    <t>MADRE DE DIOS</t>
  </si>
  <si>
    <t>TECNOLOGO MEDICO, MIRANDA PEREZ BARTOLOME MARLENI, NORMA RIOS CHANG , BLGO  CELSO CASTILLO CUEVA</t>
  </si>
  <si>
    <t>N° 2023-0191251, 2023-0210861 y 2023-0258968</t>
  </si>
  <si>
    <t>PER-BSIB40126-030</t>
  </si>
  <si>
    <t>R.D. N° 182-2023 DIGDOT/MINSA</t>
  </si>
  <si>
    <t>N°2022-0085940,N°20220107025 Y N°2023-0005994</t>
  </si>
  <si>
    <t>PER-BSII30104-032</t>
  </si>
  <si>
    <t>R.D. N° 220-2023 DIGDOT/MINSA</t>
  </si>
  <si>
    <t>HOSPITAL III YANAHUARA</t>
  </si>
  <si>
    <t>PER-BSIA40101-029</t>
  </si>
  <si>
    <t>R.D. N° 015-2023 DIGDOT/MINSA</t>
  </si>
  <si>
    <t>Av. Zamacola S/N</t>
  </si>
  <si>
    <t>NC: HOSPITAL DIOSPI SUYANA, RS: ASOCIACION CIVIL RELIGIOSA DIOSPI SUYANA</t>
  </si>
  <si>
    <t>CURAHUASI</t>
  </si>
  <si>
    <t>CARLOS CUYA MAMANI</t>
  </si>
  <si>
    <t>carlos.cuya@essalud.gob.pe</t>
  </si>
  <si>
    <t>MARIA ALEJANDRA ALFARO MESTAS</t>
  </si>
  <si>
    <t>PRAXIS MEDICAL S.A.C.</t>
  </si>
  <si>
    <t>AV. SALAVERRY N°422</t>
  </si>
  <si>
    <t>N° 2023-0148320, N° 2023-0162412</t>
  </si>
  <si>
    <t>PERCY JESUS NUÑEZ VILLAR</t>
  </si>
  <si>
    <t>ASISTENTE@CLINICAESTETICALASER.COM</t>
  </si>
  <si>
    <t>MEDICO PATOLOGO CARAZAS PORTOCARRERO MILAGROS ALINA</t>
  </si>
  <si>
    <t>Médico Patólogo Carazas Portocarrero Milagros, Parada Carmen Zoila biólogo</t>
  </si>
  <si>
    <t>SECTOR CCOCHARAY S/N</t>
  </si>
  <si>
    <t>PER-BSIB120401-031</t>
  </si>
  <si>
    <t>R.D. N° 181-2023 DIGDOT/MINSA</t>
  </si>
  <si>
    <t xml:space="preserve">KLAUS DIETER JOHN </t>
  </si>
  <si>
    <t>saludambiental@diospi-suyana.org</t>
  </si>
  <si>
    <t xml:space="preserve">PATOLOGO CLINICO MARICELA CARMEN MOLLUNI BALCONA  </t>
  </si>
  <si>
    <t>N°2023-0000476 Y N°2023-0008568</t>
  </si>
  <si>
    <t xml:space="preserve">TM: ADA APATRICIA ZARATE ANCHANTE, OLGA BERTHA ENCISO MEZA  
</t>
  </si>
  <si>
    <t xml:space="preserve">Hospital Domingo Olavegoya, RS: Red de Salud Jauja </t>
  </si>
  <si>
    <t>JAUJA</t>
  </si>
  <si>
    <t>N° 2023-0218495, 2023-0226708 y 2023-0261548</t>
  </si>
  <si>
    <t>Jr. San Martin N°1153 Urb. Olavegoya</t>
  </si>
  <si>
    <t>MAGDIEL SALLY HUATUCO HUAMAN</t>
  </si>
  <si>
    <t>utesjauja@gmail.com</t>
  </si>
  <si>
    <t xml:space="preserve">PATOLOGO MEDICO ZAPATA CALDERON ANA ROSARIO </t>
  </si>
  <si>
    <t>PER-BSIA200101-030</t>
  </si>
  <si>
    <t>R.D. N°016 -2023 DIGDOT/MINSA</t>
  </si>
  <si>
    <t>AYACUCHO</t>
  </si>
  <si>
    <t xml:space="preserve">TM QUINTE GOMEZ ROSSY ROSITA CTMP13997, TM SOLIS CAMARENA LINDA ROSABEL CTMP12368, TM APACLLA NUÑEZ PATRICIA YOMAYRA CTMP12252
</t>
  </si>
  <si>
    <t>PER-BSII80108-033</t>
  </si>
  <si>
    <t>R.D. N° 001-2024 DIGDOT/ MINSA</t>
  </si>
  <si>
    <t>N°2023-0157758, N°2023-0170531, N°2023-0172509, N°2023-0173361, N°2023-0190344</t>
  </si>
  <si>
    <t xml:space="preserve">HOSPITAL PRIVADO SAN BENITO SCRL </t>
  </si>
  <si>
    <t>GERESA CUSCO</t>
  </si>
  <si>
    <t>NC: ADOLFO GUEVARA VELASCO, RS: SEGURO SOCIAL DE SALUD - ESSALUD</t>
  </si>
  <si>
    <t>WANCHAQ</t>
  </si>
  <si>
    <t>AV. ANDRÉS AVELINO CÁCERES CON INTERSECCIÓN AV. FORTUNATO CHIRICHIGNO MZ. C LTE. 3 URB. EL CHIPE</t>
  </si>
  <si>
    <t>PER-BSIB120114-032</t>
  </si>
  <si>
    <t>AV.ANSELMO ALVAREZ S/N</t>
  </si>
  <si>
    <t>SARITA YUVIANA CAMPOS CASTILLO</t>
  </si>
  <si>
    <t>R.D. N° 186-2023 DIGDOT/MINSA</t>
  </si>
  <si>
    <t>clinicasanbenitopiura@gmail.com</t>
  </si>
  <si>
    <t xml:space="preserve">JULIO CESAR ESPINOZA LATORRE </t>
  </si>
  <si>
    <t>MEDICO PATOLOGO CLINICO MARIA FRANCESCA TASSARA CICCHINI</t>
  </si>
  <si>
    <t>julio.espinoza@essalud.gob.pe</t>
  </si>
  <si>
    <t xml:space="preserve">PATOLOGO CLINICO MIRIAM ROCIO MIRANDA NUÑEZ </t>
  </si>
  <si>
    <t xml:space="preserve">MEDICO PATOLOGO CLINICO SANCHEZ AGUIRRE ROCIO ELIZABETH/TM NORMA YESENIA VALENCIA VALVERDE/TM FLOR DE MARIA ZAPATA CORONADO/ TM ORTIZ MOROCHO CARMEN DEL PILAR/ TM VANESSA IVON PANTA CRUZ </t>
  </si>
  <si>
    <t>TM. MYRIAM LOURDES CORTEZ PANCORBO, TM. BECERRA MARTINEZ CAMILO, TM. CCOTO GAMARRA JIMMY CAROLINA, BLGO.NIDIA CANDIA ZAMALLOA, BLGP. NILA JURADO ABARCA, TM. CRUZ VILLACORTA OSCAR, TM. PATRICIA ROSARIO MAYTA FRANCIA , TM. ROSALIA CHAMPI QUISPE, MED. YURI LEONIDAS DE LEON OTAZU, MED.NADIA DEL CARPIO CUENTAS</t>
  </si>
  <si>
    <t>CLINICA CAYETANO HEREDIA, RS: CLINICA CAYETANO HEREDIA S.A.</t>
  </si>
  <si>
    <t>Avenida Huancavelica N°745</t>
  </si>
  <si>
    <t>N°2022-0108315; N°2022-0116644; N° 2023-0007437</t>
  </si>
  <si>
    <t>N° 2023-0240422 y 2023-0266444</t>
  </si>
  <si>
    <t>MARILUZ REGINA ALANIA FLORES (GG)</t>
  </si>
  <si>
    <t>PASCO</t>
  </si>
  <si>
    <t>laboratorio@clinicacayetanoheredia.com, deliss_14@hotmail.com</t>
  </si>
  <si>
    <t>MEDICO PATOLOGO CLINICO ROLANDO TORRES ORUNA</t>
  </si>
  <si>
    <t>TM FREDDY LEONEL CHAVEZ ALANIA, TM DANNA DELISA TERRAZOS ROMERO, TM KATHARINE MENDOZA AGUIRRE, TM JULIO PACHECO Y TM GIAN PIER MENDOZA  SARAVIA</t>
  </si>
  <si>
    <t>PER-BSII150121-034</t>
  </si>
  <si>
    <t>R.D. N° 216-2023-DIGDOT/MINSA</t>
  </si>
  <si>
    <t>PER-BSIA060401-031</t>
  </si>
  <si>
    <t>N°2023-0164212, N°2023-0210993</t>
  </si>
  <si>
    <t>R.D. N° 018-2023 DIGDOT/MINSA</t>
  </si>
  <si>
    <t>HOSPITAL MODULAR BICENTENARIO CHOTA "GILBERTO VILLENA ARROBAS"</t>
  </si>
  <si>
    <t>PER-BSIB130101-033</t>
  </si>
  <si>
    <t>R.D. N° 192-2023 DIGDOT/MINSA</t>
  </si>
  <si>
    <t>AV. BOLIVAR CUADRA 8  S/N ESQUINA CON LA AVENIDA SUCRE</t>
  </si>
  <si>
    <t>COMUNIDAD PINGOBAMBA BAJO S/N</t>
  </si>
  <si>
    <t>CESAR WALTER HERRERA VIDAL</t>
  </si>
  <si>
    <t>cherrera@hsr.gob.pe</t>
  </si>
  <si>
    <t>LUIS ANTONIO MENDOZA URRUTIA</t>
  </si>
  <si>
    <t>Luis Alberto Antonio Sánchez Ramírez</t>
  </si>
  <si>
    <t>MENDOZAU@ESSALUD.GOB.PE</t>
  </si>
  <si>
    <t>MÉDICO PATÓLOGO CLÍNICO HARLEIN JEANCARLO OBLITAS VÁSQUEZ</t>
  </si>
  <si>
    <t>CLINICA PERUANO AMERICANA S.A.</t>
  </si>
  <si>
    <t>Médico Patólogo Clínico Asistente: Luis Alberto Antonio Sánchez Ramírez, TM. Katelin Lucía Liset Galindo Reyes,
T.M. Stefhanie Rossemary Félix Arévalo, TM. Tania E. Soto Delgado, T.M. Tudela Leidi López Chistama,
T.M. Vicenta Catalina Silva Quispe, T.M. Janett Torres Martínez, Técnico de Laboratorio Clínico Emilio Abrego Chauca</t>
  </si>
  <si>
    <t>TECNÓLOGA MÉDICA CORONEL GAVIDIA</t>
  </si>
  <si>
    <t>Av. Mansiche N°810</t>
  </si>
  <si>
    <t>Expedientes N° 2023-0167148, DIGDOT20230000352, DIGDOT20230000358 y 2023-0260693</t>
  </si>
  <si>
    <t>JUAN MIGUEL DEXTRE AGREDA</t>
  </si>
  <si>
    <t>CLINICA LIMATAMBO SAN ISIDRO, CIRE INTERVENCIONISTAS</t>
  </si>
  <si>
    <t>administración@clipam.com.pe</t>
  </si>
  <si>
    <t>MEDICO PATOLOGO CATHERINE SAENZ PAREDES</t>
  </si>
  <si>
    <t>N°2023-0001785</t>
  </si>
  <si>
    <t>961 000 913</t>
  </si>
  <si>
    <t>Dra. Catherine Saenz Paredes, Blgo. Carlos Castillo Leon, TM. Eduardo Guerra Pachamango, Blgo. Carlos Rebaza Esquen, TM Veronica Agurto Zapata</t>
  </si>
  <si>
    <t>PER-BSII120201-035</t>
  </si>
  <si>
    <t>R.D. N° 026-2024-DIGDOT/MINSA</t>
  </si>
  <si>
    <t>N° 2023-0200995 y 2023-0213878</t>
  </si>
  <si>
    <t>PER-BSIA90701-033</t>
  </si>
  <si>
    <t>R.D. N° 019-2023 DIGDOT/MINSA</t>
  </si>
  <si>
    <t>INSTITUTO REGIONAL DE ENFERMEDADES NEOPLÁSICAS CENTRO (IREN CENTRO)</t>
  </si>
  <si>
    <t>CONCEPCIÓN</t>
  </si>
  <si>
    <t>PER-BSIB140101-034</t>
  </si>
  <si>
    <t>R.D. N° 199-2023 DIGDOT/MINSA</t>
  </si>
  <si>
    <t>HOSPITAL DE PAMPAS DE TAYACAJA</t>
  </si>
  <si>
    <t>AV. PROGRESO S/N</t>
  </si>
  <si>
    <t>PAMPAS</t>
  </si>
  <si>
    <t>TAYACAJA</t>
  </si>
  <si>
    <t>ALEXANDER CHAVEZ HUAMAN</t>
  </si>
  <si>
    <t>JR. BOLIVAR N° 421</t>
  </si>
  <si>
    <t>RS: HOSPITAL METROPOLITANO S.A, NC: CLINICA METROPOLITANA</t>
  </si>
  <si>
    <t>Dra. ERIKA OCHOA MUÑOZ</t>
  </si>
  <si>
    <t>hospitalpampas@regionhuancavelica</t>
  </si>
  <si>
    <t>MEDICO GENERAL: YULIANA ERIKA SEGOVIA CORDOVA</t>
  </si>
  <si>
    <t>CEL. 976174286</t>
  </si>
  <si>
    <t>CALLE MANUEL MARIA IZAGA N°154</t>
  </si>
  <si>
    <t xml:space="preserve">(N° 2024-0002717, N°2024-0010741, N°2024-0040331, 
N° 2024-0066615, N° 2024-0079487
</t>
  </si>
  <si>
    <t>FERMIN FRANCISCO FALEN ESCAJADILLO</t>
  </si>
  <si>
    <t>dadministrativa@metrosac.com</t>
  </si>
  <si>
    <t>MEDICO PATOLOGO JORGE LUIS GARCIA CARASSAS</t>
  </si>
  <si>
    <t>957443724 DR. JAIME CARO GERENTE</t>
  </si>
  <si>
    <t xml:space="preserve">Lic.Luina Sánchez Contreras, Lic. María Rivas Castillo, Lic. Catherine Cantos Puicon,Lic. Liz Balcázar Chumacero </t>
  </si>
  <si>
    <t>PER-BSII150113-036</t>
  </si>
  <si>
    <t>R.D. N° 042-2024-DIGDOT/MINSA</t>
  </si>
  <si>
    <t>N°2023-0171638 , N°2023-0218244</t>
  </si>
  <si>
    <t>N°2022-0101259</t>
  </si>
  <si>
    <t>INSTITUTO NACIONAL CARDIOVASCULAR CARLOS ALBERTO PESCHIERA CARRILLO- INCOR- ESSALUD</t>
  </si>
  <si>
    <t>PER-BSIB150136-035</t>
  </si>
  <si>
    <t>R.D. N° 203-2023 DIGDOT/MINSA</t>
  </si>
  <si>
    <t>Jirón coronel Félix Zegarra N° 397-417-455-465-491-495</t>
  </si>
  <si>
    <t>Frank Wallace BRITTO PALACIOS</t>
  </si>
  <si>
    <t>frank,britto@.gob.pe</t>
  </si>
  <si>
    <t>PER-BSIA220901-034</t>
  </si>
  <si>
    <t xml:space="preserve">PATOLOGO CLÍNICO JACKELINE NANCY MERCEDES BALTA SOTO </t>
  </si>
  <si>
    <t>R.D. N° 022-2023 DIGDOT/MINSA                  R.D. N° 054-2024 DIGDOT/MINSA</t>
  </si>
  <si>
    <t>RS: CENTRO MÉDICO CLÍNICA SAN JUDAS TADEO S.A.; NC: CLÍNICA SAN JUDAS TADEO</t>
  </si>
  <si>
    <t>03/02/2023           28/08/2024</t>
  </si>
  <si>
    <t xml:space="preserve">MEDICO PATOLOGO CLINICO: KATHY NELLY GUTIERREZ FERNANDEZ, LICENCIADOS TECNOLOGOS MÉDICOS: T.M. FERNANDO SARCO PALACIOS BUTRON,T.M. ALBERTO ANTONIO PEIXOTO VISE, T.M. VICTOR FELIPE VARGAS MENDOZA, T.M. JUAN JOSE MONTAÑEZ MEJÍA, T.M. FERNANDEZ FERNANDEZ VERONICA, T.M. CATHERINE LOPEZ CAURACURI, T.M. GIANNINA ELENA GUEVARA DIAZ. TECNICOS: CHUCHON MANRIQUE GLADYS MARIA , YRINA ZORAYA MONTES AREVALO, DIEGO ARMANDO CUMPEN SAAVEDRA, ISIS DALILA LA ROSA HUERTAS, CARMEN KACHAHUALLPA HUAMAN, </t>
  </si>
  <si>
    <t>07/02/2023
02/09/2024</t>
  </si>
  <si>
    <t>Calle Manuel Raygada N°170- Calle Laureano Martinez N° 140</t>
  </si>
  <si>
    <t>Ricardo FIORANI RONDAN</t>
  </si>
  <si>
    <t>Corporación Médica San Martín SAC- CORPOMEDIC SAC (SUSP DEFINITIVA)</t>
  </si>
  <si>
    <t>MC PATOLOGO CLÍNICO  CUBAS BANCES ZAHNDER - ACTUALIZADO 24/04/2024, SEGÚN CMSJT-0014-2024-DM CON EXP: 2024-0085036</t>
  </si>
  <si>
    <t xml:space="preserve">SAN MARTIN </t>
  </si>
  <si>
    <t>Jr. Nicolás de Piérola N°162 Tarapoto</t>
  </si>
  <si>
    <t>AUGUSTO RICARDO LLONTOP REATEGUI (Gerente General) JONATHAN LEE AREVALO PINCHI (Gerente Administrativo)</t>
  </si>
  <si>
    <t>CORPOMEDIC.ADM@GMAIL.COM</t>
  </si>
  <si>
    <t>PER-BSII150103-037</t>
  </si>
  <si>
    <t>MEDICO PATOLOGO LUIS ALBERTO ABAD POZO</t>
  </si>
  <si>
    <t>N° 2023-0192163, N° 2023-0200751, N° 2023-0205006, N° 2023-0220655, N°  2023-0223215, N° 2023-0224543</t>
  </si>
  <si>
    <t>R.D. N° 044-2024-DIGDOT/MINSA</t>
  </si>
  <si>
    <t>CEL. 972047244</t>
  </si>
  <si>
    <t>-Tecnólogo Medico: Verónica López Vargas, -Tecnólogo Medico: Marco Castillo Rojas</t>
  </si>
  <si>
    <t xml:space="preserve">HOSPITAL DE LIMA ESTE VITARTE </t>
  </si>
  <si>
    <t>N°2023-0002572</t>
  </si>
  <si>
    <t>PER-BSIB140106-036</t>
  </si>
  <si>
    <t xml:space="preserve">ATE  </t>
  </si>
  <si>
    <t>R.D. N° 198-2023 DIGDOT/MINSA</t>
  </si>
  <si>
    <t>AV. JOSE CARLOS MARIATEGUI N°364</t>
  </si>
  <si>
    <t>CIRO LIBERATO RAMON</t>
  </si>
  <si>
    <t>Eaguila@hlev.gob.pe, Avillaorduna@hlev.gob.pe</t>
  </si>
  <si>
    <t xml:space="preserve">Hospital Privado Juan Pablo II SAC </t>
  </si>
  <si>
    <t>PATOLOGO CLINICO KELLY VANESSA ALARCON PASTOR</t>
  </si>
  <si>
    <t>PER-BSIA150133-035</t>
  </si>
  <si>
    <t>PATOLOGOS CLINICOS: M.C. Yañez Rojas Federico Alberto. TECNOLOGOS MEDICOS: CARDENAS PEREA ALEXIS, CONDOR PACHECO ANDREA, HUISA RAMIREZ MICHELLE, SALVADOR MATURRANO HECTOR, PERALTA CAPARACHIN ROCIO, LEON CARLOS JHOSSELYN, CHUQUIN SALAS CLEIDERMAN, HERNANDEZ ALDANA CLAUDIA, CALDAS GUERRA JULIO, CRISPIN TINEO BRIAN, POMA GABINO PAULO, BARRIENTOS CCATAMAYO OLGA, TARAZONA LOYOLA LIZBETH, OLGUIN AMADO CAROLINA, CCASANI BARRIOS MELISSA, ROJAS SUYO KIOMI, AQUINO ALMENDRE JANET. TECNICOS LABORATORIO:CARRILLO VIVANVO RUTH, PAZ MOPRON GIULIANA, ROSARIO CHAUCA ALDO, SOTO YARASCA NILDA, MOQUILLAZA MACHACCA TATIANA, SILVA RODRIGUEZ RAY, SOTELDO GUTIERREZ MARBELYZ</t>
  </si>
  <si>
    <t>R.D. N° 028-2023 DIGDOT/MINSA</t>
  </si>
  <si>
    <t xml:space="preserve">Av. Miguel Grau N°1461 </t>
  </si>
  <si>
    <t>MOISES ALEJANDRO ROSARIO BORREGO</t>
  </si>
  <si>
    <t>gerencia@hospitaljuanpablo.com</t>
  </si>
  <si>
    <t>2024-0125174, 2024-0143624, 2024-0156704 y  2024-0157562</t>
  </si>
  <si>
    <t>MC PATOLOGO JOSE LUIS GARCIA CARASAS</t>
  </si>
  <si>
    <t>CLINICA MADRE ZORAIDA, CLINICA ONCOVIDA CASTE SOFT</t>
  </si>
  <si>
    <t>ONCOVIDA SERVICIOS MEDICOS E.I.R.L - CLINICA SAGRADA FAMILIA DEL SUR</t>
  </si>
  <si>
    <t>Lic Morales Nuñez Olga y María Pisfil Chavez, Biologa Castañeda Moreno Isabel</t>
  </si>
  <si>
    <t>Jr. BUENA AVENTURA AGUIRRE N°1229 MZ D1, SUB-LOTE 01, ZONA C2</t>
  </si>
  <si>
    <t>N° 2023-0180065</t>
  </si>
  <si>
    <t>PER-BSII150113-038</t>
  </si>
  <si>
    <t>Eduardo Mori Gonzáles</t>
  </si>
  <si>
    <t>R.D. N° 060-2024 DIGDOT/ MINSA</t>
  </si>
  <si>
    <t>clinicasagradafamiliadelsur@gmail.com</t>
  </si>
  <si>
    <t>Medico Patologo Hernán Jaime Razo Quispe</t>
  </si>
  <si>
    <t>-Tecnólogo Medico: Cesar Enrique Aguilar  -Tecnólogo Medico: Tudela Leidi López</t>
  </si>
  <si>
    <t>UNIDAD EJECUTORA 020: SANIDAD DE LA PNP - HOSPITAL PNP LUIS N SAENZ</t>
  </si>
  <si>
    <t>N°2023-0000891</t>
  </si>
  <si>
    <t>PER-BSIB150133-037</t>
  </si>
  <si>
    <t>R.D. N° 204-2023 DIGDOT/MINSA</t>
  </si>
  <si>
    <t>AVENIDA BRASIL CUADRA 26 S/N</t>
  </si>
  <si>
    <t>MOISES SALVADOR ROJAS ARCOS</t>
  </si>
  <si>
    <t>dirsapol.hnlns.dir@policia.gob.pe</t>
  </si>
  <si>
    <t>PATOLOGO CLINICO FELIX ASTORAYME ZAMORA (CAMBIO DE RESPONSABLE EXP: 2025-0261922)</t>
  </si>
  <si>
    <t>MÉDICO ASISTENTE: TM CALLO CCANA (RESPONSABLE DE CALIDAD SEGUN EXP: 2025-0261922/ TELEFONO 947 263 806),  LIC. TM. GISEL AGUILAR OCAÑA, LIC. T.M. MADELEINE HIDALGO VERGARAY, LIC. T.M. MADELEINE QUEZADA MIYASHIRO, LIC. TM. ROSA LUYO SANCHEZ, TM MORALES HURTADO, TM RIOS TERNERO, TM RAMOS MARTINES, TM MILAGROS CRISANTO, TM VANESA VEGA, TM JONATHAN VALENZUELA,  TM ORLANDO CRISANTO, TM MARIO SOTO MENDOZA, TM LIZ LUICHO, TM IVAN POSSO SANTISTEBAN, M.C. WILLIAM FELIX ASTORAYME ZAMORA,</t>
  </si>
  <si>
    <t>R.S:CLINICA SANTA MARTHA DEL SUR SOCIEDAD ANONIMA CERRADA; NC:CLINICA SANTA MARTHA DE SUR</t>
  </si>
  <si>
    <t>PER-BSIA150140-036</t>
  </si>
  <si>
    <t>R.D. N° 023-2023 DIGDOT/MINSA</t>
  </si>
  <si>
    <t xml:space="preserve">                                                                                                                                </t>
  </si>
  <si>
    <t>AV BELISARIO SUAREX N°998</t>
  </si>
  <si>
    <t>2024-0177608 Y 2024-0184008</t>
  </si>
  <si>
    <t>ENNID SARITA CHIOK RIVADENEYRA</t>
  </si>
  <si>
    <t>2025-0261922: CAMBIO DE RESPONSABLE DE BS AHORA ES MC CRISTIAN ASTORAYME, CAMBIO DE RESPONSABLE DE CALIDAD DE BS AHORA ES TM JOEL CAYO, CAMBIO DE EQUIPO DE INMUNOSEROLOGIA AHORA CUENTAN CON EL ARCHITECT I1000</t>
  </si>
  <si>
    <t>echiok@sanpablo.com.pe</t>
  </si>
  <si>
    <t>MEDICO PATOLOGO : TATIANA SARAVIA ROMANI</t>
  </si>
  <si>
    <t xml:space="preserve">Lic. Aviles Balarezo Yessenia;  Lic.lopez Morillo yrbelis; Nuñez Lazo Luis Alberto;  Fihueras Quijada Laura </t>
  </si>
  <si>
    <t>PER-BSII160108-039</t>
  </si>
  <si>
    <t>R.D. N° 057-2024 DIGDOT/ MINSA</t>
  </si>
  <si>
    <t>N° 2023-0188926, 2023-0205681, 2023-0226343</t>
  </si>
  <si>
    <t>INSTITUTO DE GINECOLOGÍA Y REPRODUCCIÓN S.A. - CLÍNICA MONTERRICO</t>
  </si>
  <si>
    <t>GERESA IQUITOS</t>
  </si>
  <si>
    <t>HOSPITAL III-1 IQUITOS -ESSALUD</t>
  </si>
  <si>
    <t>PUNCHANA</t>
  </si>
  <si>
    <t>PER-BSIB140101-038</t>
  </si>
  <si>
    <t>MAYNAS</t>
  </si>
  <si>
    <t>R.D. N° 208-2023 DIGDOT/MINSA</t>
  </si>
  <si>
    <t>AV. LA  MARINA S/N</t>
  </si>
  <si>
    <t>AV. MANUEL OLGUÍN N° 1047</t>
  </si>
  <si>
    <t>JOSE ROBERTO RUIZ RIOS</t>
  </si>
  <si>
    <t>Jose Javier Perez Ramirez</t>
  </si>
  <si>
    <t>jose.ruizr@essalud.gob.pe</t>
  </si>
  <si>
    <t>P.C. BESSY FERRERIRA YONG</t>
  </si>
  <si>
    <t>Dra. Maria Cristina Mattos Pucahuaranga, medico patologo clinico</t>
  </si>
  <si>
    <t>RAZON SOCIAL Y NOMBRE COMERCIAL: CLÍNICA DEL PACÍFICO S.A.</t>
  </si>
  <si>
    <t>LIC. T.M. JOSE A. RIOS CARBAJAL, LIC. T.M. EDSON D. CAMARGO RODRIGUEZ,  LIC. T.M. FRANK JIMMY CORDOVA VASQUEZ, LIC. T.M. VICTOR A. SILVANO PÍZANGO, LIC. T.M. ZIGNIA  LIZ AMAYA MURAYARI, LIC. T.M. LEIDY CHUPION GARCIA</t>
  </si>
  <si>
    <t>TECNOLOGO MEDICO: EDUARDO QUINTANA QUINTANA</t>
  </si>
  <si>
    <t>Avenida José Leonardo Ortiz N°420</t>
  </si>
  <si>
    <t>GEANNINA LIU IBAÑEZ</t>
  </si>
  <si>
    <t xml:space="preserve">N°2024-0122279, N° 2024-0167056 Y N° 2024-0167056 </t>
  </si>
  <si>
    <t>gerencia@clipac.pe</t>
  </si>
  <si>
    <t>MÉDICO PATÓLOGO CLÍNICO MC. Tony Farias RodrigueZ</t>
  </si>
  <si>
    <t xml:space="preserve"> TM GONZALES MIJA DARIO MOISES, MC. Tony Farias Rodrigue, TM. Yefry Silva, TM. Gabriela Ucilofen, TM. Dario Gonzales ,TM. Carolina MuñozTM. Judith Montalvo 
</t>
  </si>
  <si>
    <t>Expedientes N° 2023-0193100, N° 2023-0206898, N° 2023-0213789</t>
  </si>
  <si>
    <t>PER-BSIA120114-037</t>
  </si>
  <si>
    <t>HOSPITAL REIGONAL DE LAMBAYEQUE</t>
  </si>
  <si>
    <t>R.D. N° 025-2023 DIGDOT/MINSA</t>
  </si>
  <si>
    <t>PER-BSII150111-040</t>
  </si>
  <si>
    <t>R.D. N° 058-2024 DIGDOT/ MINSA</t>
  </si>
  <si>
    <t>PER-BSIB150137-039</t>
  </si>
  <si>
    <t>INVERSIONES M&amp;M VALENTINA S.A.C.- CHENET CLINICA ESPECIALIZADA</t>
  </si>
  <si>
    <t>R.D. N° 211-2023 DIGDOT/MINSA</t>
  </si>
  <si>
    <t>HOSPITAL NACIONAL HIPOLITO UNANUE</t>
  </si>
  <si>
    <t>EL AGUSTINO</t>
  </si>
  <si>
    <t>CALLE REAL N° 612 (ESQUINA CON JR. PARRA DEL RIEGO)</t>
  </si>
  <si>
    <t>AV CESAR VALLEJO 1390</t>
  </si>
  <si>
    <t>Luis Vladimir CHENET ROJAS</t>
  </si>
  <si>
    <t>ESSALUD- HOSPITAL I JORGE VOTO BERNALES CORPANCHO</t>
  </si>
  <si>
    <t xml:space="preserve">clinicachenethyo@gmail.com
</t>
  </si>
  <si>
    <t>MOISES  EMRIQUE TAMBINI ACOSTA</t>
  </si>
  <si>
    <t>MEDICO PATOLOGO CLINICO: JULIO TRONCOSO MENA</t>
  </si>
  <si>
    <t>moises tambinia@hnhu,gob,pe</t>
  </si>
  <si>
    <t xml:space="preserve">942724995( LIC. </t>
  </si>
  <si>
    <t>PATOLOGO CLINICO PRISCILLA KARINA ALTAMIRANO CACERES</t>
  </si>
  <si>
    <t>MEDICO PATOLOGO CLINICO: Castro Germana Lorenzo José, Tecnóloga Médica: Lozada Seijas Iliani Esperanza, Tecnóloga Médica: González Morillo Jhoannaily Josefina, Tecnóloga Médica:Guevara Huamán Silvia Marlene</t>
  </si>
  <si>
    <t>AVENIDA CARRETERA CENTRAL 1351 - KM 3.5</t>
  </si>
  <si>
    <t>995 618 888</t>
  </si>
  <si>
    <t xml:space="preserve">Lic. Cristina Contreras ,Lic. Ana Diaz Yuto,Lic. Angelica Loyola Rodas,Lic. Adriana Castañeda,Lic. Karen Lengua Villar,Lic. Edwin Rojas Quispe,Lic. Gladys Mendoza,Lic. JacksonEscolástico, Lic. Luis Román Salvador,Lic. Yosely Tomas Ramos,Lic. Loymer Cotos Morales  ,Lic. Kelly Arellano León,Lic. María Solis Gómez ,Lic. Myrian Llerena Pimentel,Lic. Carito Isla Trauco
</t>
  </si>
  <si>
    <t>DEMETRIO ANTONIO VERA MENDEZ</t>
  </si>
  <si>
    <t>demetrio.vera@essalud.gob.pe</t>
  </si>
  <si>
    <t>MEDICO PATOLOGO: RICARDO IVAN BRCAMONTE AOKI</t>
  </si>
  <si>
    <t>N° 2022-0118525 y N° 2023- 0015681</t>
  </si>
  <si>
    <t>TM: GARCIA RODRIGUEZ CANDY, ANYAIPOMA UNOCC ERIKA, QUIÑONES DAVALOS HEIDY, BERROVAL GONZALES JIMMY, ONCEBAY APOLINARIO LIZBETTTH, FRANCIA NUÑEZ WILMA, LUCERO BARRIENTOS MANUEL, AGUIRRE QUINTO MARIA</t>
  </si>
  <si>
    <r>
      <rPr>
        <rFont val="Calibri"/>
        <color rgb="FF000000"/>
        <sz val="11.0"/>
      </rPr>
      <t>N° 2024-0191258, N° 2024-0202246</t>
    </r>
  </si>
  <si>
    <t>EXPEDIENTES N° 2023-0227713, N° 2023-0244204</t>
  </si>
  <si>
    <t>PER-BSIA120101-038</t>
  </si>
  <si>
    <t>PER-BSII150105-041</t>
  </si>
  <si>
    <t>PER-BSIB150132-040</t>
  </si>
  <si>
    <t>R.D. N° 026-2023 DIGDOT/MINSA</t>
  </si>
  <si>
    <t>R.D. N° 059-2024 DIGDOT/ MINSA</t>
  </si>
  <si>
    <t>R.D. N° 209-2023 DIGDOT/MINSA</t>
  </si>
  <si>
    <t>CLÍNICA MÉDICA SALAZAR S.A.C</t>
  </si>
  <si>
    <t>RS: CLINICA NUEVO SAN JUAN SAC, NC: CLINICA SAN JUAN BAUTISTA</t>
  </si>
  <si>
    <t>INSTITUTO NACIONAL DE SALUD DEL NIÑO</t>
  </si>
  <si>
    <t>BREÑA</t>
  </si>
  <si>
    <t>JR. FRANCISCO SOLANO N°142. HUANCAYO</t>
  </si>
  <si>
    <t>AV PROCERES DE LA INDEPENDENCIA N°176MzG.Lt.09,10,11,20 y 21 URB. FLORES 78</t>
  </si>
  <si>
    <t>AVENIDA BRASIL 600</t>
  </si>
  <si>
    <t>MILTON ANTONIO TELLO CRUZ</t>
  </si>
  <si>
    <t>ANNA DIACTCHENKO</t>
  </si>
  <si>
    <t>CLINICAMEDICASALAZAR@GMAIL.COM</t>
  </si>
  <si>
    <t>CARLOS LUIS URBANO DURAND</t>
  </si>
  <si>
    <t>adiatchenko@sanpablo.com.pe</t>
  </si>
  <si>
    <t>MÉDICO PATÓLOGO CLÍNICO JULIO TRONCOSO MENA</t>
  </si>
  <si>
    <t>curbano@insn.gob.pe</t>
  </si>
  <si>
    <t>MEDICO PATOLOGO CLINICO KATIA ZUÑIGA GOMEZ</t>
  </si>
  <si>
    <t>998 812 430</t>
  </si>
  <si>
    <t>PATOLOGA CLINICA PATRICIA SALOME RAMIREZ LUCAR</t>
  </si>
  <si>
    <t xml:space="preserve">Lic. Arrieta Calderón Cesia, Lic.Ccallo Ccana Héctor, Lic. Quispe Bazán July, Lic. Oviedo Zegarra Miguel, Lic. Salazar Quispe Katherine
</t>
  </si>
  <si>
    <t xml:space="preserve">T.M. GIANELLA NAVARRO JAVIER, LEYDI MILENA MIGUEL MEZA, KARL NORBERT EGOAVIL SANTISTEBAN,  ABEL DAYAN QUINTANA VELIZ </t>
  </si>
  <si>
    <t>N° 2023-0191451,  N° 2023-0210011 y N° 2023-0231540</t>
  </si>
  <si>
    <t>Con Exp. 2024-0270443, la IPRESS comunica la designación del nuevo jefe de BS Thommy D'Janggo Cruz</t>
  </si>
  <si>
    <t>N° 2022-0098735 y N° 2023-0016272</t>
  </si>
  <si>
    <r>
      <rPr>
        <rFont val="Calibri"/>
        <sz val="11.0"/>
      </rPr>
      <t xml:space="preserve">LIC. TM.EDISON OMAR ANCIETA RAMOS, LIC TM ROCIO DEL CARMEN BRUNO SANTOS, </t>
    </r>
    <r>
      <rPr>
        <rFont val="Calibri"/>
        <color rgb="FF1155CC"/>
        <sz val="11.0"/>
        <u/>
      </rPr>
      <t>LIC.TM</t>
    </r>
    <r>
      <rPr>
        <rFont val="Calibri"/>
        <sz val="11.0"/>
      </rPr>
      <t xml:space="preserve"> JAVIER RAFAEL CARO ZAMALLOA,LIC TM MIRTHA GIOVANA CONTRERAS ALIANO, LIC.TM MARIA EUGENIA CHIHUAN CHAVEZ,LIC.TM MIGUEL ANGEL ESCUDERO CASTILLO,LIC.TM ESMERALDA LIBERTAD FRANCO SORIANO.LIC TM CARMEN ROSA GOMEZ BENAVIDES, LIC.TM YANNINA MARISOL JESUS SUYBATE, LIC TM OMAR EDU LEYVA MINAYA,LIC TM MIRIAM JAQUELINE LUGO MENA, LIC TM LUZ RAQUEL LUZA MONTERO, LIC TM EVA MARGOHOT MASGO SALCEDO, LIC TM NORMA BEATRIZ MORALES PALOMINO, </t>
    </r>
    <r>
      <rPr>
        <rFont val="Calibri"/>
        <color rgb="FF1155CC"/>
        <sz val="11.0"/>
        <u/>
      </rPr>
      <t>LIC.TM</t>
    </r>
    <r>
      <rPr>
        <rFont val="Calibri"/>
        <sz val="11.0"/>
      </rPr>
      <t xml:space="preserve"> IMELDA BEATRIZ PAZ MONSALVE, LIC TM AMADOR RAYMUNDO SUAREZ, LIC TM ELISA YSABEL RIVERO GALLARDO, LIC TM LUZ ANGELICA ROJAS TRELLES, LIC TM CESAR GABRIEL JANAMPA GUZMAN.</t>
    </r>
  </si>
  <si>
    <t>PER-BSIB220101-041</t>
  </si>
  <si>
    <t>R.D. N° 205-2023 DIGDOT/MINSA</t>
  </si>
  <si>
    <t xml:space="preserve">                                                       </t>
  </si>
  <si>
    <t>PER-BSIA220201-039</t>
  </si>
  <si>
    <t>HOSPITAL I ALTO MAYO – ESSALUD</t>
  </si>
  <si>
    <t>R.D. N° 024-2023 DIGDOT/MINSA</t>
  </si>
  <si>
    <t>Jirón 20 de Abril N° 347</t>
  </si>
  <si>
    <t>HOSPITAL II-E BELLAVISTA</t>
  </si>
  <si>
    <t xml:space="preserve">N° Exp: 2024- 0209356, 2024-0194748, 2024-0160400, 2024-0177573   </t>
  </si>
  <si>
    <t>M.C. JOSE LUIS RUIZ CARDENAS</t>
  </si>
  <si>
    <t>jose.ruiz@essalud.gob.pe</t>
  </si>
  <si>
    <t>M.C. SILVIA CLARA CHAVEZ ESCOBAR</t>
  </si>
  <si>
    <t>PER-BSII50116-042</t>
  </si>
  <si>
    <t>JR APURIMAC S/N CON JR. ANCASH S/N</t>
  </si>
  <si>
    <t xml:space="preserve">Medico Patologo Julio Edmundo Alcántara Rengifo,  T.M. Adith CABANILLAS QUIROZ, T.M. Eder Yelsin TICLAHUANCA RAMOS, T.M. Rafael Antonio PALMA VALDERRAMA, T.M. Jhon Patrick DAVILA RIOS, T.M. Milagros del Rocío PAICO SANTOS, T.M. Javier Antonio MAZA TUESTA, T.M. Poll Alejandro PACO GUEVARA, T.M. Patricia del Pilar DOMINGUEZ RONDON
</t>
  </si>
  <si>
    <t>R.D. N° 062-2024 DIGDOT/ MINSA</t>
  </si>
  <si>
    <t>OBST. LING ISAC WELING FLORES PEREZ</t>
  </si>
  <si>
    <t>hospital2ebellavista@gmail.com</t>
  </si>
  <si>
    <t>M.C. WHINSTON ENRIQUE PEREZ RAMIREZ (JEFE DPTO PAT CLIN Y ANAT PAT)</t>
  </si>
  <si>
    <t>DR WHINSTON PEREZ: 923906086</t>
  </si>
  <si>
    <t>T.M CALLE TUCTO, BLG: LILIANA MEDINA ACHIN, ALARCON MOZOMBITE EDWAR,BLG SILVA ORE SEGUNDO, BLG VARGAS PEÑA IRIS, BLG PAYANO LOPEZ  WALDO, BLG SAAVEDRA FLORES JAQUELIN</t>
  </si>
  <si>
    <t>DIRESA AYACUCHO</t>
  </si>
  <si>
    <t>N° 2023-0214631 y N° 2023-0228895</t>
  </si>
  <si>
    <t>Hospital Regional de Ayacucho “Miguel Ángel Mariscal Llerena</t>
  </si>
  <si>
    <t>ANDRES AVELINO CACERES</t>
  </si>
  <si>
    <t>HUAMANGA</t>
  </si>
  <si>
    <t>N° 2022-0098843, N°2023-00000816, N°2023-0012795, N°2023-0014440, N°2023-0014432</t>
  </si>
  <si>
    <t>PER-BSIB220801-042</t>
  </si>
  <si>
    <t>AV. DANIEL ALCIDES CARRION N°211</t>
  </si>
  <si>
    <t>R.D. N° 218-2023 DIGDOT/MINSA</t>
  </si>
  <si>
    <t>JIMMY HOMERO ANGO BENDRIÑANA</t>
  </si>
  <si>
    <t>PATOLOGA CLINICA YIDI ZUÑIGA MEDINA</t>
  </si>
  <si>
    <t>PER-BSIA220201-040</t>
  </si>
  <si>
    <t>HOSPITAL DE RIOJA</t>
  </si>
  <si>
    <t xml:space="preserve">-        Tecnólogo Médico: Carla Castillo Valverde.
-        Tecnólogo Médico: 
Arturo López Galvan.
-        Tecnólogo Médico: Miguel Beltran Mitma.
-        Tecnólogo Médico: Brajhan Fernandez Sulca.
-        Tecnólogo Médico: Ángel Llamacca Bendezu.
-        Tecnólogo Médico: Elmer Huarcaya Pizarro.
-        Biólogo: Aurora Alvarado Revilla.
-        Biólogo: Maria Aquino Janama.
-        Biólogo: Blanca Vilcapuma Martínez.
-        Biólogo: Sara Ramos Viacaba.
-        Biólogo: Marybel Laurente Chihuan.
Biólogo: Corina Pino Villanueva.
</t>
  </si>
  <si>
    <t>R.D. N° 027-2023 DIGDOT/MINSA</t>
  </si>
  <si>
    <t>RIOJA</t>
  </si>
  <si>
    <t>Jr. Venecia S/N</t>
  </si>
  <si>
    <t>Expediente N°2024-0132174 y N°2024-0208873</t>
  </si>
  <si>
    <t>Carlos CHAVEZ VASQUEZ</t>
  </si>
  <si>
    <t>hr@hospitalrioja.gob.pe</t>
  </si>
  <si>
    <t>TM Margarita Mowerg, TM Eliana Fernandez, TM Frank Cruz, TM Roger Silva, TM Eder Ticlahuanca, TM Luis Lizana</t>
  </si>
  <si>
    <t>CLINICA MATER PURISSIMA</t>
  </si>
  <si>
    <t>PER-BSII190109-043</t>
  </si>
  <si>
    <t xml:space="preserve">COMAS </t>
  </si>
  <si>
    <t>R.D. N° 070-2024 DIGDOT/ MINSA</t>
  </si>
  <si>
    <t>Nº 2023-0238044, 2023-0250997</t>
  </si>
  <si>
    <t>JR. GARCILASO DE LA VEGA N° 191 Y MARIANO MELGAR 164 MZ G LOTE 1 Y 2</t>
  </si>
  <si>
    <t>Miguel Angel Cerna Cornelio</t>
  </si>
  <si>
    <t>maccch@hotmail.com</t>
  </si>
  <si>
    <t>MEDICO PATOLOGO: SAN MARTIN CHIPOCO VICTOR</t>
  </si>
  <si>
    <t>LIC T.M CARLOS LEYVA: 980738750</t>
  </si>
  <si>
    <t>PER-BSIB150136-043</t>
  </si>
  <si>
    <t>R.D. N° 031-2024 DIGDOT/ MINSA</t>
  </si>
  <si>
    <t>T.M  LEYVA VASQUEZ CARLOS, T.M ROJAS MEJIA HARRY, T.M VELARDE ALBITES JOSE</t>
  </si>
  <si>
    <t>RAZON SOCIAL: CLÍNICA SAN GABRIEL  S.A.C.   Y NOMBRE COMERCIAL CLINICA SAN GABRIEL</t>
  </si>
  <si>
    <t>Expediente: 2023-0008520</t>
  </si>
  <si>
    <t xml:space="preserve">AV. LA MARINA N°2945 - 2949 - 2955 - 2965 </t>
  </si>
  <si>
    <t>EMMA YLDELISA CASTAÑEDA SANCHEZ DE HURTADO</t>
  </si>
  <si>
    <t>DIRESA PASCO</t>
  </si>
  <si>
    <t>ecastañeda@sanpablo.com.pe</t>
  </si>
  <si>
    <t>HOSPITAL II PASCO</t>
  </si>
  <si>
    <t>PER-BSIA150101-041</t>
  </si>
  <si>
    <t>MEDICO PATOLGOO CLINICO  JUDITH MUNIVE DIONISIO</t>
  </si>
  <si>
    <t>SIMON BOLIVAR</t>
  </si>
  <si>
    <t>R.D. N° 035-2023 DIGDOT/MINSA</t>
  </si>
  <si>
    <t xml:space="preserve">TM. Maria Villa Villa,TM Anastasis Esteba Salazar, TM Meyber Leon Sanchez, TM Nazareth Bolivar Carrillo, TM Miriam Barrial Vega </t>
  </si>
  <si>
    <t>BARRIO BUENOS AIRES S/N</t>
  </si>
  <si>
    <t xml:space="preserve">MC Cesar Napa Sanchez </t>
  </si>
  <si>
    <t>CLINICA OBRA DE SAN CAMILO</t>
  </si>
  <si>
    <t xml:space="preserve">N° 2024-0081729,N°2024-0104417, N°2024-0108796. </t>
  </si>
  <si>
    <t>enrique.cisneros@essalud.gob.pe'</t>
  </si>
  <si>
    <t>JR. ANCASH 809</t>
  </si>
  <si>
    <r>
      <rPr>
        <rFont val="Calibri"/>
        <color rgb="FF000000"/>
        <sz val="11.0"/>
      </rPr>
      <t>Médico patólogo clínico Junior Henry Castillo Enriquez</t>
    </r>
  </si>
  <si>
    <t>GERARDO DIAZ LOBATO</t>
  </si>
  <si>
    <t>PER-BSIB220901-044</t>
  </si>
  <si>
    <t xml:space="preserve">TM. Luis Marcelo Brayton Ader, TM. Cadena Bonilla Carlos Noe, TM. Ricardo Placido Ruiz, TM Anali Vasquez Altamirano
</t>
  </si>
  <si>
    <t>laboratorio_bancodesangre@clinicasancamilo.com</t>
  </si>
  <si>
    <t>R.D. N° 032-2024 DIGDOT/ MINSA</t>
  </si>
  <si>
    <t>MEDICO PATOLOGO DR. CESAR AUGUSTO BALCAZAR BRICEÑO</t>
  </si>
  <si>
    <t>Medico Patologo: Cesar Balcazar Briceño, TM. Genoveva Sanchez Santome, TM. Milagros Castro Aguero</t>
  </si>
  <si>
    <r>
      <rPr>
        <rFont val="Calibri"/>
        <color rgb="FF000000"/>
        <sz val="11.0"/>
      </rPr>
      <t>N° 2024- 0165330, N° 2024- 0196212, DIGDOT-DIBAN20240000298 y N° 2024- 0224136</t>
    </r>
  </si>
  <si>
    <t>HOSPITAL II TARAPOTO - ESSALUD (SUSP TEMP)</t>
  </si>
  <si>
    <t>N° 2022-0105761/2023-0002789/2023-0016910</t>
  </si>
  <si>
    <t>PER-BSII150141-044</t>
  </si>
  <si>
    <t>R.D. N° 076-2024 DIGDOT/ MINSA</t>
  </si>
  <si>
    <t>JR. PROGRESO CUADRA 8  URB 9 DE ABRIL</t>
  </si>
  <si>
    <t>M.C. ROBERTO JUAN MORALES MINCHAN</t>
  </si>
  <si>
    <t>denisreyes16@gmail.com</t>
  </si>
  <si>
    <t>M.C DENIS REYES REYNALDO</t>
  </si>
  <si>
    <t>PER-BSIA150130-042</t>
  </si>
  <si>
    <t>Lic. T.M. Carmen Jara, Lic. T. M. Clever Diaz, Lic. T.M. Alberto Cobeñas .V, Lic.T.M. Luisa Rodríguez Palomino, Lic.T.M.Katykza García Yovera, Rosana Torres Fernandez, Rony Rios Macedo</t>
  </si>
  <si>
    <t>R.D. N° 030-2023 DIGDOT/MINSA</t>
  </si>
  <si>
    <t>INSTITUTO NACIONAL DE ENFERMEDADES NEOPLÁSICAS</t>
  </si>
  <si>
    <t>SURQUILLO</t>
  </si>
  <si>
    <t>N° 2024- 0059845, N° 2024-0088809 y N° 0111486</t>
  </si>
  <si>
    <t>CLÍNICA SANTA ISABEL S.A.C.</t>
  </si>
  <si>
    <t>AV. ANGAMOS ESTE N° 2520</t>
  </si>
  <si>
    <t>FRANCISCO BERROSPI ESPINOZA</t>
  </si>
  <si>
    <t>AVENIDA GUARDIA CIVIL N° 135</t>
  </si>
  <si>
    <t>jefatura@inen.sld.pe</t>
  </si>
  <si>
    <t>HEMATOLOGO LUIS ARGUMANIS SANCHEZ</t>
  </si>
  <si>
    <t>ANNETTE RAMIREZ NOEDING</t>
  </si>
  <si>
    <t>PER-BSIB20105-045</t>
  </si>
  <si>
    <t xml:space="preserve">TM JHAN CANALES, TM CACERES MOREVELI JACQUELINE, </t>
  </si>
  <si>
    <t>anamirez@clinicasantaisabel.com</t>
  </si>
  <si>
    <t>R.D. N° 037-2024 DIGDOT/ MINSA</t>
  </si>
  <si>
    <t>DR. HUBERT LAGOS CABRERA</t>
  </si>
  <si>
    <t>Tecnóloga Médica: Elizabeth Gaby Enciso Arias,  Tecnóloga Médica: Solanmy María Patiño Velasquez, Tecnóloga Médica: Leonor Elizabeth Hernández Bocanegra,  Tecnóloga Médica: Elba Daniela Bocanegra Flores, Tecnóloga Médica: Sessy Elizabeth Toledo Torre, Tecnóloga Médica: Milenma Alejandra Arias Delgado</t>
  </si>
  <si>
    <t>2024-0204415</t>
  </si>
  <si>
    <t>CLINICA SAN PABLO SEDE HUARAZ</t>
  </si>
  <si>
    <t>N° 2023-0006509 y N° 2023-0017970</t>
  </si>
  <si>
    <t>PER-BSII150110-045</t>
  </si>
  <si>
    <t>R.D. N° 079-2024 DIGDOT/ MINSA</t>
  </si>
  <si>
    <t>CLINICA JAVIER PRADO, CLINICA SAN BORJA</t>
  </si>
  <si>
    <t>indePENDENCIA</t>
  </si>
  <si>
    <t>HUARAZ</t>
  </si>
  <si>
    <t>Jr. Huaylas N° 172</t>
  </si>
  <si>
    <t>PER-BSIA40112-043</t>
  </si>
  <si>
    <t>R.D. N° 031-2023 DIGDOT/MINSA</t>
  </si>
  <si>
    <t>M.C. Ivan HUETE LOYOLA</t>
  </si>
  <si>
    <t>HOSPITAL SERGIO E BERNALES</t>
  </si>
  <si>
    <t>srosado@sanpablo.com.pe</t>
  </si>
  <si>
    <t>COMAS</t>
  </si>
  <si>
    <t>Medico patologo Leonor Margarita Panduro Lombardi</t>
  </si>
  <si>
    <t xml:space="preserve">T.M. Marilyn Elisa Anacleto Villegas., T.M. Cesar Eduardo Rojas Narváez., T.M. Roxana Pilar Manuela Villacaqui Reyna.
</t>
  </si>
  <si>
    <t>AV TUPAC AMARU KM 14,5</t>
  </si>
  <si>
    <t>HOSPITAL I EDMUNDO ESCOMEL</t>
  </si>
  <si>
    <t>CESAR BALTAZAR MATEO</t>
  </si>
  <si>
    <t>dirección@hnseb.gob.pe</t>
  </si>
  <si>
    <t>PAUCARPATA</t>
  </si>
  <si>
    <t>PATOLOGO CLINICO LILIANA MATOS ARANA</t>
  </si>
  <si>
    <t>Av. Cayro s/n</t>
  </si>
  <si>
    <t>PATRICIA LUQUE CÁRDENAS</t>
  </si>
  <si>
    <t>TM ZEBALLOS CONISLLA HOLGER, TM MENACHO RIVERA FREDDY, TM DIANA HERRERA UCAÑAN, TM DANTE HUERTA CAJALEON, TM ROMULO MACEDO ROJAS, TM KAREN CUADROS ROJAS</t>
  </si>
  <si>
    <t>patricia.cabala@essalud.gob.pe</t>
  </si>
  <si>
    <t>N° 2024- 0089760, N° 2024- 0107914 y N°2024- 0110423</t>
  </si>
  <si>
    <t>MEDICO PATOLOGO FERNANDO SANCHEZ FRAGOSO</t>
  </si>
  <si>
    <t>959349036 / fernando.sanchezf@essalud.gob.pe</t>
  </si>
  <si>
    <t xml:space="preserve">1. VASQUEZ SANTOS KATHERINE, 2. ACUÑA RETAMOZO RONALD, 3. ARAUJO ROMAN LESSLY, 4. DELGADO CARDENAS GUSTAVO, 5. PARIENTE HUAYLLA GIULIANA, 6. NEYRA LUNA FLOR DE MARA
</t>
  </si>
  <si>
    <t>N° 2024-0215230</t>
  </si>
  <si>
    <t>PER-BSIB20105-046</t>
  </si>
  <si>
    <t>R.D. N° 038-2024 DIGDOT/ MINSA</t>
  </si>
  <si>
    <t>N°2023-0010019, N°2023-0011308 y N°2023-0019004</t>
  </si>
  <si>
    <t>PER-BSII150135-046</t>
  </si>
  <si>
    <t>R.D. N° 075-2024 DIGDOT/ MINSA</t>
  </si>
  <si>
    <t>PER-BSIA40129-044</t>
  </si>
  <si>
    <t>R.D. N° 032-2023 DIGDOT/MINSA</t>
  </si>
  <si>
    <t>“HOSPITAL II HUARAZ” - RS: SEGURO SOCIAL DE SALUD</t>
  </si>
  <si>
    <t>HOSPITAL CAYETANO HEREDIA</t>
  </si>
  <si>
    <t>CIRUGIA PLASTICA ARMENDARIZ EIRL</t>
  </si>
  <si>
    <t>AV. HONORIO DELGADO N°262 URB. INGENIERIA</t>
  </si>
  <si>
    <t>Av. Independencia N° 2161 Barrio Vichay</t>
  </si>
  <si>
    <t>M.C. Williams Paul DOMINGUEZ HARO</t>
  </si>
  <si>
    <t>SEGUNDO CECILIO ACHO MEGO</t>
  </si>
  <si>
    <t xml:space="preserve">williams.dominguez@essalud.gob.pe </t>
  </si>
  <si>
    <t>JOSE LUIS BUSTAMANTE Y RIVERO</t>
  </si>
  <si>
    <t>M.C. Victor Andreé Llacas Domínguez</t>
  </si>
  <si>
    <t>PATOLOGO CLINICOZOILA MARGARITA DEL CASTILLO ARANIBAR</t>
  </si>
  <si>
    <t xml:space="preserve">T.M. Vanessa Lecca Mosquera., T.M. Ruth Maribel Llenque Gonzales, T.M. Jason Hansen Mejía Morales., T.M. Roger Ivan Rojas Lescano
</t>
  </si>
  <si>
    <t>URB.ALTO DE LUNA IV ETAPA MZ A LOTE 2</t>
  </si>
  <si>
    <t xml:space="preserve">-        Tecnólogo Médico: Erik Sánchez tregear.
-        Tecnólogo Médico: 
Carlos Leyva Vásquez.
-        Tecnólogo Médico: yovera ancajima cleofe.
-        Tecnólogo Médico: Gladys inga Jesús.
-        Tecnólogo Médico: Luis Alberto inga Chavez.
-        Tecnólogo Médico: Richar lima Garcia
-        Tecnólogo Médico: Gianina Hilarión ñaupari
-        Tecnólogo Médico: Joel Lazaro Jácome.
-        Tecnólogo Médico: Maria Ortiz infante.
-        Tecnólogo Médico: Morayma arias guzmán.
</t>
  </si>
  <si>
    <t>JORGE LUIS ALMENDARIZ ZENTENO</t>
  </si>
  <si>
    <t>jorgeluis_292@hotmail.com</t>
  </si>
  <si>
    <t>MEDICO PATOLOGO : DRA SHEYLA NUÑEZ LLERENA</t>
  </si>
  <si>
    <t>N° 2024- 0093633, N° 2024- 0111822 y N° 2024- 0136529</t>
  </si>
  <si>
    <t>TM. MAMANI COTA WILIAN , BIOLOGA .QUISPE AYME HELSY BELINDA</t>
  </si>
  <si>
    <r>
      <rPr>
        <rFont val="Calibri"/>
        <color rgb="FF000000"/>
        <sz val="11.0"/>
      </rPr>
      <t>N°2024-0196559 y N°2024-0227495</t>
    </r>
  </si>
  <si>
    <t>PER-BSIB200101-047</t>
  </si>
  <si>
    <t>N°2023-0011827</t>
  </si>
  <si>
    <t>R.D. N° 050-2024 DIGDOT/ MINSA</t>
  </si>
  <si>
    <t>PER-BSII70102-047</t>
  </si>
  <si>
    <t>R.D. N° 074-2024 DIGDOT/ MINSA</t>
  </si>
  <si>
    <t xml:space="preserve">SANNA - CLINICA BELEN </t>
  </si>
  <si>
    <t>PER-BSIA090201-045</t>
  </si>
  <si>
    <t>R.D. N° 034-2023 DIGDOT/MINSA</t>
  </si>
  <si>
    <t>Calle San Cristobal N°267 Urb El Chipe</t>
  </si>
  <si>
    <t>CENTRO MEDICO NAVAL “CIRUJANO MAYOR SANTIAGO TÁVARA“-MARINA DE GUERRA DEL PERÚ</t>
  </si>
  <si>
    <t xml:space="preserve">Oscar Ricardo Garavito Criollo </t>
  </si>
  <si>
    <t>oscar.garavito@sanna.pe</t>
  </si>
  <si>
    <t>HOSPITAL PROVINCIAL DE ACOBAMBA</t>
  </si>
  <si>
    <t>MEDICO PATOLOGA : Kely Velásquez Torres</t>
  </si>
  <si>
    <t>ACOBAMBA</t>
  </si>
  <si>
    <r>
      <rPr>
        <rFont val="Calibri"/>
        <color rgb="FF000000"/>
        <sz val="11.0"/>
      </rPr>
      <t>Av. Venezuela S/N</t>
    </r>
  </si>
  <si>
    <t xml:space="preserve">TM.Miguel Ruiz,TM SAMMY LANDAURO,T.M ROBERTO ROJAS,T.M.HERLY DE LA CRUZ,T.M.REBECA CASTAÑEDA,TM ROSITA ALBAN
</t>
  </si>
  <si>
    <t>AV.MANCO CAPAC N°705</t>
  </si>
  <si>
    <t>MANUEL LACA BARRERA</t>
  </si>
  <si>
    <t>MARISELA GLORIA PORTA ATENCIO</t>
  </si>
  <si>
    <t>maglu2104@gmail.com</t>
  </si>
  <si>
    <t xml:space="preserve">N°2024-0128342, N°2024-0137000, N°2024-0175674, N°2024-0176932 </t>
  </si>
  <si>
    <r>
      <rPr>
        <rFont val="Calibri"/>
        <color rgb="FF000000"/>
        <sz val="11.0"/>
      </rPr>
      <t>Médico patólogo clínico Vidal Hermoza María</t>
    </r>
  </si>
  <si>
    <t>MEDICO CIRUJANO FREDDY NAJARRO CHIPANA</t>
  </si>
  <si>
    <t>964011615 / 996668020</t>
  </si>
  <si>
    <t xml:space="preserve">TM. Olivera Pumayali Elisabeth., TM. Aquino Minaya Jose Carlos., TM. Rojas Condori Lourdes.. TM. Orderique Mogollón Miguel Angel. TM. Astoquilca Pimunchumo Luzmila. TM. Levano Vicente Marlene Judith. TM. Mamani Cruz Margarita. TM. Rojas Barreto Rosario.
</t>
  </si>
  <si>
    <t xml:space="preserve">MC. Freddy Cirilo Najarro Chipana, TM. Dora Licas Huarancca, TM. Roy Henry Garcia Quispe, TM.Alep Antonio Galarza Huamani, Blgo.Aydee Diaz De la Cruz </t>
  </si>
  <si>
    <t>PER-BSIB150125-048</t>
  </si>
  <si>
    <t>R.D. N° 055-2024 DIGDOT/ MINSA</t>
  </si>
  <si>
    <t>N° 2024- 0184563, DIGDOT-DIBAN2024000315 , N° 2024- 0207437, N° 2024- 0211776, N° 2024- 0223585, y N° 2024- 0231600</t>
  </si>
  <si>
    <t>N° 2023-0009521, 2023-0013519 y 2023-0020057</t>
  </si>
  <si>
    <t>PER-BSIA150118-046</t>
  </si>
  <si>
    <t>PER-BSII30201-048</t>
  </si>
  <si>
    <t>R.D. N° 036-2023 DIGDOT/MINSA</t>
  </si>
  <si>
    <t>PUENTE PIEDRA</t>
  </si>
  <si>
    <t>R.D. N° 083-2024 DIGDOT/ MINSA</t>
  </si>
  <si>
    <t>Av. Saenz Peña S/N, Cdra. 6</t>
  </si>
  <si>
    <t>De La Cruz Lopez Willy Gabriel</t>
  </si>
  <si>
    <t>CLINICA MADRE ZORAIDA</t>
  </si>
  <si>
    <t>wdelacruz@hcllh.gob.pe'</t>
  </si>
  <si>
    <t>Jr. Chucuito N°316 Lurigancho</t>
  </si>
  <si>
    <t>Juan Olimpo Dávalos Prado</t>
  </si>
  <si>
    <t>adm.cmzoraida@gmail.com</t>
  </si>
  <si>
    <t>MEDICO PATOLOGO LETICIA ANGHELA URQUIZO BRICEÑO</t>
  </si>
  <si>
    <t xml:space="preserve">HOSPITAL SUB REGIONAL DE ANDAHUAYLAS </t>
  </si>
  <si>
    <t>M.C. Patologo Clinico Nelson Miguel Rodríguez Gueorguiev</t>
  </si>
  <si>
    <t>-Tecnólogo Medico: Gloria Barreto Clemento, Juan Ortiz Talaverano , Arturo Augusto Vera Barzola y Lisseth Robles Ramos</t>
  </si>
  <si>
    <t>ANDAHUAYLAS</t>
  </si>
  <si>
    <t xml:space="preserve">T.M. Malena Dany Rosales Ventura,  T.M. Erika Melissa Linares Guardamino., M. Teresa Paola Napan Villarreal, T.M. Sharon Yelena Estrada Perez., M. Esthefany Milagros Motta Arévalo., TM. Eloísa Maribel Silva Aquiño.
</t>
  </si>
  <si>
    <t>JR.HUGO PESCE 180</t>
  </si>
  <si>
    <t>N° 2022-0118874/2023-0021809</t>
  </si>
  <si>
    <t>HOPSITAL LIMA ESTE</t>
  </si>
  <si>
    <t xml:space="preserve">BETTY SOLEDAD TORRES ARBIETO </t>
  </si>
  <si>
    <t>N° 2024- 0174656 y N° 2024- 0197297</t>
  </si>
  <si>
    <t xml:space="preserve">PATOLOGO CLINICO ANTONIO JOSE ESPINOZA MEDINA </t>
  </si>
  <si>
    <t>HOSPITAL NACIONAL DOCENTE MADRE NIÑO SAN BARTOLOME
HOSPITAL CAYETANO HEREDIA</t>
  </si>
  <si>
    <t>983 728 094</t>
  </si>
  <si>
    <t xml:space="preserve">TM. CINTHYAM CASTRO AGÜERO , BLGOS: EDWIN ORTIZ GUISADO, YANET MARISOL CAMPOS DOMINGUEZ, CYNTHIA CAROL MADUEÑO MADUEÑO, GUTIERREZ MARTINEZ DAVID, EDITH SALAS PEREZ </t>
  </si>
  <si>
    <t>PER-BSIA150140-047</t>
  </si>
  <si>
    <t>R.D. N° 038-2023 DIGDOT/MINSA</t>
  </si>
  <si>
    <t>PER-BSIB150142-049</t>
  </si>
  <si>
    <t>R.D. N° 065-2024 DIGDOT/ MINSA</t>
  </si>
  <si>
    <t>N° 2024-0187288, 2024-0196685, DIGDOT-DIBAN20240000317 y 2024-0235642</t>
  </si>
  <si>
    <t>INVERSIONES PARA LA CIENCIA Y EL CUIDADO DE LA VIDA S.A.C. – CLÍNICA ÁLVAREZ</t>
  </si>
  <si>
    <t>HOSPITAL ULDARICO ROCCA FERNANDEZ - RS: SEGURO SOCIAL DE SALUD</t>
  </si>
  <si>
    <t>PER-BSII110101-049</t>
  </si>
  <si>
    <t>R.D. N° 087-2024 DIGDOT/ MINSA</t>
  </si>
  <si>
    <t>JR  EL POLO 545</t>
  </si>
  <si>
    <t>CARLOS EDUARDO ALVAREZ PEÑA</t>
  </si>
  <si>
    <t>AV. SEPARADORA INDUSTRIAL Y AV. CESAR VALLEJO</t>
  </si>
  <si>
    <t>c.alvarez@iccvperu.com</t>
  </si>
  <si>
    <t>M.C. MADELAINE ANA MEDINA ROJAS</t>
  </si>
  <si>
    <t>Seguro Social de Salud, Nombre Comercial IV Augusto Hernandez Mendoza</t>
  </si>
  <si>
    <t>madeleine.medina@essalud.gob.pe</t>
  </si>
  <si>
    <t>TM. BERROCAL LUNA YANINA, TM OSCAR MIRANDA RODRIGUEZ, TM PAULA SANCHEZ ECHEVARRIA, TM JORGE VASQUEZ EPEQUIN</t>
  </si>
  <si>
    <t>MC PATOLOGO CLINICO BERNARDO DURAN MUÑIZ</t>
  </si>
  <si>
    <t>MC. JAVIER ASCA PIZARRO, TM LOURDES KAPA CARHUAMACA, TM CARMEN MERCEDES HUAMANI HUANCAHUARE, TM VICTOR MANUEL MENDOZA VEGA, TM ORLANDO GALINDO COILA, TM ENYBET SALAZAR MEZA, TM LUIS VALENCIA GUINEA, TM REMBERTO APAGUEÑO CHISTAMA, TM KARIN CHAMBI RUGEL, TM HELI CORONADOS DARIS, TM TANIA DIAZ QUISPE, TM CHRISTIAN FERREYRA HURTADO</t>
  </si>
  <si>
    <t>AV. MATIAS MANZANILLA N°652</t>
  </si>
  <si>
    <t>N° 2023-0009255, N° 2023-0013349 y N° 2023-0023249</t>
  </si>
  <si>
    <t>SANNA SAN BORJA</t>
  </si>
  <si>
    <t>DR. MARIO VICUÑA RAMIREZ</t>
  </si>
  <si>
    <t>DRA. PATRICIA HUARANGA MEDINA</t>
  </si>
  <si>
    <t>N° 2024-0191382/ N° 2024-0181175</t>
  </si>
  <si>
    <t>-        Tecnólogo Médico: Richard Ramírez Asurza.
-        Tecnólogo Médico: 
Alfredo Arones Hernandez.
-        Tecnólogo Médico: Carlos Díaz Ajalcriña.
-        Tecnólogo Médico: Milagros Maria Meléndez Stuart.
-        Tecnólogo Médico: Andrés Segundo Silva Ochoa.</t>
  </si>
  <si>
    <t>PER-BSIA110201-048</t>
  </si>
  <si>
    <t>R.D. N° 043-2023 DIGDOT/MINSA</t>
  </si>
  <si>
    <t>N°2024-0199295 y N°2024-0229545</t>
  </si>
  <si>
    <t>PER-BSIB40104-050</t>
  </si>
  <si>
    <t>R.D. N° 069-2024 DIGDOT/ MINSA</t>
  </si>
  <si>
    <t>Clínica Hernani SAC - Clínica Nueva Salud</t>
  </si>
  <si>
    <t xml:space="preserve">CHINCHA ALTA </t>
  </si>
  <si>
    <t>PER-BSII200104-050</t>
  </si>
  <si>
    <t>R.D. N° 101-2024 DIGDOT/ MINSA</t>
  </si>
  <si>
    <t>Av. Fátima 136</t>
  </si>
  <si>
    <t xml:space="preserve">GERESA AREQUIPA </t>
  </si>
  <si>
    <t>CLINICA SAN PABLO AREQUIPA RS: CLINICA CERRO COLORADO S.A.C.</t>
  </si>
  <si>
    <t>CERRO COLORADO</t>
  </si>
  <si>
    <t>EDUARDO HERNANI LAU</t>
  </si>
  <si>
    <t>lalohernani@hotmail.com</t>
  </si>
  <si>
    <t>HOSPITAL III JOSE CAYETANO HEREDIA</t>
  </si>
  <si>
    <t>URBANIZACION TERESA DE JESUS MZ K LOTE 9</t>
  </si>
  <si>
    <t xml:space="preserve">Medico Patólogo Clínico Olga Tucto Lopez </t>
  </si>
  <si>
    <t>CASTILLA</t>
  </si>
  <si>
    <t>M.C. JOSE ANTONIO LINARES TEJEDA</t>
  </si>
  <si>
    <t xml:space="preserve">1. Fernando Mendoza R., 2. Nelly Castillo Cardajal, 3. Víctor Sánchez Torres
</t>
  </si>
  <si>
    <t xml:space="preserve">cchavez@qualab.com.pe </t>
  </si>
  <si>
    <t xml:space="preserve">AV. INDEPENDIENTE S/N </t>
  </si>
  <si>
    <t>M.C PATOLOGO CESAR IVAN CHAVEZ LOPEZ</t>
  </si>
  <si>
    <t>GUIOVANNA MARIA WONG TERRONES</t>
  </si>
  <si>
    <t>TM. LUZ ARACELY GALINDO RODRIGUEZ, TM.SHIRLEY ARACELY SEGOVIA MENDOZA,TM. GIANCARLO PIERRE DEL CARPIO BEJARANO, TM.FRIDA OLINDA ROJAS HUAYTA, TM. KATHERINE ERICKA QUISPE YUCRA</t>
  </si>
  <si>
    <t>N°2023-0002102, N°2023-0009297</t>
  </si>
  <si>
    <t>DRA KELLY VELASQUEZ TORRES</t>
  </si>
  <si>
    <t xml:space="preserve">-        Tecnólogo Médico: Jean Meca Ávila.
-        Tecnólogo Médico: 
Keyli Zurita Alejandro.
-        Tecnólogo Médico: Vania Miranda Sarango.
-        Tecnólogo Médico: Elizabeth Tincho Cruz.
-        Tecnólogo Médico: Carolina Zapata Castro.
-        Tecnólogo Médico: Chiroque Ruiz Brithy Rafaela.
-        Tecnólogo Médico: Alberto Paredes Briones
</t>
  </si>
  <si>
    <t>N° 2024-0180207 y 2024-0208316</t>
  </si>
  <si>
    <t>PER-BSIA150140-049</t>
  </si>
  <si>
    <t>N°2024-0206028 y N°2024-0241165</t>
  </si>
  <si>
    <t>R.D. N° 042-2023 DIGDOT/MINSA                                     R.D. N° 064-2024 DIGDOT/MINSA</t>
  </si>
  <si>
    <t>20/02/2023                                17/09/2024</t>
  </si>
  <si>
    <t>PER-BSIB150101-051</t>
  </si>
  <si>
    <t>01/03/2023
19/09/2024</t>
  </si>
  <si>
    <t>R.D. N° 063-2024 DIGDOT/ MINSA</t>
  </si>
  <si>
    <t>CLÍNICA PAULISTA DEL PERÚ S.A.C.- CLÍNICA PAULISTA (SUSP DEFINITIVA)</t>
  </si>
  <si>
    <t>PER-BSII120301-051</t>
  </si>
  <si>
    <t>HOSPITAL II RAMON CASTILLA</t>
  </si>
  <si>
    <t>R.D. N° 095-2024 DIGDOT/ MINSA</t>
  </si>
  <si>
    <t>CERCADO DE LIMA</t>
  </si>
  <si>
    <t>Av. Aviación N° 4786</t>
  </si>
  <si>
    <t>Jr. Guillermo Dansey N°390</t>
  </si>
  <si>
    <t>FELIX RUBÉN CASTRO SIERRA</t>
  </si>
  <si>
    <t>felixcastrosierra@yahoo.com</t>
  </si>
  <si>
    <t>Medico Patólogo Clínico Jamitson Torres Aguilar</t>
  </si>
  <si>
    <t>GUILERMO JESUS MARTIN BARRIOS FLORES</t>
  </si>
  <si>
    <t>HOSPITAL REGIONAL DOCENTE DE MEDICINA TROPICAL DR. JULIO CESAR DEMARINE CARO</t>
  </si>
  <si>
    <t>Cel: 969239149</t>
  </si>
  <si>
    <t>MC. PATOLOGO CLINICO KOK MUÑOZ JORGE</t>
  </si>
  <si>
    <t>Medico Patólogo Clínico Jamitson Torres Aguilar, TM. Gissela Alipazaga del Castillo, TM. Ronald Omar Otaño Benavides</t>
  </si>
  <si>
    <t>Av. Daniel Alcides Carrión S/N Pampa del Carmen</t>
  </si>
  <si>
    <t xml:space="preserve">-        Tecnóloga Médico: Buenaño Alva Fresia, Tecnólogo Médico: Guerra Igreda Rolando, Tecnóloga Médico: Rojas Toro Mabel, Tecnóloga Médico: Graza Ramírez Haydee, Tecnólogo Ureta Sierra Percy.
-        Tecnólogo Medico: Garcia Porras Willy.
-        Tecnóloga Medico: Gutierrez Barboza Lourdes.
</t>
  </si>
  <si>
    <t>DONY ALONSO MELGAR RUIZ</t>
  </si>
  <si>
    <t>N° 2023-0002643, N° 2023- 0008429, N° 2023- 00020483 y  N° 2023- 0024793</t>
  </si>
  <si>
    <t>mesadepartes@hdemarini.gob.pe</t>
  </si>
  <si>
    <t>Julio Cesar Diaz Rouvirus</t>
  </si>
  <si>
    <t>Expediente N°2024-0138678, N°2024-0172087 y N°2024-0193040</t>
  </si>
  <si>
    <t xml:space="preserve">Lic Marisela del Rocio Balestra Ayala,Lic Iris Elena Rojas Aguirre,Lic. Fresia Fiorella Perez de la Cruz,Lic. Elvis Helton Carhuachi Castro y Lic. Jessica fernandez Roman 
</t>
  </si>
  <si>
    <t>PER-BSIA130101-050</t>
  </si>
  <si>
    <t>PER-BSIB70102 -052</t>
  </si>
  <si>
    <t>R.D. N° 050-2023 DIGDOT/MINSA</t>
  </si>
  <si>
    <t>R.D. N° 061-2024 DIGDOT/ MINSA</t>
  </si>
  <si>
    <t>N° 2024-0110854, N° 2024-0241973</t>
  </si>
  <si>
    <t>VIDA Y SALUD LIBERTAD S.A.C.- CLÍNICA PROSALUD</t>
  </si>
  <si>
    <t>Clínicas AUNA – Sede Bellavista</t>
  </si>
  <si>
    <t>PER-BSII130101-052</t>
  </si>
  <si>
    <t>Av.Jesús de Nazareth N° 305</t>
  </si>
  <si>
    <t>R.D. N° 098-2024 DIGDOT/ MINSA</t>
  </si>
  <si>
    <t xml:space="preserve">Calle Las Gaviotas N°207/ Avenida San José N°585-589 </t>
  </si>
  <si>
    <t>KATHERINE YOLANDA LOZANO PERALTA</t>
  </si>
  <si>
    <t>klozanoever@hotmail.com</t>
  </si>
  <si>
    <t>VICTOR GONZA AZABACHE</t>
  </si>
  <si>
    <t>Medico Patologo Clinico Amalia Celina Silva Chávez</t>
  </si>
  <si>
    <t>nelson.rodriguez@externo.auna.org</t>
  </si>
  <si>
    <t>CEL Biologo Jimmy Rodriguez 950209947</t>
  </si>
  <si>
    <t>M.C. Patologo Clinico  Nelson Rodríguez Gueorguiev , Fanny Bendezu Ibarra</t>
  </si>
  <si>
    <t>Tecnóloga Médica: Milagros del Pilar Landa Preciado, Biólogo: Jimmy Alexy Rodríguez Juárez, Biólogo: Susana Paola León Cornejo</t>
  </si>
  <si>
    <t>Ángel Villegas Pérez,Katia Huerta Andrade,Milagros Hidalgo Puicon,,Zuzet Cardoso Alvarez, Julio Coyotupac López , Ana Llanos Ochoa ,Roger Urquiza Rodríguez
TM. Selma Rina Gonzales Bravo</t>
  </si>
  <si>
    <t>JR. BOLIVAR N°350</t>
  </si>
  <si>
    <t>N° 2023-0013551</t>
  </si>
  <si>
    <t>Expediente  2024-0167811 y N°2024-0182271</t>
  </si>
  <si>
    <t>CLINICA DELGADO</t>
  </si>
  <si>
    <t>DR. VICTOR J. FERNANDEZ GOMEZ</t>
  </si>
  <si>
    <t>PATOLOGA CLINICA GIULIANA GARCIA LAZARO</t>
  </si>
  <si>
    <t>PER-BSIB200104 -053</t>
  </si>
  <si>
    <t xml:space="preserve">-        Tecnólogo Médico: Tamayo Rebaza Yonny.
-        Tecnólogo Médico: 
Salirrosas Rodríguez María.
-        Tecnólogo Médico: Benites Geldres Martha.
-        Tecnólogo Médico: Aguilar Rodríguez Marisela.
-        Tecnólogo Médico: Marquina Bazán Katherin.
-        Tecnólogo Médico: Cubas Alberca Nayme
-        Tecnólogo Médico: Espejo Valdez Yang Pierre.
-        Bióloga: Rodríguez Meléndez Martha
</t>
  </si>
  <si>
    <t>PER-BSIA40126-051</t>
  </si>
  <si>
    <t>R.D. N° 049-2023 DIGDOT/MINSA</t>
  </si>
  <si>
    <t>R.D  N° 067-2024 DIGDOT/ MINSA</t>
  </si>
  <si>
    <t>N°2024-0213829</t>
  </si>
  <si>
    <t>CLINICA EMMEL/TECNOLOGIAS MEDICAS  AREQUIPA S.A- TECNOMEDIC S.A</t>
  </si>
  <si>
    <t>CLÍNICAS AUNA SEDE PIURA - RS: CLINICA MIRAFLORES S.A.</t>
  </si>
  <si>
    <t>AV. EMMEL N°125</t>
  </si>
  <si>
    <t>PER-BSII220901-053</t>
  </si>
  <si>
    <t>R.D. N° 109-2024 DIGDOT/ MINSA</t>
  </si>
  <si>
    <t>EDGAR ASUNTO PUÑO CORNEJO</t>
  </si>
  <si>
    <t>gerencia.general@clinicaemmel.com</t>
  </si>
  <si>
    <t>MEDICO PATOLOGO : FREDY AGUILAR PUMA</t>
  </si>
  <si>
    <t>CEL: 968081135</t>
  </si>
  <si>
    <r>
      <rPr>
        <rFont val="Calibri"/>
        <color rgb="FF000000"/>
        <sz val="11.0"/>
      </rPr>
      <t>Calle las Dalias A-12 Urb. Miraflores</t>
    </r>
  </si>
  <si>
    <t>SMA</t>
  </si>
  <si>
    <t>BIOLOGO: MARIA ELENA SALCEDO SALAS, KARINA CAZORLA PASTOR, TM. Mayara Elvira Jara Obando, TM. Kely Sandra Guzman Cervantes</t>
  </si>
  <si>
    <t>DIRESA SAN MARTÍN</t>
  </si>
  <si>
    <t>Arnold Alberto SUAREZ CRUZ</t>
  </si>
  <si>
    <t>asuarez@auna.pe</t>
  </si>
  <si>
    <t>M.C. Hematologa Tassara Cicchini María Francesca</t>
  </si>
  <si>
    <t>N°2023-0015960, 2023-0028074</t>
  </si>
  <si>
    <t>PORREGULARIZAR</t>
  </si>
  <si>
    <t xml:space="preserve">T.M. Zeta Loro Edwin Alan, T.M. Campoverde Vilela Hernán Gustavo, T.M. Chunga Bouillon Cleidi Lizet.
</t>
  </si>
  <si>
    <t>ESQUINA JR ANGEL DELGADO Y AV EL EJERCITO</t>
  </si>
  <si>
    <t>M.C. AVILA ARANDA ANGELICA ALICIA</t>
  </si>
  <si>
    <t>avila2711@yahoo.com</t>
  </si>
  <si>
    <t>M.C. PAT. CLIN.  AVILA ARANDA ANGELICA ALICIA</t>
  </si>
  <si>
    <t xml:space="preserve">N° 2024-0192415, N° 2024- 0207985, N° 2024- 0216731 y  N° 2024- 0217336
</t>
  </si>
  <si>
    <t>PER-BSIA150116-052</t>
  </si>
  <si>
    <t>942944403 / (042)524237</t>
  </si>
  <si>
    <t>R.D. N° 046-2023 DIGDOT/MINSA</t>
  </si>
  <si>
    <t>MC PAT. CLIN.: ELISA GUZMAN SOTO, JAMES ISAAC AÑASGO PINEDO.  LIC.T.M.: BECERRA DAVILA CRISTHIAN ROYCE, CUSMA MEJIA DAMARIS, DIAZ CUBAS WILMER, FONSECA RENGIFO NATHSY SUE, GUEVARA SOARIANO DIALENE, NUÑEZ HERRERA ELVIS, MEDINA GALLARDO MARILYN YAZMIN, ROJAS CURASMA RUSVEL, LOPEZ VARGAS VERONICA JANETH.  TEC.: GONZALES FLORES RAFAEL, GARCIA DAVILA MARICELA DEL PILAR.</t>
  </si>
  <si>
    <t>PER-BSIB150132-054</t>
  </si>
  <si>
    <t>CLINICA GONZALEZ S.A.</t>
  </si>
  <si>
    <t>N° 2024-0198055, N° 2024-0212834 y N° 2024-0264729</t>
  </si>
  <si>
    <t>R.D N° 071-2024 DIGDOT/ MINSA</t>
  </si>
  <si>
    <t>LINCE</t>
  </si>
  <si>
    <t xml:space="preserve">Av. Ignacio Merino N°1884 </t>
  </si>
  <si>
    <t>MIGUEL ANTONIO ACUÑA LARA</t>
  </si>
  <si>
    <t>bancodesangre@clinicagonzalez.com</t>
  </si>
  <si>
    <t>MEDICO PATOLOGO NICOLAS EDUARDO ARRIOLA CARBAJAL</t>
  </si>
  <si>
    <t>T.M. BIANCA BEATRIZ HERRERA CASTRO, FARID GUERRA GUTIERREZ, DAYANA BACA MOTABAN, BRIAN CRISPINN TINEO</t>
  </si>
  <si>
    <t>HOSPITAL SAN JUAN DE LURIGANCHO</t>
  </si>
  <si>
    <t>N°2023-0001489, N°2023-0009210, N°2023-0014241, 2023-0025438, 2023-0027970</t>
  </si>
  <si>
    <t>CLINICA SAN BORJA</t>
  </si>
  <si>
    <t>AV. CANTO GRANDE S/N PARADERO 11 SJL</t>
  </si>
  <si>
    <t>JUAN CARLOS BECERRA FLORES</t>
  </si>
  <si>
    <t>PER-BSIA150108-053</t>
  </si>
  <si>
    <t>P.C. CYNTHIA LORENZO QUITO</t>
  </si>
  <si>
    <t>R.D. N° 048-2023 DIGDOT/MINSA</t>
  </si>
  <si>
    <t>PER-BSII200115-054</t>
  </si>
  <si>
    <t>T.M. Ganoza Narciso Juana, T.M. Orihuela gonzales Ruth. T.M.aklvarado Bravo Ruth, T.M. Quispe Quique Jennifer, T.M.Yanac Abarca Gissel N.</t>
  </si>
  <si>
    <t>R.D. N° 107-2024 DIGDOT/ MINSA</t>
  </si>
  <si>
    <t>CLINICA SANTA LEONOR SAC</t>
  </si>
  <si>
    <t>CHORRILLOS</t>
  </si>
  <si>
    <t>N° 2024 - 0205725 y N° 2024-0212350</t>
  </si>
  <si>
    <t>HOSPITAL DE LA AMISTAD PERU-COREA SANTA ROSA II-2</t>
  </si>
  <si>
    <t>AV.DEFENSORES DE MORRO N° 2697</t>
  </si>
  <si>
    <t>VEINTISEIS DE OCTUBRE</t>
  </si>
  <si>
    <t>VICTOR MANUEL CRUZ BOULLOSA</t>
  </si>
  <si>
    <t>clinicasantaleonor@gmail.com</t>
  </si>
  <si>
    <t>Avenida Grau – Chulucanas, A.H. San Martin s/n, del Distrito Veintiséis de octubre</t>
  </si>
  <si>
    <t>MEDICO PATOLOGO: SILVIA TERESA BELLING SALAS</t>
  </si>
  <si>
    <t>LIC LIGIA VALDIVIA VEGA - ADIMINIST CEL .998063108</t>
  </si>
  <si>
    <t>MC OSCAR EDUARDO REQUENA RAMIREZ</t>
  </si>
  <si>
    <t>TM: MIGUEL VASQUEZ MENDOZA</t>
  </si>
  <si>
    <t>bancodesangresantarosa@gmail.com</t>
  </si>
  <si>
    <t>PER-BSIB240101-055</t>
  </si>
  <si>
    <t>PATOLOGO: EDGAR JOEL ANCAJIMA MORE</t>
  </si>
  <si>
    <t>R.D N° 085-2024 DIGDOT/ MINSA</t>
  </si>
  <si>
    <t>N°2023-0021098 y 2023-0028751</t>
  </si>
  <si>
    <t>DIRESA TUMBES</t>
  </si>
  <si>
    <r>
      <rPr>
        <rFont val="Calibri"/>
        <color rgb="FF000000"/>
        <sz val="11.0"/>
      </rPr>
      <t xml:space="preserve">Norma Yesenia Valencia Valverde, Flor de María Zapata Coronado, Rosita Elena Jacinto Goycochea, Carolina García García, Vanessa Ivon Panta Cruz, Noe Olaya Niño, </t>
    </r>
    <r>
      <rPr>
        <rFont val="Calibri"/>
        <color rgb="FF000000"/>
        <sz val="11.0"/>
      </rPr>
      <t xml:space="preserve">Rosmery Anabel Saavedra Santiago, Carlos Alberto Rivas Quintana, Carmen del Pilar Ortiz Morocho, Flor de María Castro de la Cruz, Cesar Luis Siancas Reto, Karen Andrea Novillo Delgado
</t>
    </r>
  </si>
  <si>
    <t>HOSPITAL CARLOS ALBERTO CORTEZ JIMENEZ - ESSALUD</t>
  </si>
  <si>
    <t>PER-BSIA150141-054</t>
  </si>
  <si>
    <t>N°2024-0215711, N°2024-0256707 y 2024-0266140</t>
  </si>
  <si>
    <t>R.D. N° 054-2023 DIGDOT/MINSA</t>
  </si>
  <si>
    <t>PROLONGACION AV. TUMBES N° 1625</t>
  </si>
  <si>
    <t>M.C .VICTOR MANUEL PEREZ SILVA</t>
  </si>
  <si>
    <t>victor.perezs@essalud.gob.pe</t>
  </si>
  <si>
    <t>M.C LUIS MALPICA CASTILLO</t>
  </si>
  <si>
    <t>CLÍNICA QUIRÚRGICA SANTA MARÍA S.A.C. – CLÍNICA SANTA MARÍA</t>
  </si>
  <si>
    <t>PER-BSII211101-055</t>
  </si>
  <si>
    <t>T.M.Eder Santos Llenque Siancas, Jeycer Mejia Cieza, Jaime Enrique Brito Hernandez, Maria Isabel Sandoval Chima</t>
  </si>
  <si>
    <t>R.D. N° 114-2024 DIGDOT/ MINSA</t>
  </si>
  <si>
    <t>CALLE LAS ÁGUILAS N° 360 URB. LIMATAMBO</t>
  </si>
  <si>
    <t>RUBEN DARIO COSTA COSTA</t>
  </si>
  <si>
    <t>N° 2024-0170788 ,2024- 0195400 y 2024-0232188</t>
  </si>
  <si>
    <t>administracion@clinicasantamaria.pe</t>
  </si>
  <si>
    <t xml:space="preserve">DIRESA PUNO </t>
  </si>
  <si>
    <t xml:space="preserve">DR. CÉSAR AUGUSTO CHIAN GARCÍA </t>
  </si>
  <si>
    <t xml:space="preserve">HOSPITAL CARLOS MONGE MEDRANO </t>
  </si>
  <si>
    <t>CEL: 990380377</t>
  </si>
  <si>
    <t>JULIACA</t>
  </si>
  <si>
    <t xml:space="preserve">Tecnólogo Médico: Brady Ángel Esteban Briceño, Tecnóloga Médica: Julie María Montalvo Pacahuala, Tecnóloga Médica: Sol Mary Cabanillas Isla </t>
  </si>
  <si>
    <t>SAN ROMAN</t>
  </si>
  <si>
    <t>PER-BSIB220601-056</t>
  </si>
  <si>
    <t>SALIDA A HUANCANE KILIMETRO 2</t>
  </si>
  <si>
    <t>R.D N° 084-2024 DIGDOT/ MINSA</t>
  </si>
  <si>
    <t>M.C. JOSE WILFREDO MAMANI VILCA</t>
  </si>
  <si>
    <t>N° 2023-0021930 y N° 2023-0029013</t>
  </si>
  <si>
    <t>bancodesangre.hcmm@gmail.com</t>
  </si>
  <si>
    <t xml:space="preserve">HEMATOLOGO MIRANDA MAYTA CRISSY </t>
  </si>
  <si>
    <t>900773338 crissyhem@gmail.com</t>
  </si>
  <si>
    <t>HOSPITAL II E JUANJUI - M.C- LUIS IZQUIERDO VASQUEZ</t>
  </si>
  <si>
    <t>BIOLOGOS:CASQUIRA CASTILLO EDITH ESPERANZA, LOPEZ HUATUCO DIONE MARYSOL, CHAYÑA BARRIOS IRENE LUCRECIA, ANA ISABEL APAZA FLORES,. TM. ORTIZ CALCINA DEISY BELINDA</t>
  </si>
  <si>
    <t>JUANJUI</t>
  </si>
  <si>
    <t>PER-BSIA130101-055</t>
  </si>
  <si>
    <t>MARISCAL CACERES</t>
  </si>
  <si>
    <t>R.D. N° 051-2023 DIGDOT/MINSA</t>
  </si>
  <si>
    <t xml:space="preserve">JR ARICA S/N </t>
  </si>
  <si>
    <t>D.C. PAUL ALAN REATEGUI SANDDOVAL</t>
  </si>
  <si>
    <t>preategui_sa@hotmail.com</t>
  </si>
  <si>
    <t>M.C. RONAL PEREZ ORTIZ</t>
  </si>
  <si>
    <t>N° 2024-0196977, 2024-0207450, DIGDOT-DIBAN20240000340 y 2024-0263479</t>
  </si>
  <si>
    <t>TM. ANGHELO CASTILLO JARA, TM. PEDRO SIFUENTES FLORES, T.M.DANIEL MACUYAMA SAAVEDRA, TM. JULISSA TORRES FLORES</t>
  </si>
  <si>
    <t>N° 2024- 0215964</t>
  </si>
  <si>
    <t>PER-BSII250101-056</t>
  </si>
  <si>
    <t>R.D. N° 112-2024 DIGDOT/ MINSA</t>
  </si>
  <si>
    <t>CLÍNICA SUÁREZ S.A.C.</t>
  </si>
  <si>
    <t>PER-BSIB150605-057</t>
  </si>
  <si>
    <t>R.D N° 090-2024 DIGDOT/ MINSA</t>
  </si>
  <si>
    <t>HOSPITAL II PUCALLPA</t>
  </si>
  <si>
    <t>JR. FRANCISCO BOLOGNESI N°740</t>
  </si>
  <si>
    <t>WALTER JESÚS CARPIO MONTENEGRO</t>
  </si>
  <si>
    <t>CLINICASUAREZSAC@GMAIL.COM</t>
  </si>
  <si>
    <t xml:space="preserve">DIRESA LIMA </t>
  </si>
  <si>
    <t>Av. Lloque Yupanqui N° 510</t>
  </si>
  <si>
    <t>DRA. KARLA NOVOA PEREZ</t>
  </si>
  <si>
    <t>HOSPITAL CHANCAY Y S.B.S DR. HIDALGO ATOCHE LOPEZ</t>
  </si>
  <si>
    <t>M.C. CARLOS ALARCON QUISPE</t>
  </si>
  <si>
    <t>CHANCAY</t>
  </si>
  <si>
    <t>carlos.alarconq@essalud.gob.pe</t>
  </si>
  <si>
    <t>T.M. JACKELIN MEJIA BARDALES, T.M. KATHERIN MARQUINA BAZÁN, BLGO. CARLOS GANOZA RONDÓN</t>
  </si>
  <si>
    <t>HUARAL</t>
  </si>
  <si>
    <t>PATOLOGO RICHARD MELENDEZ OROZCO</t>
  </si>
  <si>
    <t>CALLE MARISCAL SUCRE S/N</t>
  </si>
  <si>
    <t xml:space="preserve">TM. Yeni Margot Requiz Capcha., TM. Yenny Maritza Palomino Trigoso,  TM. Leonidas Alberto Pillpe Hurtado. TM. Augusto Daniel de la Cruz Rivera. TM. Julio Erick Roberto Cabrera Rojas. TM. Sandro Algarate Espinoza.
</t>
  </si>
  <si>
    <t>N°2023-0010822, N°2023-0020078, N°2023-0029062</t>
  </si>
  <si>
    <t xml:space="preserve">direcejecutivahospichancay@gmail.com </t>
  </si>
  <si>
    <t xml:space="preserve">PATOLOGO CLINICO REYNALDO ESTELA RAMIREZ </t>
  </si>
  <si>
    <t>N° 2024- 0210292, N° 2024- 0253272, DIGDOT-DIBAN20240000345 y N° 2024- 0280266</t>
  </si>
  <si>
    <t>TM. LILIA MARLENE GUTIERREZ ANDRADE, AYALA CRISSOSTOMO MARILU CONSUELO, MARIA ESTHER CALDERON OSORIO, ARAUCO FLORES JORGE ULISES, LOPEZ CASANOVA EFRAIN, KATHERINE VITORINO PONCE , RUMILDA MAGALI RIOS CHAMORRO, MARGARITA FIGEROA VALENCIA, KARINA PALOOMINO LEGUIA, FLOR DE MARIA CAPILLLO BAZAN, GISELLA JULIA CALVO VASQUEZ,</t>
  </si>
  <si>
    <t>PER-BSIA120114-056</t>
  </si>
  <si>
    <t>R.D. N° 057-2023 DIGDOT/MINSA</t>
  </si>
  <si>
    <t>N° 2024-0194284 y 2024-0210080</t>
  </si>
  <si>
    <t>PER-BSII200601-057</t>
  </si>
  <si>
    <t>R.D. N° 126-2024 DIGDOT/ MINSA</t>
  </si>
  <si>
    <t>MIRANDA MEDICINA Y CIRUGÍA DE AVANZADA S.R.L- CLÍNICA ESPECIALIZADA MIRANDA</t>
  </si>
  <si>
    <t>PER-BSIB150103-058</t>
  </si>
  <si>
    <t>R.D N° 092-2024 DIGDOT/ MINSA</t>
  </si>
  <si>
    <t>Jr. Juan Parra del Riego N° 701</t>
  </si>
  <si>
    <t>HOSPITAL DE APOYO II-2 SULLANA</t>
  </si>
  <si>
    <t xml:space="preserve">SULLANA </t>
  </si>
  <si>
    <t>M.C. BRUNO HERNANDEZ CORNEJO</t>
  </si>
  <si>
    <t>mirandacirugia@outlook.com</t>
  </si>
  <si>
    <t>DR. JULIO FERNANDO TRONCOSO MENA</t>
  </si>
  <si>
    <t xml:space="preserve">HOSPITAL DE HUAYCAN </t>
  </si>
  <si>
    <t>LIC. ELA ROQUE 988040011</t>
  </si>
  <si>
    <t>Tecnóloga Médica: Roque Crispín, Ela Rossana, Tecnóloga Médica: Rupay Ayala Liliana Margot, Tecnólogo Médico: Miranda Macavilca George Cristiani</t>
  </si>
  <si>
    <t>AV. SANTA ROSA S/N</t>
  </si>
  <si>
    <t>Av. José C. Mariátegui S/N Zona B – A.H</t>
  </si>
  <si>
    <t>M.C. NELSON ERICK CARRASCO CASTILLO</t>
  </si>
  <si>
    <t>N° 2023-0007278, N° 2023-0012793, N° 2023-0028019, N° 2023-0028370, N° 2023-0029440</t>
  </si>
  <si>
    <t xml:space="preserve">CESAR AUGUSTO DIAZ ESPINOZA  </t>
  </si>
  <si>
    <t>hospitalsullana@hospitalsullan.pe</t>
  </si>
  <si>
    <t>M.C. EDELMIRA GONZALES CHUMPITAZ</t>
  </si>
  <si>
    <t>Lic. Garces Wong Dora, Lic. Pacherrez Pacherrez Neli,Lic. Chiroque Santana Maritza, Lic. Chiroque Herrera Brenda, Lic. Reyes Gutiérrez Elvia,  Lic. Garcés Gonzales Geraldi, Lic. Castro Castillo Carlos</t>
  </si>
  <si>
    <t>TMS: CYNTHIA ISABEL HUARANCA SALINAS, HELLEN ESPIRITU PICHIULE, WILBER ALEXI YATACO SARAVIA, KARLA ESTEFANY BECERRA RAMIEZ, WALTER JOSE LUJAN ARCE, ABANTO CASTILLO JOHAN ALEXANDER, ROMILLY POUL MUÑOA FLORES</t>
  </si>
  <si>
    <t>PER-BSIA150130-057</t>
  </si>
  <si>
    <t>R.D. N° 053-2023 DIGDOT/MINSA</t>
  </si>
  <si>
    <t>N° 2024-0214148 y 2024-0215229</t>
  </si>
  <si>
    <t>N°2024-0217343, N° 2024-0263695</t>
  </si>
  <si>
    <t>ASTOCONDOR SALAZAR EPIFANIO FRANCISCO-CLÍNICA ASTOCONDOR</t>
  </si>
  <si>
    <t>PER-BSIB150141-059</t>
  </si>
  <si>
    <t>R.D N° 108-2024 DIGDOT/ MINSA</t>
  </si>
  <si>
    <t>AV. BOULEVARD N°610</t>
  </si>
  <si>
    <t>PER-BSII240101-058</t>
  </si>
  <si>
    <t>R.D. N° 123-2024 DIGDOT/ MINSA</t>
  </si>
  <si>
    <t>FRANCISCO EPIFANIO ASTOCONDOR SALAZAR</t>
  </si>
  <si>
    <t>franciscoastocondor@gmail.com</t>
  </si>
  <si>
    <t xml:space="preserve">DIRIS LIMA CENTRO </t>
  </si>
  <si>
    <t>PATOLOGA CLÍNICA MARISOL SULLCA SOTO</t>
  </si>
  <si>
    <t>DETECTA CLINICA ONCOLOGICA</t>
  </si>
  <si>
    <t>T.M. ISABEL SILVA DELGADO, T.M. GERALDINE TAIPE TUÑOQUE</t>
  </si>
  <si>
    <t>HOSPITAL REGIONAL JOSE ALFREDO MENDOZA OLAVARRIA JAMO</t>
  </si>
  <si>
    <t>Av. Angamos Este N° 2688</t>
  </si>
  <si>
    <t>M.C. LADD VICUÑA GUILLERMO</t>
  </si>
  <si>
    <t>Av, Calle 24 de Julio N°565</t>
  </si>
  <si>
    <t>N° 2023-0010694, N° 2023-0017646, N° 2023-0018696, N° 2023-0027724, N° 2023-0030924</t>
  </si>
  <si>
    <t>direccionmedica@detecta.pe</t>
  </si>
  <si>
    <t>M.C. ELIZABETH CARRILLO</t>
  </si>
  <si>
    <t>M.C. RAUL RIVERO CLAVO</t>
  </si>
  <si>
    <t>rraul19@hotmail.com</t>
  </si>
  <si>
    <t>TM BRAULIO CORDOVA , TM JIMENEZ CASTILLO NOEMI, TM YOSELIN CUADRIS QUISPE</t>
  </si>
  <si>
    <t>patologo: OSCAR MITLCHELL ZAPATA YAMUNAQUE</t>
  </si>
  <si>
    <t xml:space="preserve">Lic. Jana Cristina Ávila Núñez  ,Lic. Sara Yanet La Chira Hernández ,Lic. Susy Mariela Ponce Flores,Lic. Mary Ivone Segundo Chambergo Y Lic. Félix Efraín Nole Madrid
</t>
  </si>
  <si>
    <t>PER-BSIA130103-058</t>
  </si>
  <si>
    <t>R.D. N° 058-2023 DIGDOT/MINSA</t>
  </si>
  <si>
    <t>CLINICA RICARDO PALMA, CLINICA PADRE LUIS TEZZA</t>
  </si>
  <si>
    <t>PER-BSIB150136-060</t>
  </si>
  <si>
    <t>HOSPITAL I FLORENCIA DE MORA</t>
  </si>
  <si>
    <t>R.D N° 105-2024 DIGDOT/ MINSA</t>
  </si>
  <si>
    <t>FLORENCIA DE MORA</t>
  </si>
  <si>
    <r>
      <rPr>
        <rFont val="Calibri"/>
        <color rgb="FF000000"/>
        <sz val="10.0"/>
      </rPr>
      <t>N°2024-0195096, N° 2024-0209249, 2024-0250842,  N° 2024-0257135, N°2024-0277620 y 2024-0289623</t>
    </r>
    <r>
      <rPr>
        <rFont val="Calibri"/>
        <color rgb="FF000000"/>
        <sz val="11.0"/>
      </rPr>
      <t xml:space="preserve">
</t>
    </r>
  </si>
  <si>
    <t>CALLE 9 DE OCTUBRE N° 1030</t>
  </si>
  <si>
    <t>INVERCONSULT SA. (CLINICA PROVIDENCIA)</t>
  </si>
  <si>
    <t>ANGELA VERONICA SITO GUERRA</t>
  </si>
  <si>
    <t>angela.sito@essalud.gob.pe</t>
  </si>
  <si>
    <t>PER-BSII40101-059</t>
  </si>
  <si>
    <t xml:space="preserve"> PATOLOGO CLINICO KEENE ARAUJO</t>
  </si>
  <si>
    <t>CALLE CARLOS GONZALES N° 250</t>
  </si>
  <si>
    <t>R.D. N° 134-2024 DIGDOT/ MINSA</t>
  </si>
  <si>
    <t xml:space="preserve"> Gutiérrez Gómez Carmen Elisa, Vásquez Rodríguez Rolland Adalberto, Blanca Rojas Castillo</t>
  </si>
  <si>
    <t>M.C. RAFAEL EDUARDO DE LA ROSA CARDENAS</t>
  </si>
  <si>
    <t>msuarez@clinicaprovidencia.pe</t>
  </si>
  <si>
    <t>M.C. ABRAHAM DIAZ CHAVEZ (PATOLOGO CLINICO)</t>
  </si>
  <si>
    <t>DIRESA AREQUIPA</t>
  </si>
  <si>
    <t>"Hospital Regional Honorio Delgado Espinoza”</t>
  </si>
  <si>
    <t>N° 2023-0021736 - N° 2023-0012380</t>
  </si>
  <si>
    <t>Avenida Daniel Alcides Carrión N°505</t>
  </si>
  <si>
    <t>Carlos Segundo MEDINA LINARES</t>
  </si>
  <si>
    <t>cmedinal@hrhdap.gob.pe</t>
  </si>
  <si>
    <t>PER-BSIA200101-059</t>
  </si>
  <si>
    <t>PATOLOGA: MARISOL BALLON MANRIQUE</t>
  </si>
  <si>
    <t>R.D. N° 060-2023 DIGDOT/MINSA</t>
  </si>
  <si>
    <t>Bióloga Fresia Taipe Carbajal ,Bióloga Bertha Mamani Chura,Lic. TM Edilberto Limache Carbajal,Bióloga Cynthia Romero Sánchez,Bióloga Karina Carzola Pastor,Bióloga María Castro Castro</t>
  </si>
  <si>
    <t>PER-BSIB150114- 061</t>
  </si>
  <si>
    <t>R.D N° 110-2024 DIGDOT/ MINSA</t>
  </si>
  <si>
    <t>N°2024-0216776, N° 2024-0241421 y N° 2024-0299112</t>
  </si>
  <si>
    <t>CENTRO MEDICO MONT' SINAI</t>
  </si>
  <si>
    <t xml:space="preserve">AV. LOS TALLANES  MZ. I LOTE 27 URB LOS GERANIOS </t>
  </si>
  <si>
    <t>CLINICA MONTEFIORI</t>
  </si>
  <si>
    <t>PER-BSII230101-060</t>
  </si>
  <si>
    <t>MERCEDES JESUS CORONADO DE CARLOS GG -         CORPUS PASIS CARLOS ZUÑIGA DM</t>
  </si>
  <si>
    <t>R.D.N°001-2025 DIGDOT/MINSA</t>
  </si>
  <si>
    <t>carito_pk@hotmail.com</t>
  </si>
  <si>
    <t>PATOLO CLINICO: CAROL CARLOS CORONADO</t>
  </si>
  <si>
    <t>AV. SEPARADORA INDUSTRIAL N° 1820</t>
  </si>
  <si>
    <t>Lic. Norma Yesenia Valencia Valverde, Flor de María Castro de la Cruz, Vanesa von Panta Cruz, Rosita Elena Jacinto Goycochea</t>
  </si>
  <si>
    <t>M.C. ANILKKA MILUSKA VITTOR YMAÑA</t>
  </si>
  <si>
    <t xml:space="preserve">HOSPITAL HIPOLITO UNANUE DE TACNA </t>
  </si>
  <si>
    <t>LIC. JANET PRADO CARDENAS, LIC. JENIFER VALENCIA,LIC. STEPHANIE SANCHEZ, LIC. DEYSI OROSCO,LIC. JUNIOR DE LA CRUZ</t>
  </si>
  <si>
    <t>N° 2023-25733</t>
  </si>
  <si>
    <t>CALLE BLONDELL S/N</t>
  </si>
  <si>
    <t>Eddy Richard Vicente Choque</t>
  </si>
  <si>
    <t>N° 2024-0216460 Y N° 20240233723</t>
  </si>
  <si>
    <t>PER-BSIA250101-060</t>
  </si>
  <si>
    <t>JESUS ROBERTO RAMOS RODRIGUEZ</t>
  </si>
  <si>
    <t>952 877 806</t>
  </si>
  <si>
    <t>R.D. N° 063-2023 DIGDOT/MINSA</t>
  </si>
  <si>
    <t xml:space="preserve">MC JAIME MALCA MILLA, TM FERNANDA NIETO FLORES, BLG TERESA DAVALOS MAMANI, BLG ADRIANA MARIN FLORES, BLG CESAR LARICO GOMEZ, BLG JENNY MARÓN VARGAS </t>
  </si>
  <si>
    <t>PER-BSIB140112-062</t>
  </si>
  <si>
    <t>R.D N° 111-2024 DIGDOT/ MINSA</t>
  </si>
  <si>
    <t>CLÍNICA ESPECIALISTAS MÉDICOS E.I.R.L.- ESMEDIC E.I.R.L SEDE SALAVERRY</t>
  </si>
  <si>
    <t>DIRESA LAMBAYEQUE</t>
  </si>
  <si>
    <t>Jr. Salaverry N° 408</t>
  </si>
  <si>
    <t>N° 2024-273405, N° 2024-275871, N° 2024-0303987, N° 2024-0313010, N° 2024-0313805</t>
  </si>
  <si>
    <t>HOSPITAL II LUIS HEYSEN INCHAUSTEGUI</t>
  </si>
  <si>
    <t>PIMENTEL</t>
  </si>
  <si>
    <t>MOISES ACOSTA FLORES</t>
  </si>
  <si>
    <t>administracion@clinicaesmedic.com.pe</t>
  </si>
  <si>
    <t>KM 3.5 CARRETERA CHICLAYO-PIMENTEL</t>
  </si>
  <si>
    <t>Patologo clinico Genaro Richard Melendez Orosco</t>
  </si>
  <si>
    <t>953935675/984765303</t>
  </si>
  <si>
    <t>PER-BSII140101-061</t>
  </si>
  <si>
    <t>OSCAR ALFREDO CELIZ RODRIGUEZ</t>
  </si>
  <si>
    <t>Tecnólogo Médico:  Augusto Lourdes Espinoza Ugarte,  Biólogo: Marlon Carlo Angeles Quiñones, Biólogo: Celso Castillo Cueva</t>
  </si>
  <si>
    <t>R.D.N°004-2025 DIGDOT/MINSA</t>
  </si>
  <si>
    <t>oscar.celiz@essalud.gob.pe</t>
  </si>
  <si>
    <t>JOHAN ARRUE HERNANDEZ</t>
  </si>
  <si>
    <t>LIC.MARIA DEL CARMEN CHIROQUE MONTALVAN,LIC. MARIA MERCEDES MOTENEGRO CHANCAFE,LIC. EUBEER SANCHEZ RAMIREZ, LIC RODORICO CIEZA MARIN, LIC MARILÚ PISCOYA SOTO</t>
  </si>
  <si>
    <t>N° 2023-0018737, N° 2023-0020399, N° 2023- 0032332</t>
  </si>
  <si>
    <t>HOSPITAL REGIONAL DE PUCALLPA</t>
  </si>
  <si>
    <t>HOSPITAL REGIONAL LAMBAYEQUE</t>
  </si>
  <si>
    <t>N°2024-0217646,N° 2024- 0239179</t>
  </si>
  <si>
    <t>VIA DE EVITAMIENTO PANAMERICANA NORTE Y AV. PROGRESO S/N</t>
  </si>
  <si>
    <t>PER-BSIA130101-061</t>
  </si>
  <si>
    <t>R.D. N° 061-2023 DIGDOT/MINSA                  R.D. N° 056-2024 DIGDOT/MINSA</t>
  </si>
  <si>
    <t>CARLOS ALBERTO D'ANGELO RAMOS</t>
  </si>
  <si>
    <t>07/03/2023              05/09/2024</t>
  </si>
  <si>
    <t>bancodesangre@hrlamb.gob.pe</t>
  </si>
  <si>
    <t>PER-BSIB150101-063</t>
  </si>
  <si>
    <t>18/03/2023
06/09/2024</t>
  </si>
  <si>
    <t>ROSITA ELENA GALVEZ CABRERA</t>
  </si>
  <si>
    <t>R.D N° 118-2024 DIGDOT/ MINSA</t>
  </si>
  <si>
    <t xml:space="preserve">M.C.PAT. CLI. Roció Meléndez Fernández, Lic. T.M. Roció Becerra Ascurra,  T.M. Alejandrina contreras Contreras, T.M. Yolanda de la Cruz Rojas,    T.M. Darwin Almanzor Fernández Valverde, T.M. Irene Frias Lopez,  T.M. Maria Jesus Jara Carhuapoma, T.M. Luisa Llontop Uceda, T.M. Richar Montalvan Gonzales, T.M. Lilian Morales Nuñez, T.M. Agustin Nizama Berru, T.M. Maria Pisfil Chavez, T.M. Anderson Ramos Diaz                                                                                                                                                                                                                                         
</t>
  </si>
  <si>
    <t>CLINICA MATERNO INFANTIL DEL NORTE S.A. (SUSP DEFINITIVA)</t>
  </si>
  <si>
    <t>CLINICA MAISON DE SANTE  DE LIMA</t>
  </si>
  <si>
    <t>N° 2024-0216984,  N° 2024-0234920 y N° 2025-0002578</t>
  </si>
  <si>
    <t>AV. MANUEL VERA ENRIQUEZ 777</t>
  </si>
  <si>
    <t xml:space="preserve">PEDRO MIGUEL MANRIQUE ORRILLO </t>
  </si>
  <si>
    <t>PER-BSII150131-062</t>
  </si>
  <si>
    <t>direccion@cmaternoinfantil.com.pe</t>
  </si>
  <si>
    <t>Jr. Miguel Aljovin Nro 208-222</t>
  </si>
  <si>
    <t>R.D.N°007-2025DIGDOT/MINSA</t>
  </si>
  <si>
    <t>DRA. PATRICIA CONTRERAS VERA</t>
  </si>
  <si>
    <t>KARIN JOVANA CONTRERAS ALVAREZ</t>
  </si>
  <si>
    <t>kcontreras@clubdesalud.pe</t>
  </si>
  <si>
    <t>T.M. Yang Pierre Wilson Espejo Valdez, T.M. Henri Araujo Cartagena, TM Marisela Sofia Aguilera Rodriguez</t>
  </si>
  <si>
    <t>WILLIAM FELIX ASTORAYME ZAMORA</t>
  </si>
  <si>
    <t xml:space="preserve">TM Carol Aylien Moya Carol,  TM Carlos Diaz Milton, TMMOTTA HERNANDEZ ROSA, TM SUAREZ LIZANA CARMEN, TM ALIAGA AYALA PATRICIA
</t>
  </si>
  <si>
    <t>BRITISH AMERICAN HOSPITAL. S.A - CLINICA ANGLOAMERICANA</t>
  </si>
  <si>
    <t>2023-0027987 y 2023-0033844</t>
  </si>
  <si>
    <t>Alfredo Salazar nº 350 - San Isidro</t>
  </si>
  <si>
    <t>N°2024-0211794, N°2024-0223498, N°2024-0240030 y 2024-0258662</t>
  </si>
  <si>
    <t>CLINICA SANNA SAN BORJA (Esperanza del Perú S.A y CSalud S.A)</t>
  </si>
  <si>
    <t>Arq. Gonzalo Garrido Lecca Alvarez Calderón (GG)</t>
  </si>
  <si>
    <t>PER-BSIA230101-062</t>
  </si>
  <si>
    <t>R.D. N° 064-2023 DIGDOT/MINSA</t>
  </si>
  <si>
    <t>PER-BSIB150110-064</t>
  </si>
  <si>
    <t>galo@angloamericana.com.pe</t>
  </si>
  <si>
    <t>R.D. N° 121-2024 DIGDOT/ MINSA</t>
  </si>
  <si>
    <t>RAFAEL I. J. RODRIGUEZ BAYONA</t>
  </si>
  <si>
    <t xml:space="preserve">biologa Enma Gil Saucedo , lic. TM. Urbano Rodriguez Roger Hugo ,Biologo Cuervo Ruiz Romy Emanuel,Lic TM. Rosa Lopez Casu </t>
  </si>
  <si>
    <t xml:space="preserve">HOSPITAL I MARINO MOLINA SCIPPA </t>
  </si>
  <si>
    <t>N°2024-0288787  Y N°2024-0308466</t>
  </si>
  <si>
    <t>COMUNICA CESE DE CONVENIO CON CLINICA SANTA BEATRIZ</t>
  </si>
  <si>
    <t>I-3</t>
  </si>
  <si>
    <t>AV.GUILLERMO DE LA FUENE 515-545 URB. SANTA LUZMILA</t>
  </si>
  <si>
    <t>Javier Ivan HENOSTROZA CACERES</t>
  </si>
  <si>
    <t>PER-BSII150113-063</t>
  </si>
  <si>
    <t>PATOLOGO CLINICO ZAPATA SILVA TOMAS EDUARDO</t>
  </si>
  <si>
    <t>R.D.N°10-2025DIGDOT/MINSA</t>
  </si>
  <si>
    <t>Oncomed S.A.C. – OMED Servicios Médicos Quirúrgicos</t>
  </si>
  <si>
    <t xml:space="preserve">TM Vasquez Masanapon Juana, TM. Gutierrez Terán Luz Rocio, TM Evelyn Camacho Mendives, TM Rosalina Patricia Yovera Sosa  
</t>
  </si>
  <si>
    <t>HOSPITAL MILITAR LUIS ARIAS SCHEREIBER</t>
  </si>
  <si>
    <t>JESÚS MARÍA</t>
  </si>
  <si>
    <t>PROLONGACIÓN CAJAMARCA N°300</t>
  </si>
  <si>
    <t>2024-0222064, 2024-0245435 y 2024-0286495</t>
  </si>
  <si>
    <t>ARMANDO HUAMAN NAULA</t>
  </si>
  <si>
    <t>AV. FAUSTINO SÁNCHEZ S/N (EX. AV. PERSHING S/N)</t>
  </si>
  <si>
    <t>omedtacna@gmail.com</t>
  </si>
  <si>
    <t>GRAL. Brig. FREDY ISLA TAPIA</t>
  </si>
  <si>
    <t>MÉDICO PATOLOGO ESTHER KARINA MARCA PAVIO</t>
  </si>
  <si>
    <t>mp-hmc@hotmail.com</t>
  </si>
  <si>
    <t>MC. PAT.CLI. FUENTES RIVERA QUINTEROS GLORIA MEDALITH</t>
  </si>
  <si>
    <t>PER-BSIB110101-065</t>
  </si>
  <si>
    <t>TM. Julia Damiana Maquera Maquera, TM. Nilida Berrio Gavidia</t>
  </si>
  <si>
    <t>988504693/4854039</t>
  </si>
  <si>
    <t>R.D. N° 131-2024 DIGDOT/ MINSA</t>
  </si>
  <si>
    <t>M.CPAT.CLI. Hurtado Tauri Chrsitan, M.CPAT.CLI. minchan zapata cesar. Lic. TM visalaya Vega Rosario Gladys, Simon Lagos Patricia, Cerdan Aristondo Ana, Huertas Reyna Carmen, Torres Lloclla Mariaa, Llerena Urrutia  Briceida, Rodriguez Comesaña Hannali, tTEC: cHAVEZ MAMANI Layddy</t>
  </si>
  <si>
    <t xml:space="preserve"> N° 2023-0013701, N°2023-0021090 y N°2023-0034887</t>
  </si>
  <si>
    <t xml:space="preserve">HOSPITAL SANTA MARIA DEL SOCORRO </t>
  </si>
  <si>
    <t>N° 2024-0210322, N° 2024-0230428 y N° 2025-0012383</t>
  </si>
  <si>
    <t>Prolongacion Servulo Gutierrez 223 San Miguel, Ica</t>
  </si>
  <si>
    <t>Ricardo David Martinez Muñante</t>
  </si>
  <si>
    <t>PER-BSIA150140-063</t>
  </si>
  <si>
    <t>roxanavdc.05@gmail.com</t>
  </si>
  <si>
    <t>MC.ROXANA VILCA DEL CASTILLO</t>
  </si>
  <si>
    <t>PER-BSII150121-064</t>
  </si>
  <si>
    <t>R.D.N°008-2025DIGDOT/MINSA</t>
  </si>
  <si>
    <t>TM. Mariluz Constantina Fernandez Vasquez, TM. Jackelinne Jannet Cornejo Cruz, Blgo. Alejandro Constantino Cavero Espino,</t>
  </si>
  <si>
    <t>R.D. N° 065-2023 DIGDOT/MINSA</t>
  </si>
  <si>
    <t>N°2024-0186446, N° 2024-0243094</t>
  </si>
  <si>
    <t>CLINICA CAMPBELL- ABANI MEDIC SAC</t>
  </si>
  <si>
    <t>CLINICA CENTENARIO PERUANO JAPONESA</t>
  </si>
  <si>
    <t>PER-BSIB150121-066</t>
  </si>
  <si>
    <t>R.D. N° 124-2024 DIGDOT/ MINSA</t>
  </si>
  <si>
    <t>Avenida Benavides N°4813 Urbanización Las Gardenias</t>
  </si>
  <si>
    <t>AUGUSTO JORGE CAMPBELL PSATOR</t>
  </si>
  <si>
    <t>AV. PASEO DE LOS ANDES N° 675</t>
  </si>
  <si>
    <t>consultas@campbellcirugiaplastica.com , danitzamore@gmail.com</t>
  </si>
  <si>
    <t>M.C. MANUEL IGE AFUSO</t>
  </si>
  <si>
    <t>MEDICO PATOLOGO MIRYAM MORE YUPANQUI</t>
  </si>
  <si>
    <t>RAZON SOCIAL ASOCIACIÓN CIVIL NUESTRA SEÑORA DEL SAGRADO CORAZON Y CON NOMBRE COMERCIAL CLINICA STELLA MARIS</t>
  </si>
  <si>
    <t>PC.KANASHIRO HIGA ROLANDO</t>
  </si>
  <si>
    <t>MC MIRYAM MORE YUPANQUI, TM.RENATA PATRICIA VERASTEGUI TOPOVICH</t>
  </si>
  <si>
    <t xml:space="preserve">Lic. T.M. Roció Becerra Ascurra,   Lic. T.M. De la Cruz Palomino Lucia, Lic. T.M. Llosa Neyra Jose Manuel, Lic. T.M. Villar Reyes Roxana, Lic. T.M. Escobar Gamero Jesus, Lic.T.M. Vera Otero Pablo, Lic.T.M. Rivera Guillen Brenda
                                                                                                                                                                                                                                                     </t>
  </si>
  <si>
    <t>Av. Paseo de los Andes N°923</t>
  </si>
  <si>
    <t xml:space="preserve">Clodoaldo Barreda Dominguez
(Gerente de Salud) 
</t>
  </si>
  <si>
    <t>cjoo@stellamaris.com.pe</t>
  </si>
  <si>
    <t>JAVIER ERNESTO ROIG AROSEMENA</t>
  </si>
  <si>
    <t>N° 2023-0023455, 2023-0027952 y 2023-0035258</t>
  </si>
  <si>
    <t>CLINICA TEZZA</t>
  </si>
  <si>
    <t>TM CARMEN PACORA AGUILAR, TM MERCEDES CARRILLO BALCAZAR, TM SINTIA BLAS TORRES, TM ACOSTA SALERO FABIOLA, TM CALDERON RODRIGUEZ DAYANA, TM ERIKA DEL VALLE AGUILAR VELASQUEZ</t>
  </si>
  <si>
    <t>N° 2024-0244514, 2024-0217426 y 2025-0008817</t>
  </si>
  <si>
    <t>Clinica Materno Infantil Virgen del Rosario, CLINICA CABANI, RS: INSTITUTO DEL CEREBRO Y LA COMUNA VERTEBRAL S.A.C, NC: CLINICA ALVAREZ , CLINICA CAMINO REAL S.A.C (SAN ISIDRO)</t>
  </si>
  <si>
    <t>PER-BSIA130101-064</t>
  </si>
  <si>
    <t>Expediente N°2024-0234099, N°2024-0275227, N°2024-0300026</t>
  </si>
  <si>
    <t>R.D. N° 067-2023 DIGDOT/MINSA</t>
  </si>
  <si>
    <t>PER-BSIB150101-067</t>
  </si>
  <si>
    <t xml:space="preserve"> SMQ QUIRUMEDIC S.A.C – SERVICIO MEDICOQUIRURGICO QUIRUMEDIC S.A.C</t>
  </si>
  <si>
    <t>PER-BSII160201-065</t>
  </si>
  <si>
    <t>R.D. N° 125-2024 DIGDOT/ MINSA</t>
  </si>
  <si>
    <t>R.D.N°025-2025DIGDOT/MINSA</t>
  </si>
  <si>
    <t>CALLE WILFREDO TORRES ORTEGA 1034 URBANIZAICON MIRAFLORES</t>
  </si>
  <si>
    <t>WALTER ALBERTO FIGUEROA BERNAL</t>
  </si>
  <si>
    <t>GERESA LORETO</t>
  </si>
  <si>
    <t>clinicaquirumedic@gmail.com , walter_quirumedic@yahoo.com.pe</t>
  </si>
  <si>
    <t xml:space="preserve">HOSPITAL SANTA GEMA DE YURIMAGUAS
</t>
  </si>
  <si>
    <t>PATOLOGO CLINICO KENNE KARPOV ARAUJO PAREDES</t>
  </si>
  <si>
    <t>YURIMAGUAS</t>
  </si>
  <si>
    <t xml:space="preserve"> 964487529, 947421227</t>
  </si>
  <si>
    <t>ALTO AMAZONAS</t>
  </si>
  <si>
    <t>TECNOLOGOS MEDICOS: Magaly karolina Curi Mendoza, Noemi Garcia Tello, Irma Nora Orbegoso Amaya, Agurto Zapata Veronica Romina</t>
  </si>
  <si>
    <t>CLINICA INTERNACIONAL - SEDE LIMA</t>
  </si>
  <si>
    <t>Calle Ucayali Mz G Lote 7</t>
  </si>
  <si>
    <t>Jr. Wasshington N°1471</t>
  </si>
  <si>
    <t>N°2023-0026672 - 2023-0028537</t>
  </si>
  <si>
    <t>Dra.FARIA PATRICIA BERNUI BOBADILLA</t>
  </si>
  <si>
    <t>PATOLOGA MIRELLE MARMOLEJO OCHANTE</t>
  </si>
  <si>
    <t xml:space="preserve">-        Tecnóloga Médico: Liz Magnolia Chine Prada.
Tecnólogo Médico: Román Clemente Jaqueline. 
</t>
  </si>
  <si>
    <t>PER-BSIA150131-065</t>
  </si>
  <si>
    <t>M.C. Andrés Adolfo Alvarez Antonio</t>
  </si>
  <si>
    <t>R.D. N° 069-2023 DIGDOT/MINSA</t>
  </si>
  <si>
    <t>direccion@hsgy.gob.pe'</t>
  </si>
  <si>
    <t>Patolog Clinico Jaime Fernando Flores Torrejon</t>
  </si>
  <si>
    <t>N°2024-0162307, N°2024-0242809 y N°2024- 0265389</t>
  </si>
  <si>
    <t>945205919 (TM Carlos Villa)</t>
  </si>
  <si>
    <t xml:space="preserve">TM.Jackelit Guevara Cabrera.TM. Oscar Santa Cruz Sanchez. TM. Carlos Jorge Villa Sono. TM. Ana Liz Huazanga Icahuate.. TM. Ivan Roy Jarama Guevara. TM. Heidy Lorena Rengifo Pashanasi.
</t>
  </si>
  <si>
    <t>CLÍNICA PETRAS - GARIALE S.A.C.</t>
  </si>
  <si>
    <t xml:space="preserve">Expedientes: N° 2025- 0040180 y N° 2025- 0045151, DIGDOT-
    DIBAN20250000082 y N° 2025-0052376
</t>
  </si>
  <si>
    <t>Calle 6 Nº 221</t>
  </si>
  <si>
    <r>
      <rPr>
        <rFont val="Calibri"/>
        <color rgb="FF000000"/>
        <sz val="11.0"/>
      </rPr>
      <t>PER-BSIB</t>
    </r>
    <r>
      <rPr>
        <rFont val="Calibri"/>
        <color rgb="FF000000"/>
        <sz val="11.0"/>
      </rPr>
      <t>130401</t>
    </r>
    <r>
      <rPr>
        <rFont val="Calibri"/>
        <color rgb="FF000000"/>
        <sz val="11.0"/>
      </rPr>
      <t>-068</t>
    </r>
  </si>
  <si>
    <t>GINO RAÚL LLOSA BOLUARTE</t>
  </si>
  <si>
    <t>R.D. N° 014-2025 DIGDOT/ MINSA</t>
  </si>
  <si>
    <t>administracion@clinicapetrasperu.com</t>
  </si>
  <si>
    <t>PER-BSII130107 -066</t>
  </si>
  <si>
    <t>MEDICO PATOLOGO CLINICO JOE ELI AVENDAÑO DOMINGUEZ</t>
  </si>
  <si>
    <t>R.D.N°035-2025DIGDOT/MINSA</t>
  </si>
  <si>
    <t>MEDICO PATOLOGO CLINICO JOE ELI AVENDAÑO DOMINGUEZ, TM Anthony Giovanni Dávila Castagnino, TM Flor Castañeda Santamaria, Victoria Felicita Cecilia Nunura Aguilar</t>
  </si>
  <si>
    <t>Instituto Regional de Enfermedades Neoplásicas “Dr. Luis Pinillos Ganoza” – IREN NORTE</t>
  </si>
  <si>
    <t xml:space="preserve">N° 2023-0023144, N° 2023- 0027411, N° 2023- 0032951 y  
N° 2023- 0034789
</t>
  </si>
  <si>
    <t>CLINICA MAISON DE SANTE DEL ESTE</t>
  </si>
  <si>
    <t>HOSPITAL DE APOYO CHEPEN</t>
  </si>
  <si>
    <t>CHEPEN</t>
  </si>
  <si>
    <t>Av. 28 de julio S/N</t>
  </si>
  <si>
    <t xml:space="preserve">Panamericana Norte km 558 </t>
  </si>
  <si>
    <t xml:space="preserve">M.C. Cyntia QUESQUEN GARCIA 
</t>
  </si>
  <si>
    <t>PER-BSIA130105-066</t>
  </si>
  <si>
    <t>M.C. Hugo David Valencia Mariñas</t>
  </si>
  <si>
    <t>R.D. N° 071-2023 DIGDOT/MINSA</t>
  </si>
  <si>
    <t>Patolgo:
ROSITA ELENA GÁLVEZ CABRERA.
R</t>
  </si>
  <si>
    <t>hvalenciam@irennorte.gob.pe</t>
  </si>
  <si>
    <t>VICTOR LEZAMA NEYRA (HEMATOLOGO)</t>
  </si>
  <si>
    <t>TECNÓLOGOS MÉDICOS:
1,FREYSER NICK CALLA VILCHEZ. 
2,GALLARDO ESTEVES WILLFORD RAUL. 
3,RAMOS AGAPITO JUAN CARLOS.
4,RAMOS AGAPITO RONALD WILLIAM. 
5,PACHERRES BUSTAMANTE LESVIA ESPERANZA.
6,FERNÁNDEZ VALVERDE DARWIN ALMANZOR</t>
  </si>
  <si>
    <t xml:space="preserve">TM Eduardo Guerra Pachamango, TMNoemi García Tello, TM Elizabeth Chilcon Nolasco, TM Nora Orbegozo Amaya, TM Carmen Castañeda Flores, TM Soledad Azañero, TM Erika Merino , TMJackeline Reque, BLG Carlos Rebaza BLG Carlos Castillo 
</t>
  </si>
  <si>
    <t>ASOCIACIÓN CIVIL SERVICIOS GENERALES MADRE DE CRISTO- CLÍNICA MADRE DE CRISTO</t>
  </si>
  <si>
    <t>Expediente N° 2024-0214814, N° 2024-0274615, N° 2024-0288334, N°2024-0308780, N°2025-0008443</t>
  </si>
  <si>
    <t xml:space="preserve">Expedientes: N° 2025- 0033675 y N° 2025- 0037703 y N° 2025-0073503
</t>
  </si>
  <si>
    <t xml:space="preserve">Av. José Gabriel Condorcanqui N° 1397 </t>
  </si>
  <si>
    <t>ROSA ELENA GOMEZ NAVARRO</t>
  </si>
  <si>
    <t>rosaelena.gomez6@gmail.com</t>
  </si>
  <si>
    <t>MEDICO PATOLOGO Patricia Esperanza Contreras Vera</t>
  </si>
  <si>
    <t>PER-BSII150122- 067</t>
  </si>
  <si>
    <t>949939328/949094443</t>
  </si>
  <si>
    <t>R.D.N°034-2025DIGDOT/MINSA</t>
  </si>
  <si>
    <t>PER-BSIB150132-069</t>
  </si>
  <si>
    <t>TM. Rodríguez Cruz Jildo José, TM. Carrera De Espino Miriam Maritza, Biologa Maritza Helesi Zavaleta Hoyos, Nelson Arnaldo Crisando Miranda, Anderson Jesus Vigo Salinas, Pedro Robert Espinoza Rodriguez</t>
  </si>
  <si>
    <t>R.D. N° 029-2025 DIGDOT/ MINSA</t>
  </si>
  <si>
    <t>N° 2023-0022362, N° 2023-0029913, N° 2023-0032133</t>
  </si>
  <si>
    <t>N.C. HOSPITAL CENTRAL DE LA FUERZA AEREA DEL PÉRU Y   R.S. FUERZA AEREA DEL PERU</t>
  </si>
  <si>
    <t>HOSPITAL REGIONAL DOCENTE DE TRUJILLO</t>
  </si>
  <si>
    <t>HOSPITAL AURELIO DIAZ UFANO Y PERAL</t>
  </si>
  <si>
    <t>Av. Aramburu, 2da cuadra S/N</t>
  </si>
  <si>
    <t>CALLE RIO MAJES S/N G11 ANEXO AV. SANTA ROSA N° 5657 URB. LOS PINOS</t>
  </si>
  <si>
    <t>M.G.FAP. VICTOR ALFREDO VARGAS BLACIDO</t>
  </si>
  <si>
    <t>PER-BSIA150125-067</t>
  </si>
  <si>
    <t>R.D. N° 072-2023 DIGDOT/MINSA</t>
  </si>
  <si>
    <t>hospi.mesa@fap.mil.pe</t>
  </si>
  <si>
    <t>M.C. VICTOR GUISSE MAGALLANES</t>
  </si>
  <si>
    <t>M.P. VERONICA SILVA FLORES</t>
  </si>
  <si>
    <t>victor.guisse@essalud.gob.pe</t>
  </si>
  <si>
    <t>P.C.MANUEL FERNANDEZ VEGA/ MARIA DEL CARMEN CARBAJAL VILLAVICENCIO</t>
  </si>
  <si>
    <t>LIC. ANDRES HUARACHI SAAVEDRA, LIC. CLOTILDE JO GONZALES, LIC.SILVIA HERRERA GUERRERO, LIC.MARIA ISABEL RUIZ CRUZ, LIC. ELENA PALACIOS NAVARRO, LIC. YANET ASTOCONDOR GUTIERREZ, LIC.GUSTAVO CASTILLO PASTOR, LIC. NOEMI CAMPOS RMAIREZ,  LIC. JOSE LANDA ANDRADE</t>
  </si>
  <si>
    <t>LIC. MATSUMOTO OISCHI CARMEN, LIC. ROJAS DE LA CRUZ NILTON,  LIC. SANCHEZ HUILCA LUCIA, LIC. VILLEGAS CERNA JEAN</t>
  </si>
  <si>
    <t>CLINICA MONTELUZ- INSTITUTO MATERNO INFANTIL MONTENOR SAC</t>
  </si>
  <si>
    <t>Expediente N° 2025-0034955, N° 2025-0044558, N° 2025- 0069685</t>
  </si>
  <si>
    <t>N°2025-0004773, 2025-0023101 , 2025-0059383</t>
  </si>
  <si>
    <t>AVENIDA BUENOS AIRES N°2307 ALT.OVALO ZAPALLAL</t>
  </si>
  <si>
    <t>NELA ADRIANA RAMIREZ ESCOBAR</t>
  </si>
  <si>
    <t>director.medico@clinicamonteluz.com.pe</t>
  </si>
  <si>
    <t>PER-BSII060101- 068</t>
  </si>
  <si>
    <t xml:space="preserve">MEDICO PATOLOGO CLINICO Dra. Martha Jesús Miranda Watanabe </t>
  </si>
  <si>
    <t>R.D.N°049-2025DIGDOT/MINSA</t>
  </si>
  <si>
    <t>PER-BSIB150108-070</t>
  </si>
  <si>
    <t>R.D. N° 041-2025 DIGDOT/ MINSA</t>
  </si>
  <si>
    <t xml:space="preserve"> TM - Alba Nataly Vilca Cabana, TM Sovero Pimentel Christian y TM  Eloisa Maribel Silva Quino ; Actualización 15/07/2024 Responsable de Calidad T.M. Luis inga Chavez; T.M.Alva Vilca Cabana; T.M. Christian Sobero Pimentel; T.M. Eloisa Silva Quino; T.M. Juan cuestas Napan; T.M. Alejandro Rapre Santos </t>
  </si>
  <si>
    <t>HOSPITAL REGIONAL DOCENTE CAJAMARCA</t>
  </si>
  <si>
    <t>2023-0026306, 2023-0030768 y 2023-0040776</t>
  </si>
  <si>
    <t>CLINICAS MAISON DE SANTE S.A.</t>
  </si>
  <si>
    <t>Jr. Larry Jhonson y Martires de Uchuray S/N</t>
  </si>
  <si>
    <t>AV. CHORRILLOS 171-173</t>
  </si>
  <si>
    <t>M.C Jonny Eduardo Barrantes Herrera</t>
  </si>
  <si>
    <t xml:space="preserve">VIDAL HUAMAN CRUZ </t>
  </si>
  <si>
    <t>bancodesangrecajamarca@gmail.com</t>
  </si>
  <si>
    <t>PER-BSIA230101-068</t>
  </si>
  <si>
    <t>vhuaman@clubdelasalud.pe</t>
  </si>
  <si>
    <t>Pat. clín. María Jaqueline Silva Diaz</t>
  </si>
  <si>
    <t>R.D. N° 070-2023 DIGDOT/MINSA</t>
  </si>
  <si>
    <t>PATOLOGO CLINICO WILLIAM ASTORAYME ZAMORA</t>
  </si>
  <si>
    <t>Lic. TM Maria del Socorro Antunez, Neil Malca Bracamonte, Gloria Bardales Briones, Reyna Regalado Castillo, Flor Walter Castañeda, Paulo Lingan, Mario Santa Cruz Torres, Edwin Huaman Martinez, Leyly Ayala Lopez. Técnicos: Tito Huaccha Misahuaman, Guadalupe Bringas, Francisco Muñoz, Rosa Sanchez</t>
  </si>
  <si>
    <t xml:space="preserve">LIC TM KARLA ANDREA CRUZ, TM RONALD BRICEÑO, TM STEFFY JOCELYM JO,TM CAROL AYLIEN HERNANDEZ,TM YOSELI CENTENO </t>
  </si>
  <si>
    <t>CLÍNICA LA LUZ TACNA S.A.C.</t>
  </si>
  <si>
    <t xml:space="preserve">Expedientes N° 2024-0218588, 2024-0238532, 2024-0249399, 2024-0267511, 2025-0046767, 2025-0079172, 2025-0079164.
</t>
  </si>
  <si>
    <t>2025-0080220,2025-0079906,2025-0073045,20250064291,20250049553</t>
  </si>
  <si>
    <t>Av. Manuel A. Odría N° 702</t>
  </si>
  <si>
    <t>HUAMANLAZO ORDOÑEZ DENIS</t>
  </si>
  <si>
    <t>PER-BSII200701-069</t>
  </si>
  <si>
    <t>PER-BSIB110201-071</t>
  </si>
  <si>
    <t>dhuamanlazo@clinicalaluz.gob.pe</t>
  </si>
  <si>
    <t>R.D.N°048-2025DIGDOT/MINSA</t>
  </si>
  <si>
    <t>R.D. N° 066-2025 DIGDOT/ MINSA</t>
  </si>
  <si>
    <t>Dr. Denis Huaman lazo</t>
  </si>
  <si>
    <t>M.C. JAIME MALCA MILLA. T.M. IRMA CARRILLO TICONA, T.M. JOSE ZEGARRA SIÑA, BACH. CARLOS TINTAYA FERNANDEZ</t>
  </si>
  <si>
    <t>HOSPITAL II TALARA SEGURO SOCIAL DE SALUD ESSALUD</t>
  </si>
  <si>
    <t xml:space="preserve">razon social SEGURO SOCIAL DE SALUD y  nombre comercial RENE TOCHE GROPPO </t>
  </si>
  <si>
    <t>PARIÑAS</t>
  </si>
  <si>
    <t>TALARA</t>
  </si>
  <si>
    <t>N° 2023-0022614 , N° 2023-0030502 y N° 2023-0038010</t>
  </si>
  <si>
    <t>CHINCHA</t>
  </si>
  <si>
    <t>AV. PANAMERICA S/N CARRETERA LOBITOS</t>
  </si>
  <si>
    <t>comunican ingreso de tecnico de enfermeria Giovanna Gomez mediante Carta N° 083-2024-GG-CLL/TACNA de fecha 10 de mayo del 2024</t>
  </si>
  <si>
    <t>Av. San Ildefonso N°101</t>
  </si>
  <si>
    <t>M.C .CARLOS ALBERTO SAAVEDRA PRIETO</t>
  </si>
  <si>
    <t>carlos.saavedra@essalud.gob.pe</t>
  </si>
  <si>
    <t>Luis Guillermo SARAVIA PACHAS</t>
  </si>
  <si>
    <t>P.C. SILVIA VENEGAS LIÑAN</t>
  </si>
  <si>
    <t>PER-BSIA150113-069</t>
  </si>
  <si>
    <t xml:space="preserve">CLAVARINO ARTEAGA ROCIO BERTHILA.
</t>
  </si>
  <si>
    <t>R.D. N° 073-2023 DIGDOT/MINSA</t>
  </si>
  <si>
    <t>LIC. JULINHO ORDINOLA ZAPATA, LIC. LESLI VASQUEZ NUÑEZ,LIC. LEYDI SUAREZ VILLOSLADA, LIC. JORGE BRUN LOZADA, LIC. MARLENE TALLEDO PANTA</t>
  </si>
  <si>
    <t>Expediente N° 2025-0010207 y expediente N° 2025-0087335</t>
  </si>
  <si>
    <t xml:space="preserve">Se presento como personal de BS a los siguientes:
1. TM. FELIX ALBERTO, PORTILLA NAPA (T:01 FEB 1999)
2. TM. PEREZ MESTAS, MISHELLE DEL ROSARIO (T:23 SET 2020)
3.TM CRISTEL ANTUANETH PUNTRIANO GUILLEN (T:05 
MARZO 2021)
4. TM FIGUEROA VALERIO GIOVANNA (T:16 JULIO 2014)
5. TM YARIRA YETSEL MEDINA ESPINOZA (T:21 OCT 2020) 
6. TM FANNY BETZABE VILLA ZAPATA (T:26 MARZO 1993) 
7. TM MAGALI ELIZABETH ROJAS TASAICO (T:24 JUNIO 1997) 
8. TM OSCAR ENRIQUE CHAVEZ COLMENARES (T:5 FEBRERO 2001)
</t>
  </si>
  <si>
    <t>INTEGRA SERVICIOS MÉDICOS S.A.C. – CLÍNICA INTEGRA QUIRÚRGICA</t>
  </si>
  <si>
    <t>Expediente N°2025-0062278, N°2025-0094749</t>
  </si>
  <si>
    <t>PER-BSII100102-070</t>
  </si>
  <si>
    <t>AV. BRASIL N° 831</t>
  </si>
  <si>
    <t>R.D.N°053-2025DIGDOT/MINSA</t>
  </si>
  <si>
    <t>CELESTINO ALEJANDRO MARTÍNEZ FLORES</t>
  </si>
  <si>
    <t>amartinez@iso.com.pe</t>
  </si>
  <si>
    <t>HOSPITAL II HUANUCO</t>
  </si>
  <si>
    <t>AMARILIS</t>
  </si>
  <si>
    <t>PER-BSIB150140-072</t>
  </si>
  <si>
    <t>R.D. N° 094-2025 DIGDOT/ MINSA</t>
  </si>
  <si>
    <t>JR. JOSE OLAYA CUADRA 2</t>
  </si>
  <si>
    <t>N° 2023-0027311 y N° 2023-0039220</t>
  </si>
  <si>
    <t>LUIS TEZZA</t>
  </si>
  <si>
    <t>IVAN BARRERA EGOAVIL</t>
  </si>
  <si>
    <t>IVAN.BARRERA@ESSALUD.GOB.PE</t>
  </si>
  <si>
    <t>PATOLOGO.OLGA TUCTO LOPEZ</t>
  </si>
  <si>
    <t>CLINICAS MAISON DE SANTE SOCIEDAD ANONIMA - CLINICA MAISON DE SANTE DEL ESTE</t>
  </si>
  <si>
    <t xml:space="preserve">SANTIAGO DE SURCO </t>
  </si>
  <si>
    <t xml:space="preserve">-        Tecnólogo Médico: Cayo Loayza Antonio
-        Tecnólogo Médico: Chavez Becerra Alvar
-        Tecnólogo Médico: Saucedo Bruga Leni Marly.
-        Tecnólogo Médico: Rengifo Pashanasi Heidy Lorena.
-        Tecnólo Medico: Quispe Jimenez Wilmer.
</t>
  </si>
  <si>
    <t>PER-BSIA150137-070</t>
  </si>
  <si>
    <t xml:space="preserve">AV PROLONGACION ALFREDO BENAVIDES 5362 URB LAS GARDENIAS </t>
  </si>
  <si>
    <t>CESAR EDUARDO CARREÑO DIAZ</t>
  </si>
  <si>
    <t xml:space="preserve">N°2024-0190559, DIGDOT-DIBAN20240000333, 
                                                  N°2024-0217009 y N°2025-0074925
</t>
  </si>
  <si>
    <t>R.D. N° 086-2023 DIGDOT/MINSA</t>
  </si>
  <si>
    <t>PATOLOGA CLINICA MARIZA ALLCA LLAVE</t>
  </si>
  <si>
    <t>TM YOSELLI CENTENO, KARLA CRUZ, RAUL POSSO, CAROL HERNANDEZ,MILTON CARLOS</t>
  </si>
  <si>
    <t>PER-BSII80101-071</t>
  </si>
  <si>
    <t>R.D.N°060-2025DIGDOT/MINSA</t>
  </si>
  <si>
    <t>CLINICA SOLIDARIA SANTA ANITA</t>
  </si>
  <si>
    <t xml:space="preserve">Expediente N° 2025 - 0179896, N° 2025-0165148, N° 2025-0159110 y N° 2025- 0150881. </t>
  </si>
  <si>
    <t>DIRESA CUSCO</t>
  </si>
  <si>
    <t xml:space="preserve">CALLE LOS FLAMENCOS 121 </t>
  </si>
  <si>
    <t>Hospital de Apoyo Departamental Cusco</t>
  </si>
  <si>
    <t>PER-BSIB070103-073</t>
  </si>
  <si>
    <t>R.D. N° 093-2025 DIGDOT/ MINSA</t>
  </si>
  <si>
    <t>AV. DE LA CULTURA S/N</t>
  </si>
  <si>
    <t>KOTTY MAGALY PUENTE BERROSPI</t>
  </si>
  <si>
    <t>945 719 491</t>
  </si>
  <si>
    <t xml:space="preserve">Carlos Enrique GAMARRA VALDIVIA </t>
  </si>
  <si>
    <t>MEDICO PATOLOGO CLINICO ADA MARIA GOMEZ LOPEZ</t>
  </si>
  <si>
    <t>mesapartesvirtual@hrcusco.gob.pe</t>
  </si>
  <si>
    <t>HOSPITAL SAN JOSE</t>
  </si>
  <si>
    <t>HEMATOLOGA SHANEN BAPTISTA OJEDA</t>
  </si>
  <si>
    <t xml:space="preserve">TECNOLOGOS MEDICOS: FERNANDO CARDENAS MEDINA , </t>
  </si>
  <si>
    <t>CARMEN DE LA LEGUA REYNOSO</t>
  </si>
  <si>
    <t xml:space="preserve">Lic. T.M. German Salinas P.,Lic. T.M. Nancy Torres Q.,Lic. TM. Ruth Ataulluco V.,Lic. T.M. Lourdes Pacori C. Y Lic. T.M. Zandra Romero C.
</t>
  </si>
  <si>
    <t xml:space="preserve">N° 2023-0029060, N° 2023-0032515 y N° 2023-0048801   </t>
  </si>
  <si>
    <t>JR LAS MAGNOLIAS N°475</t>
  </si>
  <si>
    <t>HOSPITAL EMERGENCIA ATE VITARTE</t>
  </si>
  <si>
    <t>N° 2025-0060315, N°2025-0068962 y N°2025-0105999</t>
  </si>
  <si>
    <t>hospjose@hsj.gob.pe</t>
  </si>
  <si>
    <t>P.C. RUTH MOROCHO POMAR</t>
  </si>
  <si>
    <t>PER-BSIA150116-072</t>
  </si>
  <si>
    <t>PER-BSII80106-072</t>
  </si>
  <si>
    <t>R.D. N° 079-2023 DIGDOT/MINSA</t>
  </si>
  <si>
    <t>R.D.N°061-2025DIGDOT/MINSA</t>
  </si>
  <si>
    <t>T.M. Fuentes palacios, Rodríguez Huamán, Chumbi chunga, Cruzado rivera, Sánchez guando, 	Sarco Trujillo</t>
  </si>
  <si>
    <t>HOGAR CLÍNICA MONTE SINAÍ S.A.</t>
  </si>
  <si>
    <t>Expediente N° 2025-0190879, N° 2025-0203540, N° 2025-0204802 y N°0220221</t>
  </si>
  <si>
    <t>JIRÓN GARCILASO DE LA VEGA N° 1799</t>
  </si>
  <si>
    <t>Hospital Antonio Lorena del Cusco</t>
  </si>
  <si>
    <t>LUIS ALVA ODRIA</t>
  </si>
  <si>
    <t>recepcionmontesinai@hotmail.com</t>
  </si>
  <si>
    <t>SANTIAGO</t>
  </si>
  <si>
    <t xml:space="preserve">DR. ALEJANDRO SEGUNDO BARBARÁN ARÉVALO </t>
  </si>
  <si>
    <t>PER-BSIB200105-074</t>
  </si>
  <si>
    <t>Tecnólogo Médico: Carlos Enrique Herbias Fajardo y Tecnólogo Médico: Bertha Marina Temoche Vásquez</t>
  </si>
  <si>
    <t>R.D. N° 103-2025  DIGDOT/ MINSA</t>
  </si>
  <si>
    <t>Carlos Ugarte S/N Urb. Primavera</t>
  </si>
  <si>
    <t>Denis Fernando MENDOZA GAMARRA</t>
  </si>
  <si>
    <t xml:space="preserve">N° 2023-0029480, N° 2023-0033484, N° 2023-0045257 y N° 2023-0049231
</t>
  </si>
  <si>
    <t>direccionejecutiva@hospitalantoniolorena.gob.pe</t>
  </si>
  <si>
    <t>CLINICA SANTA LUCIA, LUIS TEZZA</t>
  </si>
  <si>
    <t>DRA.ROCIO LANDA SIERRA</t>
  </si>
  <si>
    <t>HOSPITAL PRIVADO DEL PERU SAC</t>
  </si>
  <si>
    <t>CATACAOS</t>
  </si>
  <si>
    <t xml:space="preserve">-Lic. T.M. Jessica Martinez Quispe,Lic. T.M. Luxmi Misme Gonzales,Lic.TM. Marleny Mango Mamani,Lic. T.M. Alexander Guzman Ramos Y Lic. T.M. Roxana Chosec Cáceres.
</t>
  </si>
  <si>
    <t>CARRETERA PIURA- CATACAOS, KM.5</t>
  </si>
  <si>
    <t>PER-BSIA150140-073</t>
  </si>
  <si>
    <t>R.D. N° 077-2023 DIGDOT/MINSA</t>
  </si>
  <si>
    <t>BLANCA VIOLETA CORDOVA HIDALGO</t>
  </si>
  <si>
    <t xml:space="preserve">N°2025-0054546, N° 2025-0063717, N° 2025-0103675 y N°2025-0110528 </t>
  </si>
  <si>
    <t>laboratoriohpp@hpp.com.pe</t>
  </si>
  <si>
    <t>P.C. ROCIO SANCHEZ AGUIRRE</t>
  </si>
  <si>
    <t xml:space="preserve">     Flor María castro de la Cruz, Keyla zurita Alejandría,  Vanesa Ivon Panta Cruz, Cenaida Jimenes Granda, Norma Yesenia Valencia</t>
  </si>
  <si>
    <t xml:space="preserve">CLINICA CEDRON- Médicos &amp; Cirujanos Asociados S.A.C </t>
  </si>
  <si>
    <t>PER-BSII130101-074</t>
  </si>
  <si>
    <t>R.D.N°063-2025DIGDOT/MINSA</t>
  </si>
  <si>
    <t xml:space="preserve">Expediente N° 2025-0178303, N° 2025-0182666 y N° 2025-0227733 </t>
  </si>
  <si>
    <t>JIRON EL POLO 438</t>
  </si>
  <si>
    <t>JUAN OTTO CEDRON GOICOCHEA</t>
  </si>
  <si>
    <t xml:space="preserve"> administracion@clinicacedron.com</t>
  </si>
  <si>
    <t>MEDICO PATOLOGO CLINICO ANGEL JONATHAN QUISPE RICCI</t>
  </si>
  <si>
    <t>PER-BSIB060101-075</t>
  </si>
  <si>
    <t>R.D. N° 109-2025  DIGDOT/ MINSA</t>
  </si>
  <si>
    <t>TECNOLOGOS MEDICOS: ROBERTO MAURO INCA CASTILLO, ADRIAN MEDARDO BALDEBELLANO BUENDIA</t>
  </si>
  <si>
    <t>Av. Mansiche N° 795 – Urb. Sánchez Carrión</t>
  </si>
  <si>
    <t>N° 2023-0032519, 2023-0027952 y 2023-0050094</t>
  </si>
  <si>
    <t>HOSPITAL “SIMÓN BOLIVAR”</t>
  </si>
  <si>
    <t>Victor Augusto Salazar Tantalean</t>
  </si>
  <si>
    <t>CLINICA SAN PABLO (VIGENTE HASTA SETIEMBRE DEL 2027)</t>
  </si>
  <si>
    <t>direcciongeneralhrdt@gmail.com</t>
  </si>
  <si>
    <t>M.C. Médico Patólogo Clínico Carrillo Ramírez Elva Rosa Cristina.</t>
  </si>
  <si>
    <t xml:space="preserve">T.M. Duran Palacios Daniel Lucas., T.M. Marchena Avila Maritza Bertha., T.M. Zabaleta Obeso Margarita Lucina., T.M. Huaylla Castillo Santos Evangelina., T.M. Carrera Suarez Miriam Maritza., T.M. Casimiro Reyes Romelia Sujey., T.M. Meléndez Lozada Rolando Alfredo., Biólogo Rodríguez Juarez Jimmy Alexi..Bióloga Campos de Rojas Zoila Rosa.
</t>
  </si>
  <si>
    <t>PER-BSIA230101-074</t>
  </si>
  <si>
    <t>Av. Mario Urteaga N° 500</t>
  </si>
  <si>
    <t>R.D. N° 080-2023 DIGDOT/MINSA</t>
  </si>
  <si>
    <t>M.C. GLADIS DELGADO CHAVEZ</t>
  </si>
  <si>
    <t>feruma2518@gmail.com</t>
  </si>
  <si>
    <t xml:space="preserve">N° 2025- 0058284, N° 2025- 0075633, N° 2025- 0119364 y N° 2025- 0122362
</t>
  </si>
  <si>
    <t>Medico Cirujano . Fernando Rubén Marino Aguilar</t>
  </si>
  <si>
    <t xml:space="preserve">T.M. Yovana Elizabeth Huaripata Vásquez, T.M. Lesly Arllet Coronel Roncal, Bióloga Ana Karina Chero Llantop, Biólogo Giancarlo Denis Santoyo Bornaz., Biólogo José Antonio Córdova Córdova
</t>
  </si>
  <si>
    <t>PER-BSII150801-075</t>
  </si>
  <si>
    <t>R.D.N°074-2025DIGDOT/MINSA</t>
  </si>
  <si>
    <t>I-4</t>
  </si>
  <si>
    <t>N° 2025-0223906</t>
  </si>
  <si>
    <t>CLINICA ISABEL - SERVICIOS INTEGRALES DE SALUD SANTA ANA SAC</t>
  </si>
  <si>
    <t xml:space="preserve">HOSPITAL REGIONAL DE HUACHO </t>
  </si>
  <si>
    <t>PER-BSIB040101-076</t>
  </si>
  <si>
    <t>CALLE ARICA N° 151</t>
  </si>
  <si>
    <t>R.D. N°  115-2025DIGDOT/ MINSA</t>
  </si>
  <si>
    <t xml:space="preserve">HUAURA </t>
  </si>
  <si>
    <t>GIOVANI VALENCIA HOLGUIN</t>
  </si>
  <si>
    <t>gerencia@clinicaisbel.pe</t>
  </si>
  <si>
    <t>Av. Jose Arambulo La Rosa N°221-251-271</t>
  </si>
  <si>
    <t>MEDICO PATOLOGO: GIULINA FUENTES ALIAGA</t>
  </si>
  <si>
    <t>991840419 / ADMINIST CARLOS TORRES: 952855426</t>
  </si>
  <si>
    <t>M.C Santiago Ruiz Lagos</t>
  </si>
  <si>
    <t>T.M . VALCERDE SANCHEZ HAYDE, BIOLOGOS: Chiu Casas Ines Erika, Cohaila Pihuaycho Aníbal Hipólito</t>
  </si>
  <si>
    <t>Medico Patologo Felix David Sayas Poma</t>
  </si>
  <si>
    <t>CLINICA AREQUIPA S.A.</t>
  </si>
  <si>
    <t>T.M. SIMEON PULIDO JOAQUIN, T.M MORRIS VITTE NICZA , T.M. SUAREZ QUICHIZ JENNY, T.M. MANRIQUE MANRIQUE DORY, T.M. LA CRUZ NICHO JAVIER, T.M. SOLANO HUAYAC AMALIA , T.M.BECERRA ECHIPARRA CHABELLY , T.M CASTRO VILCHEZ ELENA. , TEC FIESTAS PUESTAS CATALINA , TEC TOLEDO LA ROSA KARLA.</t>
  </si>
  <si>
    <t>Esquina puente Grau con Av. Bolognesi S/N</t>
  </si>
  <si>
    <t>N°2023-0025941, N°2023-0041438</t>
  </si>
  <si>
    <t>M.C. HARRISON VIZCARRA ZEGARRA</t>
  </si>
  <si>
    <t>N°2025-0060607,N° 2025-0073084 y N°2025-0128901</t>
  </si>
  <si>
    <t>gerenciamedica@clinicarequipa.com.pe</t>
  </si>
  <si>
    <t>Médico Patólogo Clínico Luis Antonio Vizcarra Zegarra</t>
  </si>
  <si>
    <t>PER-BSIA150130-075</t>
  </si>
  <si>
    <t>PER-BSII020101-076</t>
  </si>
  <si>
    <t xml:space="preserve">T.M. Mayte Eliana Monzón Sullca, Bióloga Stephanie Yelitza Cervantes Bustos. Biólogo Carlos Cesar Laguna Mendoza, Bióloga Silvia Demetria Machaca Chipana, Bióloga Maribel Ines Yataco Flores.
</t>
  </si>
  <si>
    <t>R.D. N° 078-2023 DIGDOT/MINSA</t>
  </si>
  <si>
    <t>R.D.N°073-2025DIGDOT/MINSA</t>
  </si>
  <si>
    <t xml:space="preserve"> N° 2025-0227223, 2025-0237895, 2025-0251920 y 2025-0252812</t>
  </si>
  <si>
    <t>DIRESA ÁNCASH</t>
  </si>
  <si>
    <t>CENTRO DE FERTILIDAD Y REPRODUCCIÓN ASISTIDA S.A.C.</t>
  </si>
  <si>
    <t xml:space="preserve">Hospital “Víctor Ramos Guardia” Huaraz </t>
  </si>
  <si>
    <t>PER-BSIB110501-077</t>
  </si>
  <si>
    <t>AV. GUARDIA CIVIL N°715</t>
  </si>
  <si>
    <t>R.D. N°  143-2025DIGDOT/ MINSA</t>
  </si>
  <si>
    <t>Av. Luzuriaga s/n Cuadra 12</t>
  </si>
  <si>
    <t>KARL YGOR PEREZ ZOLF</t>
  </si>
  <si>
    <t>Dra. Lidia Figueroa Barreto</t>
  </si>
  <si>
    <t>VICTORLARA@CEFRA.COM.PE</t>
  </si>
  <si>
    <t>MEDICO PATÓLOGO CLINICO RAFAEL IGNACIO RODRIGUEZ BAYONA</t>
  </si>
  <si>
    <t>Pat. clín. William Durand</t>
  </si>
  <si>
    <t>981839312 // 959213350 T.M ROBERTO JOSÉ GONZALES HERRERA</t>
  </si>
  <si>
    <t>(dr. Durand)954483342/(lic Luis Dominguez) 954483342</t>
  </si>
  <si>
    <t>T.M ROBERTO JOSÉ GONZALES HERRERA</t>
  </si>
  <si>
    <t>RS.SEGURO SOCIAL DE SALUD N.C. ANTONIO SKRABONJA ANTONCICH</t>
  </si>
  <si>
    <t>Tecnólogos médicos: Luis Dominguez Villanueva, Pilar Hidalgo Sal y Rosas, Máximo Huaman Aguilar, Roger Rojas Lescano, Alexander Sánchez Aguilar, Marycruz Blas, Roxana Villacaqui, Abner de La Cruz./ Técnicos: Erika Pinedo, Rober Chavez, León Lazarte.</t>
  </si>
  <si>
    <t>PISCO</t>
  </si>
  <si>
    <t>N°N°2023-0028529, N°2023-0037611, N°2023-0048642</t>
  </si>
  <si>
    <t>AV. LAS AMERICAS S/N</t>
  </si>
  <si>
    <t>N° 2025-0055343, 2025-0082135, 2025-0079172, 2025-0103310, 2025-0122722.</t>
  </si>
  <si>
    <t>M.C.ALDO PHILIPPE TORRES MANRIQUE</t>
  </si>
  <si>
    <t>aldo.torresm@essalud.gob.pe</t>
  </si>
  <si>
    <t>M.C. LUIS JAVIER GALVEZ ESCATE</t>
  </si>
  <si>
    <t>PER-BSII170101-073</t>
  </si>
  <si>
    <t>T.M. SANTA BEATRIZ FALERO BOJORQUEZ, T.M. LESLI MEDINA CIPRIANI, T.M QUISPE RODRIGUEZ, T.M. ROJAS ÑIQUE, T.M. TORREALVA TOLEDO, T.M.MEDINA ESPINOZA Y T.M. ROMAN PERLATA</t>
  </si>
  <si>
    <t>PER-BSIA080601-076</t>
  </si>
  <si>
    <t>R.D.N°079-2025DIGDOT/MINSA</t>
  </si>
  <si>
    <t>R.D. N° 084-2023 DIGDOT/MINSA</t>
  </si>
  <si>
    <t>N° 2025-0342395 Y 2025-0345938</t>
  </si>
  <si>
    <t>DIRESA MADRE DE DIOS</t>
  </si>
  <si>
    <t xml:space="preserve"> SEGURO SOCIAL DE SALUD - ESSALUD SICUANI</t>
  </si>
  <si>
    <t>TAMBOPATA</t>
  </si>
  <si>
    <t>SICUANI</t>
  </si>
  <si>
    <t>CANCHIS</t>
  </si>
  <si>
    <t>PER-BSIB070106-078</t>
  </si>
  <si>
    <t>Jr. Cajamarca 171 Numero 651</t>
  </si>
  <si>
    <t>R.D. N°  003-2026-DIGDOT/ MINSA</t>
  </si>
  <si>
    <t>AV. EL SOL N°501. LA BOMBONERA</t>
  </si>
  <si>
    <t>Luis Humberto CHAVES CELIS</t>
  </si>
  <si>
    <t>lchavez@hospitalsantarosa.gob.pe</t>
  </si>
  <si>
    <t>VALERIO SALAS SUNA</t>
  </si>
  <si>
    <t>medico patologo Elvis ArmandoRojas Jurado</t>
  </si>
  <si>
    <t>VALERIO.SALAS@ESSALUD.GOB.PE, CEL 982119994</t>
  </si>
  <si>
    <t>II - 1</t>
  </si>
  <si>
    <t>MEDICO PATÓLOGO NADIA DEL CARPIO CUENTAS</t>
  </si>
  <si>
    <t xml:space="preserve">Lic. T.M. Melany Sanchez Torres,Lic. T.M. Johan Delgado Mantari,Lic. T.M. Verónica Verona Bautista,Lic. T.M. Zenon Balbin Archiy Lic. T.M. Roxana Lazo Chavez
</t>
  </si>
  <si>
    <t>T.M. CARLOS PAUCAR AYMA, T.M. PAUL VEAS NAJAR, T.M. ALCI ESPICHAN FERNANDEZ . BLGO HENRY PASTOR GIVERA</t>
  </si>
  <si>
    <t>HOSPITAL DE VENTANILLA</t>
  </si>
  <si>
    <t>VENTANILLA</t>
  </si>
  <si>
    <t>N° 2025-0063043, N° 2025- 0086417, 2025-0097275 y N° 2025-0129286</t>
  </si>
  <si>
    <t>Av. Pedro Beltrán Calle S/N. Altura de la Calle 3</t>
  </si>
  <si>
    <t>N°2023-0015140, N°2023-0021427</t>
  </si>
  <si>
    <t>M.C Guillermo Javier Huatuco Collantes</t>
  </si>
  <si>
    <t>M.C. Gallegos Catachura Jimmy Richard</t>
  </si>
  <si>
    <t>PER-BSII090101-077</t>
  </si>
  <si>
    <t>Lic. TM. Walter Arroyo, Lic. TM. Laura Cruzado, Lic. TM. Gilda Lujan, Lic. TM. Edhizon Trejo, Lic. TM. Celena Romero, Lic. TM. Harry Rojas, Lic. TM. Nery Delgado, Lic. TM. Miguel Quispe, Lic. TM. Suzetti Tisnado, Lic. TM. Liliana Bermudez, Lic. TM. Roberts Congona, Lic. TM. Greicy Gonzales, Lic. TM. Joel Granda, Lic. TM. Marycarmen Melgarejo y Lic. Blga. Leticia Silva Mera</t>
  </si>
  <si>
    <t>R.D.N°102-2025DIGDOT/MINSA</t>
  </si>
  <si>
    <t>PER-BSIA150120-077</t>
  </si>
  <si>
    <t>R.D. N° 081-2023 DIGDOT/MINSA</t>
  </si>
  <si>
    <t>N °  2025-0270186, N° 2025-030304, 2025-0349494</t>
  </si>
  <si>
    <t>Hospital Departamental de Huancavelica</t>
  </si>
  <si>
    <t>CLINICA MEDICAL PLASTIC SAC</t>
  </si>
  <si>
    <t>MAGDALENA DEL MAR</t>
  </si>
  <si>
    <t>PER-BSIB221001-079</t>
  </si>
  <si>
    <t>Av. Andrés Avelino Cáceres S/N</t>
  </si>
  <si>
    <t>R.D. N°D0050-2026-DIGDOT-MINSA</t>
  </si>
  <si>
    <t>AV. BRASIL 3281</t>
  </si>
  <si>
    <t xml:space="preserve">Dr. Iván PAUCAR CALDERÓN
</t>
  </si>
  <si>
    <t xml:space="preserve">Hematóloga Rosario Lázaro </t>
  </si>
  <si>
    <t>RAMIRO MOISES ARAUCO JIMENEZ</t>
  </si>
  <si>
    <t>(dra Rosario) 949956161</t>
  </si>
  <si>
    <t>doctor@ramiroarauco.com</t>
  </si>
  <si>
    <t xml:space="preserve">Lic. Cesar Fernandez Quispe Lic. Ivan Gil Muñoz Lic. Cesar Urquizo Subilete Lic. Javier Quezada Alarcón Lic. Ronald Anaya Espinoza Lic. Letts Cervantes Untiveros 
</t>
  </si>
  <si>
    <t>MEDICO PATOLOGO MARIELA DELGADO BURGA</t>
  </si>
  <si>
    <t>HOSPITAL TOCACHE</t>
  </si>
  <si>
    <t xml:space="preserve">Administrador: Angel Arauco cel: 975 002 359 </t>
  </si>
  <si>
    <t>TOCACHE</t>
  </si>
  <si>
    <t>T.M. JOSE IBARRA CORTEZ</t>
  </si>
  <si>
    <t>Jr. RICARDO PALMA 550</t>
  </si>
  <si>
    <t>OBS. WILDER VASQUEZ ALVA</t>
  </si>
  <si>
    <t>N° 2023-0032999 y 2023-0044693</t>
  </si>
  <si>
    <t>N° 2025-0065177, 2025-0097796, 2025-0135667, 2025-0178802</t>
  </si>
  <si>
    <t>Pat. Clí. JOAN MANUEL PEDRAZA LA BARRERA</t>
  </si>
  <si>
    <t>PER-BSII210101-078</t>
  </si>
  <si>
    <t>T.M. Jaquelline Callirgos Atoche, T.M. David Egusquizar Romero, T.M. Deysi Contreras Laos, T.M. Nino Deyvis Sánchez Sánchez, T.M. Aldo Silva Alejandria</t>
  </si>
  <si>
    <t>R.D.N° 089 -2025DIGDOT/MINSA</t>
  </si>
  <si>
    <t>PER-BSIA100101-078</t>
  </si>
  <si>
    <t>N°2026-0057988, N°2026-0104087, N°2026-0122834 y N°2026-0131517</t>
  </si>
  <si>
    <t>R.D. N° 083-2023 DIGDOT/MINSA                  R.D. N° 043-2024 DIGDOT/MINSA</t>
  </si>
  <si>
    <t>30/03/2023    10/07/2024</t>
  </si>
  <si>
    <t>12/04/2023
24/07/2024</t>
  </si>
  <si>
    <t>PER-BSIB200501-080</t>
  </si>
  <si>
    <t>R.D. N°D00XXXX-2026-DIGDOT-MINSA</t>
  </si>
  <si>
    <t>Clínica Dr. Vitor Empresa Individual de Responsabilidad Limitada – Centro Traumatológico Dr. Vitor (SUSPENSION DEFINITIVA)</t>
  </si>
  <si>
    <t xml:space="preserve">HOSPITAL DE APOYO II-1 NUESTRA SEÑORA DE LAS MERCEDES -PAITA </t>
  </si>
  <si>
    <t xml:space="preserve">HOSPITAL REGIONAL MANUEL NUÑEZ BUTRON </t>
  </si>
  <si>
    <t>PAITA</t>
  </si>
  <si>
    <t>JR. HEMILIO VALDIZAN N° 981</t>
  </si>
  <si>
    <t xml:space="preserve">PUNO </t>
  </si>
  <si>
    <t>YOLANDA ATENCIA CORDOVA</t>
  </si>
  <si>
    <t>LOS PESCADORES S/N,LA PUNTA S/N</t>
  </si>
  <si>
    <t>JR RICARDO PALMA N° 120</t>
  </si>
  <si>
    <t>clinicadrvitor29@outlook.com</t>
  </si>
  <si>
    <t>ANATOMO PATOLOGO: JUAN MOTTA RODRIGUEZ</t>
  </si>
  <si>
    <t>Eduardo Ricardo Alvarez Delgado</t>
  </si>
  <si>
    <t>M.C GROVER DELFIN CALDERON MAMANI</t>
  </si>
  <si>
    <t>Dr. Vitor: 950519393</t>
  </si>
  <si>
    <t>hospitalregional.mnb@gmail.com</t>
  </si>
  <si>
    <t>DR. ANATOMO PATOLOGO: JUAN MOTTA RODRIGUEZ, TM. QUESQUEN CARRILLO WILDER, TM. JOSE QUISPE JIMENEZ</t>
  </si>
  <si>
    <t>M.C. ARMANDO lAJO SOTO</t>
  </si>
  <si>
    <t>direccion@hospitallasmercedespaita.gob.pe</t>
  </si>
  <si>
    <t>Hematologa Dra. MARIA TASSARA  Cicchini</t>
  </si>
  <si>
    <t xml:space="preserve">T.M José Alberto Palomino Dominguez
T.M Berenise Marilyn Arismediz Hidalgo 
T.M María Elizabeth Giron Flores 
T.M Jairo Iván García Copia 
T.M Jeycer Mejia Cieza
</t>
  </si>
  <si>
    <t xml:space="preserve">BLGO.EDISON PEREZ NINA,BLGO. ANITA QUISPE MORRON, BLGO. V.JAVIER SOLIS GORDILLO,BLGO. VILMA SOTO ROMERO ,Miranda Chino Cynthia, </t>
  </si>
  <si>
    <t>2026-0121794, 2026-0137059, 2026-0154136, 2026-0165476.</t>
  </si>
  <si>
    <t xml:space="preserve">2024-0211385, N° 2024-0232188, N° 2024-213902  ,N°2025-0100147, N° 2025-0100179, N°2025-0101404, 2025- 0000278 y 2025-0170369 
</t>
  </si>
  <si>
    <t>PER-BSIA150140-079</t>
  </si>
  <si>
    <t>R.D. N° 089-2023 DIGDOT/MINSA</t>
  </si>
  <si>
    <t>PER-BSII070102-079</t>
  </si>
  <si>
    <t>R.D.N° 092  -2025DIGDOT/MINSA</t>
  </si>
  <si>
    <t>PER-BSIB110101-081</t>
  </si>
  <si>
    <t>R.D. N°D00XX-2026-DIGDOT-MINSA</t>
  </si>
  <si>
    <t>CLINICA ZEGARRA SAC</t>
  </si>
  <si>
    <t>Hospital Nacional Daniel Alcides Carrión</t>
  </si>
  <si>
    <t>razón social SEGURO SOCIAL DE SALUD y nombre comercial FELIX TORREALVA GUTIERREZ</t>
  </si>
  <si>
    <t>AV. PRIMAVERA N° 886</t>
  </si>
  <si>
    <t>WALTER FRANK ZEGARRA AVILA</t>
  </si>
  <si>
    <t>Av. Guardia Chalaca N° 2176</t>
  </si>
  <si>
    <t xml:space="preserve">administracion@clinicazegarra.com </t>
  </si>
  <si>
    <t>Av. Cutervo N° 104</t>
  </si>
  <si>
    <t>Dr. Rolando Adrianzen Tantachuco</t>
  </si>
  <si>
    <t xml:space="preserve">DR. LUIS 924689555 </t>
  </si>
  <si>
    <t>JUAN CARLOS GALINDO MATTA</t>
  </si>
  <si>
    <t>T.M FRANKLIN MTEO ROBLES</t>
  </si>
  <si>
    <t>juan.galindom@essalud.gob.pe</t>
  </si>
  <si>
    <t>M.C. Martha Miranda Watanabe</t>
  </si>
  <si>
    <t>M.C. MARIA YSABEL GRADOS AVALOS</t>
  </si>
  <si>
    <t>(dra Miranda) 942 761 585</t>
  </si>
  <si>
    <t>962 537 718</t>
  </si>
  <si>
    <t xml:space="preserve">TM. Armanda Quispe, TM. Robert Inca, TM. Epifanía Borda, TM. Wilder Villareal, TM. Juan Sosa, TM. Oscar Perez, TM. María Anhuamanán, TM. Kacy Cano, TM. Mery Cossio, TM. Manuel Diaz, TM. Ricardo Corrales </t>
  </si>
  <si>
    <t xml:space="preserve">TM Marely Giuliana Hernandez Vagas de Alejo, TM Cesar Jesus Chavez Hernandez, TM Eugenia Dina Robles Ventura, TM Gladys Betsaida Cervantes Ortega, TM Yetti Rodriguez Weisselberger, TM Eucebio Samana Gaytan, TM Max Alexander Huamantupa Retamozo, TM Karen Pierina Garcia Fajardo, TM Cesar Fonseca Fonseca </t>
  </si>
  <si>
    <t>N°2023-0034839 Y N°2023-0049408</t>
  </si>
  <si>
    <t xml:space="preserve">Expediente N° 2025-0184199, 2025-0196348, 2025-0203626 y 2025-0217133 </t>
  </si>
  <si>
    <t>PER-BSIA200601-080</t>
  </si>
  <si>
    <t>Jefatura: Ubicado en ambiente del Departamento de Patología, 2 áreas de almacenamiento de insumos, área de esterilización compartido con micro</t>
  </si>
  <si>
    <t>R.D. N° 087-2023 DIGDOT/MINSA</t>
  </si>
  <si>
    <t>N° 2026-0141068, 2026-0168958, 2026-0196866  y 2026-0195714</t>
  </si>
  <si>
    <t>CLINICA OLGUIN- CLINICA OLGUIN E.I.R.L</t>
  </si>
  <si>
    <t>SULLANA</t>
  </si>
  <si>
    <t>PER-BSII210101-080</t>
  </si>
  <si>
    <t>R.D.N° 118-2025DIGDOT/MINSA</t>
  </si>
  <si>
    <t>CALLE SUCRE N°1300</t>
  </si>
  <si>
    <t>HOSPITAL III BASE PUNO CUYA RAZON SOCIAL ES SEGURO SOCIAL DE SALUD</t>
  </si>
  <si>
    <t>SERGIO OLGUIN PLASCENCIA</t>
  </si>
  <si>
    <t>adm.clinicaolguin@gmail.com</t>
  </si>
  <si>
    <t xml:space="preserve">HEMATOLOGO CLINICO: MARIA FRANCESCA TASSARA COCCHINI </t>
  </si>
  <si>
    <t>AV. FRANCISCO CACERES JARA N° 600 SALCEDO</t>
  </si>
  <si>
    <t>ADM: 979892538</t>
  </si>
  <si>
    <t>TM: LILIANA OLGUIN REATEGUI, JULINHO HERNAN ORDINOLA ZAPATA, CARLOS NAVARRO HERRERA, MERCEDES RAMOS CASTRO</t>
  </si>
  <si>
    <t>M.C. ARNOLS MAURO GONZALES MASIAS</t>
  </si>
  <si>
    <t>arnoldmaurogonzalesmasias@gmail.com</t>
  </si>
  <si>
    <t>M.C. MARICELA CARMEN MOLLUNI BALCONA</t>
  </si>
  <si>
    <t>N° 2023-0024485, 2023-0039249, 2023-0052262 y 2023-0056072</t>
  </si>
  <si>
    <t>LIC. HECTOR CCOSI MAMANI, LIC. EFRAIN MIRANDA CANAZA, LIC.ALBERTO VEGA FLORES,LIC.ESTHER ESTRADA CUNO,LIC. KATHERINE TEJADA CASTILLO,  LIC.LEONEL JEFFERSON MASCO JOVE</t>
  </si>
  <si>
    <t>N° 2024-0221067 y N° 2025-0098089 Y 2025-0169405</t>
  </si>
  <si>
    <t>POR REGULARTIZAR</t>
  </si>
  <si>
    <t>PER-BSIA220901-081</t>
  </si>
  <si>
    <t>R.D. N° 088-2023 DIGDOT/MINSA</t>
  </si>
  <si>
    <t>PER-BSII110101-081</t>
  </si>
  <si>
    <t>R.D.N° 126-2025DIGDOT/MINSA</t>
  </si>
  <si>
    <t>CENTRO MEDICO DE LA MUJER CORAZON DE JESUS - SERVICIOS MEDICOS Y DE EDUCACION PARA LA SALUD E.I.R.L.</t>
  </si>
  <si>
    <t xml:space="preserve">DIRESA ICA </t>
  </si>
  <si>
    <t xml:space="preserve">HOSPITAL REGIONAL DE ICA </t>
  </si>
  <si>
    <t>JIRON LEONCIO PRADO N°1572</t>
  </si>
  <si>
    <t xml:space="preserve">ICA </t>
  </si>
  <si>
    <t>RAUL ESTUARDO ARROYO TIRADO</t>
  </si>
  <si>
    <t>AV. PROLOGACION AYABACA- COMATRANA S/N</t>
  </si>
  <si>
    <t>rarroyo_t2@hotmail.com</t>
  </si>
  <si>
    <t>Carlos Navea Méndez</t>
  </si>
  <si>
    <t>PATOLOGO CLINICO: ELISA GUZMAN SOTO</t>
  </si>
  <si>
    <t>978 821 292</t>
  </si>
  <si>
    <t>MC. ALICIA ARIZOLA AGUADO</t>
  </si>
  <si>
    <t>PATOLOGO: ELISA GUZMAN SOTO, TM: CASTRO RAMIREZ MARIBEL, BLGA.MARIA CORNEJO ARCE</t>
  </si>
  <si>
    <t>950 999 223</t>
  </si>
  <si>
    <t xml:space="preserve">TM.Flor Vera,Reni Jiménez ,Nebai Mavila ,Flor Meza ,Junior Guevara ,Raúl Romero,Luz Jiménez ,María Quispe ,Katherine García ,Josimar Peña.,atiana Erazo,Jesús Huallancaca
</t>
  </si>
  <si>
    <t>N° 2023-0034501, 2023-0040080 y 2023-0054225</t>
  </si>
  <si>
    <t>Expediente N° 2025-0221502, 2025-0239743, 2025-0278822</t>
  </si>
  <si>
    <t>PER-BSII070102-082</t>
  </si>
  <si>
    <t xml:space="preserve"> PER-BSIA80601-082</t>
  </si>
  <si>
    <t>R.D. N° 6-2026-DIGDOT-MINSA</t>
  </si>
  <si>
    <t>R.D. N° 090-2023 DIGDOT/MINSA - R.D. N° 190-2023 DIGDOT/MINSA</t>
  </si>
  <si>
    <t>20/01&amp;2026</t>
  </si>
  <si>
    <t>HOSPITAL DE SICUANI</t>
  </si>
  <si>
    <t>AV. MANUEL CALLO ZEVALLOS N°519</t>
  </si>
  <si>
    <t>EFRAIN ALCAZAR GOMEZ</t>
  </si>
  <si>
    <t>mesadeparteshacrs@hospitalsicuaniacr.gob.pe</t>
  </si>
  <si>
    <t>MEDICO ESPECIALISTA MEDICINA INTERNA: DR. ADRIAN MURIEL MOSCOSO</t>
  </si>
  <si>
    <t>984205444 /  928717145</t>
  </si>
  <si>
    <t>BLGO. OSCAR FLORES HUANCA, BLGO. MARINA PUENTE DE LA VEGA, BLGO. DEYBI QUISPE CCAMA, BLGO. EMMA PIZARRO DEL CARPIO, BLGO. ARNOLD RAUL GUTIERREZ.</t>
  </si>
  <si>
    <t>PER-BSII150501-083</t>
  </si>
  <si>
    <t>R.D. N° 16-2026-DIGDOT-MINSA</t>
  </si>
  <si>
    <t>N°2023-0010054,2023-0018349,2023-0022194,2023-24076,2023-0054711,2023-0057052,2023-0060345</t>
  </si>
  <si>
    <t>DIRESA LIMA PROVINCIAS</t>
  </si>
  <si>
    <t>HOSPITAL REGIONAL DE CAÑETE - REZOLA</t>
  </si>
  <si>
    <t>PER-BSIA130105-083</t>
  </si>
  <si>
    <t>Fundo Don Luis Mz. B LT. 1</t>
  </si>
  <si>
    <t>R.D. N° 091-2023 DIGDOT/MINSA</t>
  </si>
  <si>
    <t>Leonardo Pedro Budd Yacila</t>
  </si>
  <si>
    <t>Direccionejec@hospitalrezola.gob.pe</t>
  </si>
  <si>
    <t>Médico Patólogo Clínico Anselmo Franco Miranda</t>
  </si>
  <si>
    <t xml:space="preserve">T.M. Rubén Clever Iturrizaga Blas, T.M. Zayumi Yashmín Yataco Tamariz, T.M. Raquel Lucia Sánchez Palomino,  T.M. Lady Laura Zambrano  Crespín, T.M. Llata Rosado Abel, T.M. Frida Arroyo Torres, T.M. Julia Beatriz Aguilar Huamaní,  T.M. Tania Yeraldine Córdova Peña, Tec. Lab. Eulalia Quispe Pedraza,  Técn. Laboratorio Vicente Ayllón Carmen Rosa, Técn. Laboratorio Yesenia Carolina Prada Aquije, </t>
  </si>
  <si>
    <t>GERENCIA REGIONAL DE SALUD LA LIBERTAD -  HOSPITAL DISTRITAL JERUSALÉN</t>
  </si>
  <si>
    <t>AV. LOS CEDROS CUADRA 4 S/N</t>
  </si>
  <si>
    <t>Expediente N° 2026-0044106</t>
  </si>
  <si>
    <t>DRA. FLOR M. CABALLERO LAVADO</t>
  </si>
  <si>
    <t>hospitaljerusalen@ristrujillo.gob.pe - h.d.jerusalen.2011@gmail.com</t>
  </si>
  <si>
    <t>DRA. CATHERINE DEL PILAR SAENZ PAREDES</t>
  </si>
  <si>
    <t>PER-BSII200601-084</t>
  </si>
  <si>
    <t>TM. JORGE GARCIA VEGA, TM. CITA GARCIA MANTILLA, TM. ZARELA JARA GOMEZ, TM. LUZ AMELIA CACEDA MEJIA, TM. CARMEN AGUIRRE LINARES</t>
  </si>
  <si>
    <t>R.D. N° 051-2026-DIGDOT-MINSA</t>
  </si>
  <si>
    <t>N° 2023-0035515 y N° 2023-0048695</t>
  </si>
  <si>
    <t>HOSPITAL DE ESPECIALIDADES SULLANA CON RAZON SOCIAL HOSPITAL DE APOYO II-2 SULLANA</t>
  </si>
  <si>
    <t>PER-BSIA150130-084</t>
  </si>
  <si>
    <t>Avenida Los Medanos Manzana U Lote 1 Urbanizacion Popular Villa Peru - Canada</t>
  </si>
  <si>
    <t xml:space="preserve">MINSA </t>
  </si>
  <si>
    <t>R.D. N° 092-2023 DIGDOT/MINSA</t>
  </si>
  <si>
    <t>Gabriel Raymundo Cabredo Castro</t>
  </si>
  <si>
    <t>Medico hematóloga Heidy Elizabeth Mio Cortez</t>
  </si>
  <si>
    <t>CLINICA SAN BORJA SALUD - SERVICIOS MEDICOS INTEGRALES SISMEDIX E.I.R.L</t>
  </si>
  <si>
    <t xml:space="preserve">T.M Carlos Alfredo Castro Castillo , T.M Yenny del Rosario Nunjar Mendoza , T.M Brenda Marina Chiroque Herrera , T.M Dora Maribel Garces Wong , T.M Geraldine Garces Gonzales ,T.M Ketty Karina Panta Morales , T.M Nelida del Pilar Pacherres Pacherres ,T.M Maritza Elizabeth Chiroque Santana ,T.M Mariela Zapata Serna, T.M Elvia Reyes Gutiérrez  
</t>
  </si>
  <si>
    <t xml:space="preserve">SAN BORJA </t>
  </si>
  <si>
    <t>AV.SAN BORJA SUR NUMERO 285-URBANIZACION SAN BORJA</t>
  </si>
  <si>
    <t>2026-0161574, 2026-0149919, 2026-0142195, 2026 0127055</t>
  </si>
  <si>
    <t>DORIS AURIS RODRIGUEZ</t>
  </si>
  <si>
    <t>dorisaurisr@sanborjasalud.pe</t>
  </si>
  <si>
    <t>ZAIDA VIRGINIA MELGAR HERMOZA</t>
  </si>
  <si>
    <t>951530757  zmelgarhermoza@gmail.com</t>
  </si>
  <si>
    <t>TM. LORENA CANALES VILCHEZ, TM.HERNAN BERNARDO ESPINOZA GALLO, TM. ALEJANDRO SANTIAGO MENESES LAZON</t>
  </si>
  <si>
    <t>PER-BSII021801-085</t>
  </si>
  <si>
    <t>R.D. N° XX-2026-DIGDOT-MINSA</t>
  </si>
  <si>
    <t>N° 2023-0035332    2023-0047813 Y y 2023-0061559</t>
  </si>
  <si>
    <t xml:space="preserve">DIRESA ANCASH </t>
  </si>
  <si>
    <t>"Hospital III Chimbote” con razón Social “Seguro Social de Salud”</t>
  </si>
  <si>
    <t>PER-BSIA40126-085</t>
  </si>
  <si>
    <t>R.D. N° 095-2023 DIGDOT/MINSA</t>
  </si>
  <si>
    <t>Av. Circunvalación N°119-Laderas del Norte</t>
  </si>
  <si>
    <t>MONICA MIRELLA CACERES BACA</t>
  </si>
  <si>
    <t>Diogenes Vasquez Blas</t>
  </si>
  <si>
    <t xml:space="preserve">T.M. Gerardo Angulo Serrano , T.M. Karin Sabino Lopez T.M. Wilfredo Santos Zabaleta Aguilar , T.M. Sara Tapay Evangelista , T.M. Norma Catutiny Sifuentes , T.M. Kathia Lopez Polo, T.M. lIZ Acosta Saavedra, T.M. Maryori Ucañan Polo , T.M. Lucy Vasquez Cardenas y,T.M. Leandro Calderon Chang  y T.M. Jenny Ibañez Guevara </t>
  </si>
  <si>
    <t>SISTEMAS DE ADMINISTRACION HOSPITALARIA S.A.C (SANNA-CLINICA DEL SUR)</t>
  </si>
  <si>
    <t>N° 2026-0086974, N° 2026-0141059, N° 2026-0184872 y N° 2026-0204827</t>
  </si>
  <si>
    <t>AV.BOLOGNESI Nº134</t>
  </si>
  <si>
    <t>CARLO FRANCESCO GIRONZINI ORTEGA</t>
  </si>
  <si>
    <t>carlo.gironzini@sanna.pe</t>
  </si>
  <si>
    <t>DRA. MARIA ALEJANDRA ALFARO MESTAS</t>
  </si>
  <si>
    <t>- Tecnólogo Médico: Candy Roncalla Cabana - Tecnólogo Médico: Pierina Delgado Coila. - Tecnólogo Médico: Leidy Cano Quispe. - Bióloga: Marisol Rodríguez Peña. - Bióloga: Joysen Torres Huaranca - Bióloga: Fabiola Miauri Chora. - Bióloga: Cynthia Romero Sánchez.</t>
  </si>
  <si>
    <t>2023-0022978, 2023-0030938 y  2023-0042351</t>
  </si>
  <si>
    <t>PER-BSIA130101-086</t>
  </si>
  <si>
    <t>R.D. N° 096-2023 DIGDOT/MINSA</t>
  </si>
  <si>
    <t>HOSPITAL I ALBRECHT-SEGURO SOCIAL DE SALUD</t>
  </si>
  <si>
    <t>Av. Jesús de Nazareth S/N Residencial Albrecht</t>
  </si>
  <si>
    <t xml:space="preserve">ANGEL PEDRO RUIZ MENDEZ </t>
  </si>
  <si>
    <t>angel.ruiz@essalud.gob.pe</t>
  </si>
  <si>
    <t>M.C. Karen Yanet Castillo Minaya</t>
  </si>
  <si>
    <t>TM. Doris Malásquez Nolasco, TM.Anilú Delgado Seclén, TM. Amada Gonzales Alvarado, TM. Rosa Reyes Fernandez, TM. Silvia Campos Tocas, ACTUALIZACIÓN DE RCURSO HUMANO 07/04/2025 MEDIANTE OFICIO N° 0000001-SAADT-HIALBRECHT-RALL-ESSALUD 2025: T.M. ROSA REYES FERNANDEZ, T.M. DORIS MALASQUEZ NOLASCO, T.M. JESUS DELGADO SECLEN, T.M. AMADA GONZALES ALVARADO, T.M. SILVIA CAMPOS TOCAS</t>
  </si>
  <si>
    <t>N° 2023-0023908, N° 2023-0028928 y N° 2023-0053460</t>
  </si>
  <si>
    <t>PER-BSIA150130-087</t>
  </si>
  <si>
    <t>R.D. N° 098-2023 DIGDOT/MINSA</t>
  </si>
  <si>
    <t>ESPECIALIDADES MEDICAS UNIVERSAL S.A-CL ESPECIALIDADES MEDICAS</t>
  </si>
  <si>
    <t>JR.EDUARDO ORDOÑES Nº468</t>
  </si>
  <si>
    <t>EDGAR ALFREDO VASQUEZ RODRIGUEZ</t>
  </si>
  <si>
    <t>comunicaciones@especialidadesmedicas.org</t>
  </si>
  <si>
    <t>DRA. VANESSA VALDEZ</t>
  </si>
  <si>
    <t xml:space="preserve">-TM.Patricia Malvaceda Espinoza, TM.Jancarlo Condori FuentesTM.Cristóbal Semillan López, TM.José Velarde Albites
</t>
  </si>
  <si>
    <t>Nº 2023-0032210 y Nº 2023-0041940</t>
  </si>
  <si>
    <t>PER-BSIA220401-088</t>
  </si>
  <si>
    <t>R.D. N° 102-2023 DIGDOT/MINSA</t>
  </si>
  <si>
    <t>RURAL SAPOSOA - OFICINA DE GESTIÓN DE SERVICIOS DE SALUD HUALLAGA CENTRAL</t>
  </si>
  <si>
    <t>SAPOSOA</t>
  </si>
  <si>
    <t>JR ELISA PEÑA HERERA N°535</t>
  </si>
  <si>
    <t xml:space="preserve">Mario Elías Ríos Bartra    </t>
  </si>
  <si>
    <t>rioma456@gmail.com</t>
  </si>
  <si>
    <t>MC.MARIO ELIAS RIOS BARTRA</t>
  </si>
  <si>
    <t>T.M. Loida Eunice Díaz Ignacio, T.M. Yndira Pamela Montalván Elera, T.M. Virgilio Cardenas Valles</t>
  </si>
  <si>
    <t>N°2023-0037764 y N°0046326</t>
  </si>
  <si>
    <t>PER-BSIA150135-089</t>
  </si>
  <si>
    <t>R.D. N° 100-2023 DIGDOT/MINSA</t>
  </si>
  <si>
    <t>CLINICA MÉDICA CAYETANO HEREDIA S.A.</t>
  </si>
  <si>
    <t>SAN MARTIN DE PORRES</t>
  </si>
  <si>
    <t>AV.HONORIO DELGADO Nº370 URB. INGIENERIA</t>
  </si>
  <si>
    <t>KEVEEEN STEVE SALIRROSAS FLORES</t>
  </si>
  <si>
    <t>ksalirrosas@cmch.com.pe</t>
  </si>
  <si>
    <t>DRA. GUERRA LOZANO RUTH MARIELA</t>
  </si>
  <si>
    <t>Alejos Flores Saul, TM.Andrade Tovar Andrés, TM.De la Cruz Bernable, TM.Cárdenas Perea Alexis, TM.Leyva Coronel Liliana, TM.Saenz Lermo Okiro</t>
  </si>
  <si>
    <t>Nº2023-0044111</t>
  </si>
  <si>
    <t>PER-BSIA160101-090</t>
  </si>
  <si>
    <t>R.D. N° 099-2023 DIGDOT/MINSA</t>
  </si>
  <si>
    <t>CLINICA ADVENTISTA ANA STAHL</t>
  </si>
  <si>
    <t>IQUITOS</t>
  </si>
  <si>
    <t>AV. LA MARINA N°285</t>
  </si>
  <si>
    <t>M.C. JUAN CARLOS CASTRO SÁNCHEZ</t>
  </si>
  <si>
    <t>direccion.general@clinicaanastahl.org.pe</t>
  </si>
  <si>
    <t>HEMATÓLOGO ROGER ROMERO OCHOA</t>
  </si>
  <si>
    <t>946313882 (BIOL. LENNER )</t>
  </si>
  <si>
    <t>BIOL. EDGAR VALDERRAMA ROJAS, BIOL. LENNER ARÉVALO ZAGACETA, T.M. FRANK CÓRDOVA VÁSQUEZ, BIOL. BRYAN ARÉVALO RODRIGUEZ</t>
  </si>
  <si>
    <t>N°2023-0061189, N°2023-0071260</t>
  </si>
  <si>
    <t>PER-BSIA120101-091</t>
  </si>
  <si>
    <t>R.D. N° 104-2023 DIGDOT/MINSA</t>
  </si>
  <si>
    <t>DIRESA JUNÍN</t>
  </si>
  <si>
    <t>GRUPO SAN PABLO TWINS SOCIEDAD COMERCIAL DE RESPONSABILIDAD LIMITADA – CLÍNICA BILBAO</t>
  </si>
  <si>
    <t>AV. DANIEL ALCIDES CARRIÓN N°1025</t>
  </si>
  <si>
    <t>M.C. DELCY EDITH FIERRO FLORES</t>
  </si>
  <si>
    <t>gerenciaadministrativa@clinicabilbao.com.pe</t>
  </si>
  <si>
    <t>PATÓLOGA CLÍNICA LILY FIERRO FLORES</t>
  </si>
  <si>
    <t>964993747(ADMIN. DANIEL GOMEZ TORRES)</t>
  </si>
  <si>
    <t>T.M. EVELYN ROMERO TROCIOS, T.M. CARMEN MALLQUI HUAROC, T.M. TANIA INGARUCA ROJAS</t>
  </si>
  <si>
    <t>N°2023-0038737, N°2023-0059920</t>
  </si>
  <si>
    <t>PER-BSIA150122-092</t>
  </si>
  <si>
    <t>R.D. N° 103-2023 DIGDOT/MINSA</t>
  </si>
  <si>
    <t>CENTRO MEDICO AVENDAÑO S.A.C</t>
  </si>
  <si>
    <t>CALLE LEONIDAS AVENDAÑO Nº116</t>
  </si>
  <si>
    <t>OSCAR GUSTAVO SALINAS SEDO</t>
  </si>
  <si>
    <t>acastro@clinicaavendanoperu.com - 922442419</t>
  </si>
  <si>
    <t xml:space="preserve">Dr. Juan Carlos Peñaranda Salazar </t>
  </si>
  <si>
    <t xml:space="preserve"> TM. Castañeda Santander Flor., TM. Inga 
</t>
  </si>
  <si>
    <t>Nº2023-0042871, Nº2023-0058896</t>
  </si>
  <si>
    <t>CLÍNICA CENTENARIO PERUANO JAPONESA (Carta N° 160-2024/DM-CCPJ</t>
  </si>
  <si>
    <t>COMUNICA CAMBIO DE LOCACION DE 1ER A 2DO PISO 21/04/25; A TRAVES DE OFICIO S/N DE FECHA 10/04/2025 COMUNICA CAMBIO DE INSFRAESTRUCTURA Y UBICACIÓN, LLEGA EXPED 09/05/2025</t>
  </si>
  <si>
    <t>PER-BSIA140101-093</t>
  </si>
  <si>
    <t>R.D. N° 101-2023 DIGDOT/MINSA</t>
  </si>
  <si>
    <t>CLINICA UNION SAC</t>
  </si>
  <si>
    <t>CALLE TORRS PAZ N°204 Y 230</t>
  </si>
  <si>
    <t>ROCIO ELVIRA RODAS  MONTENEGRO</t>
  </si>
  <si>
    <t>clinica.union@hotmail.com</t>
  </si>
  <si>
    <t>M.C. Tony Herman Farías Rodríguez:   Médico Patólogo Clínico</t>
  </si>
  <si>
    <t>979353197 Dr. Farias /961944376</t>
  </si>
  <si>
    <t>Biólogas: Carla Alejandra Rabines Arriaga, Fabiola Vanessa García Bollona</t>
  </si>
  <si>
    <t>N°2023-0040437</t>
  </si>
  <si>
    <t>PER-BSIA130101-094</t>
  </si>
  <si>
    <t>R.D. N° 107 -2023 DIGDOT/MINSA</t>
  </si>
  <si>
    <t>CLINICA SAN ANTONIO S.A.C.</t>
  </si>
  <si>
    <t>AV. LARCO N° 630 URB. SAN ANDRES</t>
  </si>
  <si>
    <t>ELIZABETH SANCHEZ ROCAL DE BUENO GG -               CARLOS BUENO SANCHEZ DM</t>
  </si>
  <si>
    <t>clinicasanantonio2000@hotmail.com</t>
  </si>
  <si>
    <t>Dr. Virgilio Alberto Salinas Rodríguez</t>
  </si>
  <si>
    <t>977172488 (TM. Maria)</t>
  </si>
  <si>
    <t>Hematologo Dr. Virgilio Alberto Salinas Rodríguez, -  TM: María Isabel Salirrosas Rodríguez, Bióloga: María Pérez Muguerza, Bióloga: Roxana del Pilar Acosta Aliaga</t>
  </si>
  <si>
    <t>N° 2023-0040355, N° 2023-0062198 y N° 0065052</t>
  </si>
  <si>
    <t>PER-BSIA060201-095</t>
  </si>
  <si>
    <t>R.D. N° 105-2023 DIGDOT/MINSA</t>
  </si>
  <si>
    <t>´004511</t>
  </si>
  <si>
    <t>DIRECCIÓN REGIONAL DE SALUD - CAJAMARCA - DE APOYO CAJABAMBA</t>
  </si>
  <si>
    <t>CAJABAMBA</t>
  </si>
  <si>
    <t>CASERIO PARUBAMBA S/N</t>
  </si>
  <si>
    <t>M.C. NEIL CABELLOS CALDERÓN</t>
  </si>
  <si>
    <t>manu10_96@hotmail.com</t>
  </si>
  <si>
    <t>M.C. MELVIN OCAS AJIFF</t>
  </si>
  <si>
    <t>976389748 (DR. MELVIN)</t>
  </si>
  <si>
    <t>BIOL. ROLANDO GIL CRUZADO, BIOL. CARLOS REYNA VIGO, BIOL. JOSÉ GAMARRA ALVARADO, BIOL. SALLY ESPINOZA PERALTA, BIOL. TATIANA MAS CUEVA, BIOL. YURI HORNA VILLALOBOS</t>
  </si>
  <si>
    <t>N°2023-0045386, N°2023-0059410, N°2023-0073291</t>
  </si>
  <si>
    <t>PER-BSIA070106-096</t>
  </si>
  <si>
    <t>R.D. N° 106-2023 DIGDOT/MINSA</t>
  </si>
  <si>
    <t>´009917</t>
  </si>
  <si>
    <t>EMP. DE SERV. DE SALUD POLICL. CARRION S.A.-CLINICA CARRION</t>
  </si>
  <si>
    <t>AV. PEDRO VELTRAN 175</t>
  </si>
  <si>
    <t>LUIS ESTUARDO ORDOÑEZ FERRO</t>
  </si>
  <si>
    <t>leof_07@yahoo.es</t>
  </si>
  <si>
    <t>JESUS DEMOSTENES GOZALES MOSCOSO</t>
  </si>
  <si>
    <t>T.M. MANUEL MARTIN DIAZ QUEPUY-T.M. KACY CANO NAUCAPOMA</t>
  </si>
  <si>
    <t>N° 2023-0041379, N° 2023-0054617, N° 2023-0068427</t>
  </si>
  <si>
    <t>PER-BSIA150111-097</t>
  </si>
  <si>
    <t>R.D. N° 108-2023 DIGDOT/MINSA</t>
  </si>
  <si>
    <t xml:space="preserve">CASTE &amp; SOF SALUD SAC </t>
  </si>
  <si>
    <t>AV. CESAR VALLEJO N°1545 COOP. TAYACAJA</t>
  </si>
  <si>
    <t>EDELFINA CONDEZO TRUJILLO</t>
  </si>
  <si>
    <t>castesof@gmail.com 
ONCOVIDAA@GMAIL.COM</t>
  </si>
  <si>
    <t>MC. PATOLOGO BETSI PEÑA BELTRAN</t>
  </si>
  <si>
    <t>908838529 (ADM)</t>
  </si>
  <si>
    <t>TM. SANTOS SALAZAR YESSICA, TM. SIMON ARHUATA CASAVILCA, TM. BARRETO CLEMENTE GLORIA, LIC. TORRES CARRILLO MAGDA</t>
  </si>
  <si>
    <t>N° 2023-0058385, 2023-0064294, 2023-0073379</t>
  </si>
  <si>
    <t>HOSPITAL LIMA ESTE</t>
  </si>
  <si>
    <t>PER-BSIA100101-098</t>
  </si>
  <si>
    <t>R.D. N° 114-2023 DIGDOT/MINSA</t>
  </si>
  <si>
    <t>CLINICA BOLIVAR SAC</t>
  </si>
  <si>
    <t>JR. EL PROGRESO 351</t>
  </si>
  <si>
    <t>KATHLYN MARGRET ALVARADO SABRERA</t>
  </si>
  <si>
    <t>clinicabolivar.hco@gmail.com</t>
  </si>
  <si>
    <t>DRA. OLGA TUCTO LOPEZ (jefe) - DR. VICTOR HUGO SEGURA LOPEZ</t>
  </si>
  <si>
    <t>985534642 (Olga) - 954182779 (Victor)</t>
  </si>
  <si>
    <t>M.C. Olga Tucto López, M.C. Víctor Hugo Segura López, TM. Víctor Edgardo Quesquen Carrillo, TM. Alex Jordan Davila Cotera, TM Mesache Elda Bedon Paulino, TM. Luis Wilfredo Meza Pagano y TM. Jahayra Nohely Toledo Cheppe.</t>
  </si>
  <si>
    <t>N° 2023-0052742, N° 2023-0069615</t>
  </si>
  <si>
    <t>PER-BSIA150140-099</t>
  </si>
  <si>
    <t>R.D. N° 109-2023 DIGDOT/MINSA</t>
  </si>
  <si>
    <t>CLINICA BINOMIUM - CLÍNICA BINOMIUM EMPRESA INDIVIDUAL DE RESPONSABILIDAD LIMITADA - CLÍNICA BINOMIUN E.I.R.L</t>
  </si>
  <si>
    <t>AVENIDA ALFREDO BENAVIDES N°3833-3837 URB. CHAMA</t>
  </si>
  <si>
    <t>FERNANDO BENJAMIN NEIRA CARPIO</t>
  </si>
  <si>
    <t>clinicarinofacialbybinomium@clinicabinomium.com</t>
  </si>
  <si>
    <t>PATOLOGO CLINICO RAFAEL IGNACIO JOAQUIN RODRIGUEZ BAYONA</t>
  </si>
  <si>
    <t>TM JOHANNA ARACELLI ZUÑIGA MORENO, TM ROBERTO JOSE GONZALES HERRERA</t>
  </si>
  <si>
    <t>N°2023-2023-0067713, N°2023-0076884</t>
  </si>
  <si>
    <t>PER-BSIA110201-135</t>
  </si>
  <si>
    <t>R.D. N° 175-2023 DIGDOT/MINSA</t>
  </si>
  <si>
    <t xml:space="preserve">RS: CLINICA GAXAY E.I.R.L, NC: CLINICA GAXAY </t>
  </si>
  <si>
    <t>AV. AMERICA MZ. B LOTE 3 N°110</t>
  </si>
  <si>
    <t>GROVER NUMA FUENTES YALLE</t>
  </si>
  <si>
    <t>clinicagaxay@yahoo.com</t>
  </si>
  <si>
    <t>PATOLOGA Jaqueline Caridad Tello Almeyda</t>
  </si>
  <si>
    <t xml:space="preserve">TM. Julio Alejandro Canto Yauricasa, TM.Carlos Alberto Reyes García
</t>
  </si>
  <si>
    <t>N° 2023-0143636 y N° 2023-0168719</t>
  </si>
  <si>
    <t>PER-BSIA80108-101</t>
  </si>
  <si>
    <t>R.D. N° 112-2023 DIGDOT/MINSA</t>
  </si>
  <si>
    <t>Médicos Asociados Cusco Sociedad Anonima - MACSALUD</t>
  </si>
  <si>
    <t>AV. DE LA CULTURA N° 1410</t>
  </si>
  <si>
    <t>PEDRO FRANCIA QUESADA</t>
  </si>
  <si>
    <t>pfrancia@macsalud.com</t>
  </si>
  <si>
    <t>PATOLOGO CLINICO: DR. ROCIO LANDA SIERRA</t>
  </si>
  <si>
    <t>984 983 288</t>
  </si>
  <si>
    <t>DRA. ROCIO LANDA SIERRA / TM. KARINA YARIN MORA / TM. ZANDARA ROMERO CUYSO / TM. ELIAN NUÑEZ CHAMPI / TM. OSCAR CRUZ VILLACORTA</t>
  </si>
  <si>
    <t>N° 2023-0059278, 2023-0062420, 2023-0081567</t>
  </si>
  <si>
    <t>PER-BSIA150131-102</t>
  </si>
  <si>
    <t>R.D. N° 113-2023 DIGDOT/MINSA</t>
  </si>
  <si>
    <t>Centros Médicos Especializados S.A.C – Clínica Arroyo</t>
  </si>
  <si>
    <t>Av. Pablo Carriquiry Nº 798</t>
  </si>
  <si>
    <t>Jose Santos Villegas</t>
  </si>
  <si>
    <t>administracioninterna@clinicasarroyo.com</t>
  </si>
  <si>
    <t>PC Carlos Mendoza Euribe</t>
  </si>
  <si>
    <t>Dr. Carlos Mendoza Euribe/TM Mauro Durand Ocaña/Tec Seleny Crisostomo Perez</t>
  </si>
  <si>
    <t>N° 2023-006273, N° 2023-00707333, N° 2023-00833463</t>
  </si>
  <si>
    <t>PER-BSIA080801-103</t>
  </si>
  <si>
    <t>R.D. N° 116-2023 DIGDOT/MINSA    R.D. N° 195-2023 DIGDOT/MINSA</t>
  </si>
  <si>
    <t>22/05/2023     31/10/2023</t>
  </si>
  <si>
    <t>02/06/2023
06/11/2023</t>
  </si>
  <si>
    <t xml:space="preserve">GERESA CUSCO </t>
  </si>
  <si>
    <t>HOSPITAL DE ESPINAR</t>
  </si>
  <si>
    <t>ESPINAR</t>
  </si>
  <si>
    <t>Calle Domingo Huarca Cruz S/N Barrio Túpac Amaru</t>
  </si>
  <si>
    <t>M.C Carlos Aspilcueta Arenas</t>
  </si>
  <si>
    <t>hospitalespinar@hotmail.com</t>
  </si>
  <si>
    <t>M.C EDWIN SOTO CCAYAHUALLPA</t>
  </si>
  <si>
    <t>982535169 (director) - 904798823 MC.NAZARIO)</t>
  </si>
  <si>
    <t>BIOLOGOS: HERBERT MACHADO VELASQUEZ  , JORGE LUIS QUISPE LUPACA, KRYSTHEL MIRANDA QUICAÑA</t>
  </si>
  <si>
    <t>2023-0042362, 2023-0060754, 2023-006436 y 2023-0086529</t>
  </si>
  <si>
    <t>PER-BSIA21801-104</t>
  </si>
  <si>
    <t>R.D. N° 117-2023 DIGDOT/MINSA</t>
  </si>
  <si>
    <t>CLINICA SAN PEDRO (CLINICA SAN PEDRO S.A.C)</t>
  </si>
  <si>
    <t>Jr. Manuel Villavicencio Nº 481-Chimbote</t>
  </si>
  <si>
    <t>Jonathan Manuel, Quevedo Avila</t>
  </si>
  <si>
    <t>hayde20mma@hotmail.com</t>
  </si>
  <si>
    <t>Yupanqui Sandoval Jorge</t>
  </si>
  <si>
    <t xml:space="preserve">Roberto Liñan Guerrero, TM.Jorge Pereda Ruiz, TM.Edwin Cerna Menacho, TM. Yamile Caruajulca Chávez, TM.Haydee Mendoza Ávila
</t>
  </si>
  <si>
    <t>Nº2023-0036601</t>
  </si>
  <si>
    <t>PER-BSIA150110-105</t>
  </si>
  <si>
    <t>R.D. N° 115-2023 DIGDOT/MINSA</t>
  </si>
  <si>
    <t>Clínica Medica Zegarra S.A.C.- Clínica Versalles</t>
  </si>
  <si>
    <t>Av. Tupac Amaru Nº 1801 – Urb. Huaquillay</t>
  </si>
  <si>
    <t>Richard Zegarra Loayza</t>
  </si>
  <si>
    <t>atencionalcliente@clinicaversalles.com.pe</t>
  </si>
  <si>
    <t xml:space="preserve">Dr. Marco Guerrero Vásquez </t>
  </si>
  <si>
    <t>-	Tecnólogos Médicos: Gloria Huerta, Carlos Torres, Holger Zeballos, Kacy Cano</t>
  </si>
  <si>
    <t>N° 2023-0058307, 2023-0070512, 2023-0086213</t>
  </si>
  <si>
    <t xml:space="preserve">CLINICA  SAN PABLO SURCO  </t>
  </si>
  <si>
    <t>convenio 2026: CLINICA SAN PABLO SAC</t>
  </si>
  <si>
    <t>PER-BSIA150143-106</t>
  </si>
  <si>
    <t>R.D. N° 120-2023 DIGDOT/MINSA</t>
  </si>
  <si>
    <t>RS: unidad ejecutora del pliego 011 Mininsterio de salud-Direccion de redes intergradas de salud Lima Sur y NC Centro Materno Infantil Jose Carlos Mariategui</t>
  </si>
  <si>
    <t>VILLA MARIA DEL TRIUNFO</t>
  </si>
  <si>
    <t>Avenida Simón Bolívar esquina con Jirón Mariano Necochea S/N</t>
  </si>
  <si>
    <t>Freya Rocío QUINTANA HUERTA</t>
  </si>
  <si>
    <t>rubymurgueytio@hotmail.com</t>
  </si>
  <si>
    <t>MEDICO PATOLOGO CLINICO TATIANA ELIZABETH SARAVIA ROMANI</t>
  </si>
  <si>
    <t>TM MARILU CECILIA GIL SAAVEDRA, TM MURGUEYTIO DONAYRE RUBY DANIXA, TM MARIA FRANCISCA CHUCHON YUCRA</t>
  </si>
  <si>
    <t>N°2023-0069256, N°2023-0082924 y N°2023-0100528</t>
  </si>
  <si>
    <t>PER-BSIA150122-107</t>
  </si>
  <si>
    <t>R.D. N° 121-2023 DIGDOT/MINSA</t>
  </si>
  <si>
    <t>NC: CLINICA HIGUERETA Y RAZÓN SOCIAL: GRUPO MÉDICO HIGUERETA SAC</t>
  </si>
  <si>
    <t>AV. ALFREDO BENAVIDES N° 2949</t>
  </si>
  <si>
    <t>ALDO PEIRANO CASTILLO</t>
  </si>
  <si>
    <t>esther.rosas@clinicahiguereta.pe</t>
  </si>
  <si>
    <t>PATÓLOGO CLÍNICO JORGE YUPANQUI SANDOVAL</t>
  </si>
  <si>
    <t>986 677 489 (DRA. ESTHER ROSAS)</t>
  </si>
  <si>
    <t>T.M. FLOR CASTAÑEDA SANTAMARIA,  T.M. ROXANA VELI BARTOLO, T.M. EDSON YUPANQUI QUEZADA, BRAULIO CORDOVA GÓMEZ</t>
  </si>
  <si>
    <t>N°2023-0053378, N°2023-0069486,N°2023-0093906</t>
  </si>
  <si>
    <t>PER-BSIA080901-108</t>
  </si>
  <si>
    <t>R.D. N° 123-2023 DIGDOT/MINSA</t>
  </si>
  <si>
    <t>QUILLABAMBA-ESSALUD</t>
  </si>
  <si>
    <t>SANTA ANA</t>
  </si>
  <si>
    <t>LA CONVENCION</t>
  </si>
  <si>
    <t>Av. Kumpirushiato S/N, esquina con 25 de julio</t>
  </si>
  <si>
    <t>LOLO EDWING SANTILLAN CERVANTES</t>
  </si>
  <si>
    <t>lolo.santillan@essalud.gob.pe</t>
  </si>
  <si>
    <t>PATOLOGO CLÍNICO ANN LIZETH SOTAYA GOEZ</t>
  </si>
  <si>
    <t>T.M. JUAN CARLOS LUNA YABARRENA, T.M. JAVIER ANTONIO CASTILLO QUINTEROS Y TM WILMAR MICHAEL ZURITA VERA</t>
  </si>
  <si>
    <t>N° 2023-0065762, N° 2023-0083678, N° 2023-0085498 y N° 2023-0111514</t>
  </si>
  <si>
    <t>PER-BSIA200101-109</t>
  </si>
  <si>
    <t>R.D. N° 122-2023 DIGDOT/MINSA</t>
  </si>
  <si>
    <t>CLINICA MEDICA SANTA EMILIA</t>
  </si>
  <si>
    <t>Calle San Miguel N°225, Mz D lote 18, Urbanización Santa Isabel</t>
  </si>
  <si>
    <t>M.C. LUIS ALBERTO OCHOA GUTIERREZ</t>
  </si>
  <si>
    <t>administracion@clinicasantaemilia.com</t>
  </si>
  <si>
    <t>Medico Mayra Castillo Cordova</t>
  </si>
  <si>
    <t>51 985 267 527 (Dr.Hernandez)</t>
  </si>
  <si>
    <t xml:space="preserve">TM: Quinde Rivas Percy David , Chumacero Roman Jhon Víctor </t>
  </si>
  <si>
    <t>N°2023-0045955, 2023-0060887, 2023-0063576, 2023-0087142</t>
  </si>
  <si>
    <t>comunico cambio de jefe</t>
  </si>
  <si>
    <t>PER-BSIA40208-110</t>
  </si>
  <si>
    <t>R.D. N° 127-2023 DIGDOT/MINSA</t>
  </si>
  <si>
    <t>RS: Seguro Social de Salud, NC: Hospital I Samuel Pastor de Camaná  ESSALUD</t>
  </si>
  <si>
    <t>SAMUEL PASTOR</t>
  </si>
  <si>
    <t>CAMANA</t>
  </si>
  <si>
    <t>AV. PLAZA DE ARMAS S/N</t>
  </si>
  <si>
    <t>DR. DAVID OJEDA GUILLEN</t>
  </si>
  <si>
    <t>david.ojeda@essalud.gob.pe</t>
  </si>
  <si>
    <t>DR. DANIEL ALONSO TINTAYA PINTO</t>
  </si>
  <si>
    <t>TM. CARLOS ROJAS CRISPIN, TM GIULIANA HUERTA CUTIRE, TM ARMANDAO AMESQUITA GUTIERREZ, TM RANDOLL CARBAJAL QUISPE</t>
  </si>
  <si>
    <t>N° 2023-0090820 , 2023-0106488</t>
  </si>
  <si>
    <t>HOSPITAL CARLOS ALBERTO SEGUIN ESOCBEDO</t>
  </si>
  <si>
    <t>PER-BSIA150103-111</t>
  </si>
  <si>
    <t>R.D. N° 133-2023 DIGDOT/MINSA</t>
  </si>
  <si>
    <t>Razon Social: GINEMEDICASOCIADOS S.A.C, denominacion: CLINICA SANICEN</t>
  </si>
  <si>
    <t>CALLE LAS PRADERAS N° 134 - URB.SAN ROQUE</t>
  </si>
  <si>
    <t>DR. DAISY MILAGRITOS TORRAKA VENTOSILLA</t>
  </si>
  <si>
    <t>ginemedicasociados@gmail.com</t>
  </si>
  <si>
    <t>MEDICO PATOLOGO CLINICO ROMANO PISSANI GIL (YA NO ES JEFE)</t>
  </si>
  <si>
    <t xml:space="preserve">TM.ANDREA CONDOR PACHECO Y TM.FABIOLA CAROLINA ESPINOZA UTIHUA </t>
  </si>
  <si>
    <t>N°2023-0101203 y 2023-0124018</t>
  </si>
  <si>
    <t>PER-BSIA150108-112</t>
  </si>
  <si>
    <t>R.D. N° 128-2023 DIGDOT/MINSA</t>
  </si>
  <si>
    <t>CLINICA CHORRILLOS - RAZON SOCIAL M Y ST SALUD SAC</t>
  </si>
  <si>
    <t xml:space="preserve">AV. DEFENSORS DEL MORRO N° 1201 </t>
  </si>
  <si>
    <t xml:space="preserve">GERENTE VICTOR GRANDEZ ZUMAETA </t>
  </si>
  <si>
    <t>ADMCLINICACHORRILLOS@GMAIL.COM</t>
  </si>
  <si>
    <t>DR. ANDRE CASTRO ROSADO</t>
  </si>
  <si>
    <t>T.M. Dayana Del Carmen Baca Motaban, T.M. Elimar Melisa Yanez Somoza y TM ELIZABETH GARCIA RODRIGUEZ</t>
  </si>
  <si>
    <t>N°2023-0118037, N°2023-0127200</t>
  </si>
  <si>
    <t>PER-BSIA220901-113</t>
  </si>
  <si>
    <t>R.D. N° 129-2023 DIGDOT/MINSA</t>
  </si>
  <si>
    <t>CENTRO MÉDICO TRINIDAD Y ESPECIALIDADES MÉDICAS</t>
  </si>
  <si>
    <t>PASAJES LAS MESETAS N°112</t>
  </si>
  <si>
    <t>GERENTE JOSÉ ALCÁNTARA RAMIREZ</t>
  </si>
  <si>
    <t>RECEPCIÓN@TRINIDADTARAPOTO.PE</t>
  </si>
  <si>
    <t>HEMATÓLOGO JESÚS URIBE VERGARA</t>
  </si>
  <si>
    <t>T.M. NICOMEDES HARO BARRIOS, T.M. JUAN CARLOS DAVILA BRAVO</t>
  </si>
  <si>
    <t>N°2023-0101688, N°2023-0112866, N°2023-0129334</t>
  </si>
  <si>
    <t>PER-BSIA150116-114</t>
  </si>
  <si>
    <t>R.D. N° 131-2023 DIGDOT/MINSA</t>
  </si>
  <si>
    <t>RAZÓN SOCIAL MEDICAL ASSISTEM S.A.C. Y NOMBRE COMERCIAL ARTHROMEDS (ARTHROSALUD)</t>
  </si>
  <si>
    <t>AVENIDA PASEO DE LA REPÚBLICA N° 2772</t>
  </si>
  <si>
    <t>GERENTE TEDDY ROMERO ACASIETE</t>
  </si>
  <si>
    <t>JAMITSON@HOTMAIL.COM</t>
  </si>
  <si>
    <t>JAMITSON TORRES AGUILAR</t>
  </si>
  <si>
    <t>T.M. Paulo Rutti Berrocal, T.M. Daniel Salinas, T.M. Percy Bendezú</t>
  </si>
  <si>
    <t>N°2023-0097952, N°2023-0115099, N°2023-0121295, N°2023-0128950</t>
  </si>
  <si>
    <t>PER-BSIA230101-115</t>
  </si>
  <si>
    <t>R.D. N° 134-2023 DIGDOT/MINSA</t>
  </si>
  <si>
    <t xml:space="preserve">DIRESA TACNA </t>
  </si>
  <si>
    <t>CLINICA BLONDELL</t>
  </si>
  <si>
    <t>CALLE BONDELL 415</t>
  </si>
  <si>
    <t>Dr. PEDRO RODAS ALEJOS</t>
  </si>
  <si>
    <t>clinicablondell@gmail.com</t>
  </si>
  <si>
    <t>ESTHER KARINA MARCA PAVIO</t>
  </si>
  <si>
    <t xml:space="preserve">      TM. Rudy Froilán Alca Huamani, TM. Julia Damiana Maquera Maquera</t>
  </si>
  <si>
    <t>Nº 2023-0104768, N° 2023-0123437</t>
  </si>
  <si>
    <t>PER-BSIA60101-116</t>
  </si>
  <si>
    <t>R.D. N° 136-2023 DIGDOT/MINSA</t>
  </si>
  <si>
    <t>CLINICA SAN LORENZO S.R.L</t>
  </si>
  <si>
    <t>AVENIDA SAN MARTIN DE PORRES NÚMERO N° 546</t>
  </si>
  <si>
    <t>Medina Rojas Cesar Augusto</t>
  </si>
  <si>
    <t>clinica.sanlorenzogmail.com</t>
  </si>
  <si>
    <t xml:space="preserve">TM MARIA DEL SOCORRO ANTUNEZ DE MAYOLO REGALADO , TM ROGER NARRO CRISOLOGO
</t>
  </si>
  <si>
    <t>2023-0114815, 2023-0128164 y 2023-0139114</t>
  </si>
  <si>
    <t>PER-BSIA150103-117</t>
  </si>
  <si>
    <t>R.D. N° 139-2023 DIGDOT/MINSA</t>
  </si>
  <si>
    <t>MEDICENTRO SAN MARCOS  RS: MEDICENTRO SAN MARCOS EIRL</t>
  </si>
  <si>
    <t xml:space="preserve">Calle 3 (Alt.Km.16.5 Carretera Central) Mz. B Lt.1 – Los Portales de Huaycán   </t>
  </si>
  <si>
    <t>MICHAEL CHAVEZ PARIAN</t>
  </si>
  <si>
    <t>975478778 / michaeldoc99@hotmail.com</t>
  </si>
  <si>
    <t>Dra. ROSALBINA ROJAS QUISPE</t>
  </si>
  <si>
    <t>TM. ALBERTO PEDRO RONDAN TARAZONA, TM. FREDY MAX BARBOZA LEON</t>
  </si>
  <si>
    <t>2023-0115993, 2023-0125837, 2023-0141207 y 2023- 0141209</t>
  </si>
  <si>
    <t>PER-BSIA40112-118</t>
  </si>
  <si>
    <t>R.D. N° 140-2023 DIGDOT/MINSA</t>
  </si>
  <si>
    <t>GERESA AREQUPA</t>
  </si>
  <si>
    <t>Razón Social Asociación Paz Holandesa, Nombre Comercial Clínica Paz Holandesa</t>
  </si>
  <si>
    <t>Urb. Villa Continental Calle 4 N°101</t>
  </si>
  <si>
    <t>MELANIA VERGARA SNACHEZ</t>
  </si>
  <si>
    <t>directormedico@clinicapazholandesa.com</t>
  </si>
  <si>
    <t>DR. MARIO LEON IBARCENA</t>
  </si>
  <si>
    <t>966 361 695</t>
  </si>
  <si>
    <t xml:space="preserve">TM. WILLIAM MAMANI COTA, T.M. WILBER DAVID ROSAS, BLGO. ROSSMARY VERA RIVERA, TM. MACHICAO CHAVEZ DALINA, </t>
  </si>
  <si>
    <t>2023-0140278 / 2023-0151255</t>
  </si>
  <si>
    <t>PER-BSIA21801-119</t>
  </si>
  <si>
    <t>R.D. N° 141-2023 DIGDOT/MINSA</t>
  </si>
  <si>
    <t>Razón Social Clinica Belen S.A.C., Nombre comercial Clinica Juan Pablo II</t>
  </si>
  <si>
    <t xml:space="preserve">Jr. Manuel Villavicencio Nº 376 </t>
  </si>
  <si>
    <t>BETTY DEL PILAR VEGA CASANOVA</t>
  </si>
  <si>
    <t>clinicabelen.gerencia@gmail.com</t>
  </si>
  <si>
    <t>DR. FRANZ CACHO QUISPE</t>
  </si>
  <si>
    <t>TM ROGER IVAN ROJAS LESCANO, TM. MARILEIDY RODRIGUEZ CRUZ, TM LEANDRO FERMIN CALDERON CHANG, TM MEDALID VASQUEZ CALLAN</t>
  </si>
  <si>
    <t>2023-0139564</t>
  </si>
  <si>
    <t>PER-BSIA130901-120</t>
  </si>
  <si>
    <t>R.D. N° 143-2023 DIGDOT/MINSA</t>
  </si>
  <si>
    <t>HOSPITAL LEONCIO PRADO</t>
  </si>
  <si>
    <t>HUAMACHUCO</t>
  </si>
  <si>
    <t>SANCHEZ CARRION</t>
  </si>
  <si>
    <t>Av. 10 de julio N°209-Huamachuco</t>
  </si>
  <si>
    <t>Enma Deysi PAREDES ARTEAGA</t>
  </si>
  <si>
    <t>bancode sangre.hlp@gmail.com</t>
  </si>
  <si>
    <t>Dra. Lis Nativé Zelada Hernandez</t>
  </si>
  <si>
    <t xml:space="preserve">Tecnólogo Médico: Solange Ramos Córdova, Tecnólogo Médico: Milagros Alvarado Lazaro, Tecnólogo Médico: Heiner Vasquez Idrogo, Tecnólogo Medico:Katherin Marquina Bazan
</t>
  </si>
  <si>
    <t>Expediente N° 2023-0131054 y N° 2023-0141015</t>
  </si>
  <si>
    <t>PER-BSIA150108-121</t>
  </si>
  <si>
    <t>R.D. N° 145-2023 DIGDOT/MINSA</t>
  </si>
  <si>
    <t>Razón Social Servicios de Salud Guadalupe S.A.C y nombre comercial Clinica Guadalupe</t>
  </si>
  <si>
    <t xml:space="preserve">CHORRILLOS </t>
  </si>
  <si>
    <t>AV. DEFENSORES DEL MORRO N°285</t>
  </si>
  <si>
    <t>ELENA ISABEL MACO FLORES</t>
  </si>
  <si>
    <t>guadalupeclinica.hotmail.com</t>
  </si>
  <si>
    <t>DR. OSCAR ROCA VALENCIA</t>
  </si>
  <si>
    <t>TM HUAYTALLA RODRIGUEZ VICTOR, TM GABRIEL ORELLANA ORIZANO, TM RUBEN CASTILLON CUEVA</t>
  </si>
  <si>
    <t>2023-0142442, 2023-0158028, 2023-0159949, 2023-0165031</t>
  </si>
  <si>
    <t>PER-BSIA150131-122</t>
  </si>
  <si>
    <t>R.D. N° 151-2023 DIGDOT/MINSA</t>
  </si>
  <si>
    <t>CLINICA UNIPLAST S.A.C</t>
  </si>
  <si>
    <t>AV. GUARDIA CIVIL N° 618</t>
  </si>
  <si>
    <t>DR. JOSE LUIS BISBAL SMITH</t>
  </si>
  <si>
    <t>info@clinicabisbalplastic.com</t>
  </si>
  <si>
    <t>DR. EMILIO AGUILAR</t>
  </si>
  <si>
    <r>
      <rPr>
        <rFont val="Calibri"/>
        <color rgb="FF000000"/>
        <sz val="11.0"/>
      </rPr>
      <t xml:space="preserve">TM. SERGIO ARIAS, TM. VICTORIA NUMURA, </t>
    </r>
    <r>
      <rPr>
        <rFont val="Calibri"/>
        <b/>
        <color rgb="FF000000"/>
        <sz val="11.0"/>
      </rPr>
      <t>TM. karen cisneros (anuncia el cambio de TM mediante exp 2025-0014031 JGQ)</t>
    </r>
  </si>
  <si>
    <t>Expediente N° 2023-0140232, N° 2023-0151554 y N°2023-0161221</t>
  </si>
  <si>
    <t>PER-BSIA150113-123</t>
  </si>
  <si>
    <t>R.D. N° 150-2023 DIGDOT/MINSA</t>
  </si>
  <si>
    <t>CENTRAL COOPERATIVA DE SERVICIOS SERVIPERÚ LTDA</t>
  </si>
  <si>
    <t>AV. GENERAL MAXIMO ABRIL N° 552</t>
  </si>
  <si>
    <t>DR. DANTE NIÑO DE GUZMAN BEDREGAL</t>
  </si>
  <si>
    <t>DRA. JAVIER BOJORQUEZ DE LA TORRE</t>
  </si>
  <si>
    <t xml:space="preserve">TM. Esther Carhuamaca Centeno TM.Erik Sánchez Tregear, TM.Elvira Bojórquez de Giraldo.
</t>
  </si>
  <si>
    <t>Expediente N° 2023-0138605, N° 2023-0150959 y N°2023-0161221</t>
  </si>
  <si>
    <t>PER-BSIA130101-124</t>
  </si>
  <si>
    <t>R.D. N° 148-2023 DIGDOT/MINSA</t>
  </si>
  <si>
    <t>IPRESS con razón social Clinica San Luis Asistencial Docente SRL y nombre comercial San Luis</t>
  </si>
  <si>
    <t>AV. DEL EJERCITO N°1175 URB. EL MOLINO</t>
  </si>
  <si>
    <t>JAVIER ALONSO DONAYRE VILLACORTA</t>
  </si>
  <si>
    <t>clinicasanluistrujillo@hotmail.com</t>
  </si>
  <si>
    <t>DRA. SILVIA VENEGAS LIÑAN</t>
  </si>
  <si>
    <t>TM PENELOPE SOLEDAD AZAÑERO SANCHEZ, TM AMADA GONZALES ALVARADO y TM KELY ROXANA MORALES VELASQUEZ</t>
  </si>
  <si>
    <t>2023-0141202 / 2023-0155785 / 2023-0167049</t>
  </si>
  <si>
    <t>PER-BSIA150130-125</t>
  </si>
  <si>
    <t>R.D. N° 149-2023 DIGDOT/MINSA</t>
  </si>
  <si>
    <t>Rejuvenecimiento y Estética Cabani Sociedad Comercial de Responsabilidad Limitada</t>
  </si>
  <si>
    <t>Avenida Guardia Civil N° 627</t>
  </si>
  <si>
    <t>MARIO RENATO CABANI RAVELLO</t>
  </si>
  <si>
    <t xml:space="preserve">consultascabani@gmail.com </t>
  </si>
  <si>
    <t>DR.William Henry Vicente Taboada</t>
  </si>
  <si>
    <t xml:space="preserve">TM. Ruby Danixa Murgueyto Donayre, TM. Yanet Magaly Centeno Aguirre, TM. Chuchón Yucra Maria Francisca,TM.Roxana Carol Villar Reyes
</t>
  </si>
  <si>
    <t>Expediente N° 2023-0153127, 2023-0164994 y 2023-0171466</t>
  </si>
  <si>
    <t>CENTENARIO PERUANO JAPONESA</t>
  </si>
  <si>
    <t>PER-BSIA80105-126</t>
  </si>
  <si>
    <t>R.D. N° 155-2023 DIGDOT/MINSA</t>
  </si>
  <si>
    <t>VIRGEN GUADALUPE CUSCO</t>
  </si>
  <si>
    <t xml:space="preserve">SAN SEBASTIAN </t>
  </si>
  <si>
    <t>CALLE REPUBLICA DEL PERÚ MZ O LOTE 4 URB.SANTA URSULA</t>
  </si>
  <si>
    <t>DR. RAMIRO HERMOZA ROSELL</t>
  </si>
  <si>
    <t>upssvirgenguadalupecusco@gmail.com</t>
  </si>
  <si>
    <t>DRA. GIANINA MENDOZA CUSI</t>
  </si>
  <si>
    <t xml:space="preserve">TM. GERMAN SALINAS PINO, TM. BRISETH SALAS VELASQUEZ </t>
  </si>
  <si>
    <t xml:space="preserve">ExpedienteN°2023-0150375,N°2023-0152265,
  N°2023-0168330,N°2023-0170539
</t>
  </si>
  <si>
    <t>PER-BSIA150120-127</t>
  </si>
  <si>
    <t>R.D. N° 157-2023 DIGDOT/MINSA</t>
  </si>
  <si>
    <t>CLINICA MATERNO INFANTIL VIRGEN DEL ROSARIO S.R.L</t>
  </si>
  <si>
    <t>JR. CASTILLA N°976</t>
  </si>
  <si>
    <t>DR. FRANCISCO ORTIZ TOCRE</t>
  </si>
  <si>
    <t>clinica@cvrosario.com</t>
  </si>
  <si>
    <t>TM. BRUNO VALERA, TM. CARLOS HERBOZO, TM. LUZ ESTEFANIA CARDENA</t>
  </si>
  <si>
    <t xml:space="preserve">Expediente N° 2023-0142760, N° 2023-0154489, N°2023-0170323 y  
                     N°2023-0170530
</t>
  </si>
  <si>
    <t>PER-BSIA140101-128</t>
  </si>
  <si>
    <t>R.D. N° 156-2023 DIGDOT/MINSA</t>
  </si>
  <si>
    <t>AVISAL S.A.</t>
  </si>
  <si>
    <t>Av. Francisco Bolognesi 774-786</t>
  </si>
  <si>
    <t>Alejandro ALCANTARA SUYON</t>
  </si>
  <si>
    <t>alcantarazuloetacontable@hotmail.com</t>
  </si>
  <si>
    <t>DR. Tony Farias Rodriguez</t>
  </si>
  <si>
    <t>Tecnólogos Médicos: Maria Jara Carhuapoma, Kely Mendoza</t>
  </si>
  <si>
    <t>2023-0151617, 2023-0162260</t>
  </si>
  <si>
    <t>PER-BSIA60601-129</t>
  </si>
  <si>
    <t>R.D. N° 161-2023 DIGDOT/MINSA</t>
  </si>
  <si>
    <t>CLINICA CUTERVO S.R.L</t>
  </si>
  <si>
    <t>Jr. José Contreras S/N Cutervo</t>
  </si>
  <si>
    <t>NORVIL QUINTANA ALTAMIRANO</t>
  </si>
  <si>
    <t>norvilquintana@unmsm@gmail.com</t>
  </si>
  <si>
    <t>Harlein Jean Caros Oblitas Vásquez</t>
  </si>
  <si>
    <t xml:space="preserve">TM Roxana Coronel Gavidia, TM.Lucy Leydi Pinedo Tapia, TM.Pinedo Tapia Lucy
</t>
  </si>
  <si>
    <t>Expediente N° 2023-013470</t>
  </si>
  <si>
    <t>HOSPITAL REGIONAL DE CAJAMARCA</t>
  </si>
  <si>
    <t>PER-BSIA150116-130</t>
  </si>
  <si>
    <t>R.D. N° 160-2023 DIGDOT/MINSA</t>
  </si>
  <si>
    <t>IPRESS con razón social P&amp;R MEDICAL S.A.C y nombre comercial NOVOCENTRAL</t>
  </si>
  <si>
    <t>Av. Arequipa N° 1800</t>
  </si>
  <si>
    <t>DIEGO ISAYAMA MANRIQUE</t>
  </si>
  <si>
    <t>jtapia@novoclinic.com.pe</t>
  </si>
  <si>
    <t>DRA. YOLANDA EUGENIO FELIPA</t>
  </si>
  <si>
    <t xml:space="preserve"> 939 637 332</t>
  </si>
  <si>
    <t>TM EDUARDO QUINTANA QUINTANA, TM MIGUEL ANGEL ORDERIQUE MOGOLLON, TM IRMA HERRERA CRISPIN</t>
  </si>
  <si>
    <t>N° 2023-0152543 / 2023-0159232 / 2023-0172968</t>
  </si>
  <si>
    <t>PER-BSIA21701-131</t>
  </si>
  <si>
    <t>R.D. N° 173-2023 DIGDOT/MINSA</t>
  </si>
  <si>
    <t>Hospital de Apoyo Recuay</t>
  </si>
  <si>
    <t>RECUAY</t>
  </si>
  <si>
    <t>JR.BOLIVAR N° 200</t>
  </si>
  <si>
    <t>RAUL HERRERA  EDQUEN</t>
  </si>
  <si>
    <t>rshs_hrecuay@redhuaylassur.gob.pe</t>
  </si>
  <si>
    <t>DR. NILTON LEZAMA SAAVEDRA</t>
  </si>
  <si>
    <t>943307112 / 953605033 (BIOLOGO CARLOS)</t>
  </si>
  <si>
    <t>BLG. CARLOS AZNARAN GUEVARA , T.M ABNER DE LA CRUZ LEON  TEC.DAYER ARANDA QUIÑONES</t>
  </si>
  <si>
    <t>N°2023-0162837</t>
  </si>
  <si>
    <t>PER-BSIA21801-132</t>
  </si>
  <si>
    <t>R.D. N° 166-2023 DIGDOT/MINSA</t>
  </si>
  <si>
    <t>CLINICA SANTA MARIA SAC CHIMBOTE</t>
  </si>
  <si>
    <t>JR. ELIAS AGUIRRE N°761 BOLIVAR BAJO</t>
  </si>
  <si>
    <t>M.C.CARLOS IVAN GONZALES BAMBERGER</t>
  </si>
  <si>
    <t>clinicasantamariach@hotmail.com</t>
  </si>
  <si>
    <t xml:space="preserve">PATOLOGO CLINICO ROBERTO ROLDAN </t>
  </si>
  <si>
    <t>943612015/943273167/ TM Muller 957623607</t>
  </si>
  <si>
    <t xml:space="preserve">T.M. Alexander Sanchez Aguilar, T.M. Candy Alzamora Maldonado,Tec. Lab. Maruja Calderon Quiñones.
</t>
  </si>
  <si>
    <t>N°2023-0155122,2023-0163636, 2023-0182924 y 2023-0187717</t>
  </si>
  <si>
    <t>PER-BSIA40109-133</t>
  </si>
  <si>
    <t>R.D. N° 162-2023 DIGDOT/MINSA</t>
  </si>
  <si>
    <t>Nombre y Razón social: Clínica J Prado Santa María EIRL</t>
  </si>
  <si>
    <t>MARIANO MELGAR</t>
  </si>
  <si>
    <t>Av. Mariscal Castilla N°723</t>
  </si>
  <si>
    <t xml:space="preserve">Manuel Jesus, PRADO RIVERA </t>
  </si>
  <si>
    <t>clinicajpsantamaria@gmail.com</t>
  </si>
  <si>
    <t>PATOLOGO CLINICO DOLLY SOLANGE ZEBALLOS CARBAJAR</t>
  </si>
  <si>
    <t xml:space="preserve"> TM RONALD ACUÑA RETAMOZO, TM KATHERIN LUCIA SOLAR ACUÑA</t>
  </si>
  <si>
    <t>N°2023-0170304, N°2023-0170817, N°2023-0179861, N°2023-0180979</t>
  </si>
  <si>
    <t>PER-BSIA150122-134</t>
  </si>
  <si>
    <t>R.D. N° 164-2023 DIGDOT/MINSA</t>
  </si>
  <si>
    <t xml:space="preserve">RS: INSTITUTO DEL CEREBRO Y LA COLUMNA VERTEBRAL S.A.C, NC: CLINICA ALVAREZ </t>
  </si>
  <si>
    <t>Avenida Benavides N°2965</t>
  </si>
  <si>
    <t>PAOLA ROSSI VALLENAS SALAZAR</t>
  </si>
  <si>
    <t>admin@iccvperu.com</t>
  </si>
  <si>
    <t>PATOLOGO CLINICO OSCAR  ROCA VALENCIA</t>
  </si>
  <si>
    <t>TM.HERBOZO SOLIS, CARLOS ALBERTO ,  TM.CASTILLON CUEVA RUBEN HEBER</t>
  </si>
  <si>
    <t>2023-0164923, 2023-0176140, 2023-0184712 y 2023-0187296</t>
  </si>
  <si>
    <t>CENTENERIO PERUANO JAPONESA</t>
  </si>
  <si>
    <t>PER-BSIA110201-171</t>
  </si>
  <si>
    <t>R.D. N° 012-2024 DIGDOT/ MINSA</t>
  </si>
  <si>
    <t>CLINICA DE LOS VASQUEZ S.A.C.</t>
  </si>
  <si>
    <t>Prolongación Lima N°703</t>
  </si>
  <si>
    <t>JESUS IVAN VASQUEZ MATIAS</t>
  </si>
  <si>
    <t>ivan2919@hotmail.com</t>
  </si>
  <si>
    <t>Dra. Jacqueline Tello A</t>
  </si>
  <si>
    <t>TM ROXANA PAZ MONTEZA, TM DIANA SUCAPUCA RAMIREZ</t>
  </si>
  <si>
    <t>2023-0286304, 2024-0006606, 2024-0022409</t>
  </si>
  <si>
    <t>PER-BSIA160101-136</t>
  </si>
  <si>
    <t>R.D. N° 172-2023 DIGDOT/ MINSA</t>
  </si>
  <si>
    <t>SERVICIOS MEDICOS CLINICA SANTA ANITA SRL</t>
  </si>
  <si>
    <t>JR .BOLOGNESI N°1223</t>
  </si>
  <si>
    <t>CANDHY RYTHA TANITH MERU PANDURO</t>
  </si>
  <si>
    <t>administracion@clinicasantaanitaiquitos.com.pe</t>
  </si>
  <si>
    <t>M.C.  JOSUE PACAYA TENAZOA</t>
  </si>
  <si>
    <t>942198790 (CANDHY RITHA)</t>
  </si>
  <si>
    <t>T.M. ELY LAVI PRADA,  T.M. FRANKS AGUILAR RENGUIFO , BLGO.JULIO GARCIA PINEDO</t>
  </si>
  <si>
    <t>N°2023-0153800 y N°2023-0165445</t>
  </si>
  <si>
    <t>PER-BSIA220901-137</t>
  </si>
  <si>
    <t>R.D. N° 178-2023 DIGDOT/ MINSA</t>
  </si>
  <si>
    <t>HOSPITAL TARAPOTO</t>
  </si>
  <si>
    <t>Jr. Angel Delgado Morey N°503</t>
  </si>
  <si>
    <t>Miguel Angel, GOMEZ ABANTO</t>
  </si>
  <si>
    <t>direccion@hospitaltarapoto.gob.pe</t>
  </si>
  <si>
    <t>PATOLOGA CLINICO Santillán Ruiz Diana</t>
  </si>
  <si>
    <t>TM. Falero Luna Jorge Luis, TM.Villalobos Navarro Rosa Clara, TM.Ojeda Malasquez Héctor, TM.Rojas Castro Pablo Lazo, TM.Grandez Bernarda, TM.Vásquez Bustamante Fany</t>
  </si>
  <si>
    <t>N° 2023-0152207 y N° 2023-0172200</t>
  </si>
  <si>
    <t>REGISTRO NACIONAL DE CENTROS DE HEMOTERAPIA, BANCOS DE SANGRE Y PLANTAS DE HEMODERIVADOS</t>
  </si>
  <si>
    <t>PER-BSIA21809-138</t>
  </si>
  <si>
    <t>R.D. N° 174-2023 DIGDOT/ MINSA</t>
  </si>
  <si>
    <t>CENTRO MEDICO ESPECIALIZADO CLINICA DE LA MUJER Y EL NIÑO</t>
  </si>
  <si>
    <t>NUEVO CHIMNBOTE</t>
  </si>
  <si>
    <t xml:space="preserve">SANTA </t>
  </si>
  <si>
    <t>Urb. Garatea Mza H lote 33-35 -Nuevo Chimbote</t>
  </si>
  <si>
    <t xml:space="preserve">RAYMUNDO GUTIERREZ LEON </t>
  </si>
  <si>
    <t>rgl1503@yahoo.es</t>
  </si>
  <si>
    <t>Pablo Roberto Roldan Acuña</t>
  </si>
  <si>
    <t xml:space="preserve">-        TM. Julio Cesar Paredes Ramos,  TM. Guido Roberto Serrano Ramos ,TM Silva Albertina Vidal Carbajal
</t>
  </si>
  <si>
    <t>BANCO DE SANGRE TIPO III</t>
  </si>
  <si>
    <t>N°2023-0141542, N°2023-0151063, N°2023-0162923, 2023-0167925, 2023-0173914 y 2023-0180143</t>
  </si>
  <si>
    <t>PER-BSIA150105-139</t>
  </si>
  <si>
    <t>R.D. N° 168-2023 DIGDOT/ MINSA</t>
  </si>
  <si>
    <t>Razón Social: Clínica San Marcos S.A. Nombre Comercial: Clínica San Marcos</t>
  </si>
  <si>
    <t>Jr. Huaraz N°1425</t>
  </si>
  <si>
    <t>LUIS CAMPANA OLAZABAL (GERENTE GENERAL)</t>
  </si>
  <si>
    <t xml:space="preserve">CATEGORIA </t>
  </si>
  <si>
    <t>juanaventurogago48@hotmail.com</t>
  </si>
  <si>
    <t>PATOLOGO CLINICO SHEILA GISELA FABIAN ORTIZ DE MATEO</t>
  </si>
  <si>
    <t xml:space="preserve">1. TM:  MICHELLE HUISA RAMIREZ, 2.TM: FLORES RODRIGUEZ ISABEL MERCEDES
</t>
  </si>
  <si>
    <t>N°2023-0164114, N°2023-0178012, N°2023-0185421, N°2023-0186887</t>
  </si>
  <si>
    <t>HOSPITAL NACIONAL DOCENTE MADRE NIÑO SAN BARTOLOMÉ FIRMADO EL 01/09/2025 VIGENCIA: 3 AÑOS</t>
  </si>
  <si>
    <t>PER-BSIA220901-140</t>
  </si>
  <si>
    <t>R.D. N° 177-2023 DIGDOT/ MINSA</t>
  </si>
  <si>
    <t>Otra Espec.</t>
  </si>
  <si>
    <t>Razon social  Servic Medic Virgen de las Mercedes SAC NC Clinica Virgen de las Mercedes</t>
  </si>
  <si>
    <t>Jr. Miguel Grau N° 1231</t>
  </si>
  <si>
    <t>KARLA DEL ROCIO BOCANEGRA NERI</t>
  </si>
  <si>
    <t>clinicavirgendelasmercedes@gmail.com</t>
  </si>
  <si>
    <t>PATOLOGO DENIS REYES REYNALDO</t>
  </si>
  <si>
    <t>TM Wilmer Díaz Cubas, TM Lényn Stalin, Biologo José Sánchez</t>
  </si>
  <si>
    <t xml:space="preserve">N° 2023-012776, N° 2023-0154512, N° 2023-0177908 y N° 2023-0184380
</t>
  </si>
  <si>
    <t>PER-BSIA190103-141</t>
  </si>
  <si>
    <t>R.D. N° 171-2023 DIGDOT/ MINSA</t>
  </si>
  <si>
    <t>HOSPITAL II-E HUARIACA</t>
  </si>
  <si>
    <t>HUARIACA</t>
  </si>
  <si>
    <t>Carretera Central S/N</t>
  </si>
  <si>
    <t>Alvarado Cachay Castiglioni</t>
  </si>
  <si>
    <t>M.C. Castillo Enríquez Junior Henry</t>
  </si>
  <si>
    <t>Lic. David E. Egusquiza Romero</t>
  </si>
  <si>
    <t>N°2023-0165457</t>
  </si>
  <si>
    <t>PER-BSIA40109-142</t>
  </si>
  <si>
    <t>R.D. N° 183-2023 DIGDOT/ MINSA</t>
  </si>
  <si>
    <t>HOSPITAL MILITAR DIVISIONARIO III DE AREQUIPA</t>
  </si>
  <si>
    <t>Malecón Zolezzi Nº 500 Mariano Melgar</t>
  </si>
  <si>
    <t>Cesar Alejandro LUQUE MENDOZA</t>
  </si>
  <si>
    <t>labbs.hos.mil.aqp@gmail.com</t>
  </si>
  <si>
    <t>P.C. Mayra Manchego</t>
  </si>
  <si>
    <t>Tecnólogos Médicos: Obdulia Ortiz Astorga, Mayte Monzón, Zoila María Jara Carhuapoma Kely Mendoza. Biólogo: Jaime Cuadros</t>
  </si>
  <si>
    <t>N° 2023- 0172436, Nº 2023- 0190660, Nº 2023-0197101</t>
  </si>
  <si>
    <t>PER-BSIA40104-143</t>
  </si>
  <si>
    <t>R.D. N° 184-2023 DIGDOT/ MINSA</t>
  </si>
  <si>
    <t>NC: Hospital Geriátrico, RS: Municipalidad Provincial de Arequipa</t>
  </si>
  <si>
    <t>Avenida Pumacahua S/N</t>
  </si>
  <si>
    <t>Gustavo Bernardo Rondón Fudinaga</t>
  </si>
  <si>
    <t>gustavorondon@hospitalmunicipal.gob.pe</t>
  </si>
  <si>
    <t>P.C. Sheyla Nuñez</t>
  </si>
  <si>
    <t>T.M: Tatiana León, Flor Neira, Mayara Jara</t>
  </si>
  <si>
    <t>N° 2023-0174420, 2023-0191833</t>
  </si>
  <si>
    <t>PER-BSIA21801-144</t>
  </si>
  <si>
    <t>R.D.N° 176-2023 DIGDOT/MINSA</t>
  </si>
  <si>
    <t>CLINICA ROBLES S.A.C.</t>
  </si>
  <si>
    <t>Jr. Manuel Villavicencio N° 512</t>
  </si>
  <si>
    <t>Augusto Vicente ROBLES ROSALES (Sub-Gerente)</t>
  </si>
  <si>
    <t>gerencia@clinicaroblesperu.com</t>
  </si>
  <si>
    <t>Patólogo Clínico Pablo Roberto Roldán Acuña</t>
  </si>
  <si>
    <t>943955279/ 970706940 LIC. TM AYDE</t>
  </si>
  <si>
    <t>- Haydee Margot Mendoza Avila, Tecnóloga Médica - Marileidy Rodríguez Cruz, Tecnóloga Médica - María Celeste Castillo Centurión, Tecnóloga Médica - Luis Armando Hernández Arteaga, Tecnólogo Médico</t>
  </si>
  <si>
    <t>N° 2023-0151928 y N° 2023-0163335</t>
  </si>
  <si>
    <t>PER-BSIA50501-145</t>
  </si>
  <si>
    <t>R.D.N° 170-2023 DIGDOT/MINSA</t>
  </si>
  <si>
    <t>HOSPITAL DE APOYO SAN MIGUEL</t>
  </si>
  <si>
    <t>LA MAR</t>
  </si>
  <si>
    <t>Av. Ramon Castilla S/N</t>
  </si>
  <si>
    <t>ROMEL BERROCAL PEREZ</t>
  </si>
  <si>
    <t>hospitalsanmiguel@gmail.com</t>
  </si>
  <si>
    <t>MC. Cardenas Cerdan Lourdes Gloria Karla</t>
  </si>
  <si>
    <t>Biologos: Ronald Quispe Mendez y Luyer Cuba Quispe</t>
  </si>
  <si>
    <t>N° 2023-0142936, N° 2023-0162411, N° 2023-0174602</t>
  </si>
  <si>
    <t>PER-BSIA50401-146</t>
  </si>
  <si>
    <t>R.D. N° 187-2023 DIGDOT/ MINSA</t>
  </si>
  <si>
    <t>HOSPITAL DE APOYO DE HUANTA "DANIEL ALCIDES CARRION"</t>
  </si>
  <si>
    <t>HUANTA</t>
  </si>
  <si>
    <t>AV. MARISCAL CASTILLA N° 625</t>
  </si>
  <si>
    <t>MARIA ELENA MARQUEZ CALVO</t>
  </si>
  <si>
    <t>direccionhospitalhuanta@gmail.com</t>
  </si>
  <si>
    <t>MC. JUAN VICTOR PEÑALOZA ÑIQUEN</t>
  </si>
  <si>
    <t>BIOLOGOS : MARISOL ROXANA NUÑEZ PAUCAR, NELY CAMASCA SAENZ, ELVA NALVARTE RUA</t>
  </si>
  <si>
    <t>N°2023-0165458 ,N°2023-0180079</t>
  </si>
  <si>
    <t>PER-BSIA80106-147</t>
  </si>
  <si>
    <t>R.D. N° 188-2023 DIGDOT/ MINSA</t>
  </si>
  <si>
    <t>OXIGEN MEDICAL NETWORK y razón social OXIGEN MEDICAL NETWORK – OXIGEN MEDNET EIRL</t>
  </si>
  <si>
    <t>calle Bellavista C-11, Urbanización Huancaro</t>
  </si>
  <si>
    <t>ANGEL VARGAS PACHECO</t>
  </si>
  <si>
    <t>o2medicalnetwork@gmail.com</t>
  </si>
  <si>
    <t>MC. Efrain Sencia Valencia</t>
  </si>
  <si>
    <t>gerente: 974791815</t>
  </si>
  <si>
    <t>T.M. Oscar Cruz Villacorta., T.M. Karina Yarin Mora., .M. José Julián Briceño Peña</t>
  </si>
  <si>
    <t>N° 2023- 0154031, N° 2023- 0169771, N° 2023- 0210564 y N° 2023- 0215043</t>
  </si>
  <si>
    <t>PER-BSIA80101-148</t>
  </si>
  <si>
    <t>R.D. N° 189-2023 DIGDOT/ MINSA</t>
  </si>
  <si>
    <t>NOMBRE COMERCIAL: HERMANA JOSEFINA SERRANO, RAZON SOCIAL: ABC PRODEIN</t>
  </si>
  <si>
    <t>CALLE SAN ANDRES N° 321</t>
  </si>
  <si>
    <t>ELAINE YDANA CHAVEZ GRANADOS</t>
  </si>
  <si>
    <t>hospitalhjs.abcprodein@gmail.com</t>
  </si>
  <si>
    <t>MILDRED BRIGIDA LOVATON RAMOS (PENDIENTE)CV)</t>
  </si>
  <si>
    <t>973 693 812</t>
  </si>
  <si>
    <t>BIOLOGA HAYDEE KARIM YEPEZ VASQUEZ</t>
  </si>
  <si>
    <t xml:space="preserve">Expedientes: N°2023-0162835, N°2023-0175766, N°2023-0209073
</t>
  </si>
  <si>
    <t>HOSPITAL ADOLFO GUEVARA ESSALUD-CUSCO</t>
  </si>
  <si>
    <t>PER-BSIA80106-149</t>
  </si>
  <si>
    <t>R.D. N° 185-2023 DIGDOT/ MINSA</t>
  </si>
  <si>
    <t>NOMBRE COMERCIAL  MIR SALUD</t>
  </si>
  <si>
    <t>Avenida Grau N° 1061</t>
  </si>
  <si>
    <t>MAURO QUISPE SALLO</t>
  </si>
  <si>
    <t>mirsalud@hotmail.com</t>
  </si>
  <si>
    <t>MC Rocío Lauda Sierra</t>
  </si>
  <si>
    <t>TM. LUXMI MISME GONZALES, TM MARLENY MANGO MAMANI, TM RICARDO SANTOS SALCEDO</t>
  </si>
  <si>
    <t xml:space="preserve">Expedientes: N°2023-0149404, 2023-0171839, 2023-0210526, 2023-0214554
</t>
  </si>
  <si>
    <t>PER-BSIA150130-150</t>
  </si>
  <si>
    <t>R.D. N° 200-2023 DIGDOT/ MINSA</t>
  </si>
  <si>
    <t xml:space="preserve"> GALENOS ESPECIALISTAS S.A.; NOMBRE COMERCIAL: CLÍNICA FLEMING</t>
  </si>
  <si>
    <t>Jr. Alexander Fleming N° 103, Mz. Q11, Lte.01, Urb. San Borja Sur, III etapa</t>
  </si>
  <si>
    <t>PIEDAD FLOR DE MARÍA PALACIOS RODRIGUEZ</t>
  </si>
  <si>
    <t>gerencia.general@clinicafleming.com.pe</t>
  </si>
  <si>
    <t>MC. CARLOS ANDRES PACHAS CIVUÑA</t>
  </si>
  <si>
    <t>TM LEIDY VILLANUEVA DIAZ, TM MAER LUZ KEYKO VILLALOBOS TORRES, TM VANYA SHANDEL ANGHIE VEGA ALVARADO, TM JOSE HARRLIS ROMERO LOPEZ, TM TANNIA JOCELYNE NEYRA PAZ, TM PAOLA YESSELY HUANCAS JULCA</t>
  </si>
  <si>
    <t>Expedientes N° 2023-0191914, N° 2023-0201738, N°2023-0219954, N°2023- 0222166</t>
  </si>
  <si>
    <t>CLINICA SANTA LUCIA</t>
  </si>
  <si>
    <t>PER-BSIA60801-151</t>
  </si>
  <si>
    <t>R.D. N° 194-2023 DIGDOT/ MINSA</t>
  </si>
  <si>
    <t>Nombre Comercial: Hospital II Clínica Jaén, Razón Social: Seguro Social de Salud – ESSALUD</t>
  </si>
  <si>
    <t xml:space="preserve">Calle Mariano Melgar N°192 Urb. Sta. Beatriz </t>
  </si>
  <si>
    <t>PERCY DIAZ MORON</t>
  </si>
  <si>
    <t>percy.diaz@essalud.gob.pe</t>
  </si>
  <si>
    <t xml:space="preserve">OSCAR MITCHEL ZAPATA YAMUNAQUE </t>
  </si>
  <si>
    <t>2023-0168195, N° 2023-0186446, N°2023-0196016, N°2023-0221302, N° 2023-0225194, N°2023- 00225715</t>
  </si>
  <si>
    <t>PER-BSIA150117-152</t>
  </si>
  <si>
    <t>R.D. N° 202-2023 DIGDOT/ MINSA</t>
  </si>
  <si>
    <t>Razón Social Clínica del Norte S.A.C y Nombre Comercial Clínica del Norte</t>
  </si>
  <si>
    <t>Av. Universitaria Norte Mz.B Lt-12 Cooperativa Cajabamba</t>
  </si>
  <si>
    <t>Dr. Jose Luis Huerta Robles</t>
  </si>
  <si>
    <t>dr.joseluishuerta01@gmail.com</t>
  </si>
  <si>
    <t>Dr. Rafael Rodriguez Bayona</t>
  </si>
  <si>
    <t xml:space="preserve">Tecnólogo Médico: Gloria Huertas Carrión,  Tecnólogo Médico: Holder Zevallos Conisilla, Tecnólogo Medico: Robles Chavez Esperanza  
</t>
  </si>
  <si>
    <t>Expediente N°2023-0192216, N° 2023-0208889 y N° 2023-0223753</t>
  </si>
  <si>
    <t>PER-BSIA220901-153</t>
  </si>
  <si>
    <t>R.D. N° 206-2023 DIGDOT/ MINSA</t>
  </si>
  <si>
    <t>Razón Social Servicios Médicos Lionel Flores e Hijos S.A.C - Clinica San Martin</t>
  </si>
  <si>
    <t>Jr. San Martin N°274 Tarapoto</t>
  </si>
  <si>
    <t>Alexander Roberto, FLORES ACOSTA</t>
  </si>
  <si>
    <t>clinicasanmartin_gerencia@hotmail.com</t>
  </si>
  <si>
    <t>Dra. Julissa Olivera Miranda. Médico Patólogo Clínico</t>
  </si>
  <si>
    <t xml:space="preserve">-        Tecnólogo Médico: Lenyn Sánchez, Tecnólogo Médico: Prince Panduro, Tecnólogo Médico: Fanny Vásquez
</t>
  </si>
  <si>
    <t>Expediente N°2023-0198551y N°2023- 0218602</t>
  </si>
  <si>
    <t>BANCO DE SANGRE REGIONAL SAN MARTIN/OGESS ESPECIALIZADA DE ALCANCE REGIONAL</t>
  </si>
  <si>
    <t>PER-BSIA50503-154</t>
  </si>
  <si>
    <t>R.D. N° 210-2023 DIGDOT/ MINSA</t>
  </si>
  <si>
    <t xml:space="preserve">HOSPITAL DE APOYO SAN FRANCISCO </t>
  </si>
  <si>
    <t>AYNA</t>
  </si>
  <si>
    <t>Av. Huanta S/N</t>
  </si>
  <si>
    <t>ROSA IRENE URIBE VILCA</t>
  </si>
  <si>
    <t>ireneuribe_7@hotmail.com</t>
  </si>
  <si>
    <t>MC: HUAMAN LESCANO LISANDRO</t>
  </si>
  <si>
    <t xml:space="preserve">BIOLOGOS: CASANOVA TORRES KARINA, FERNANDEZ ATAUPILCO RAUL </t>
  </si>
  <si>
    <t>2023-0191246, 2023-0217873 y 2023-0218877</t>
  </si>
  <si>
    <t>PER-BSIA220801-155</t>
  </si>
  <si>
    <t>R.D. N° 214-2023 DIGDOT/ MINSA</t>
  </si>
  <si>
    <t>Nombre comercial: Centro Médico Daniel Alcides Carrión y razón social Clínica Daniel Alcides Carrión S.I.R.L.</t>
  </si>
  <si>
    <t>Jr. Santo toribio N° 527</t>
  </si>
  <si>
    <t>JAIME HUIVIN GRANDEZ</t>
  </si>
  <si>
    <t>jahuigra@gmail.com</t>
  </si>
  <si>
    <t>MC PATOLOGO JULIO EDMUNDO ALCANTARA RENGIFO</t>
  </si>
  <si>
    <t>TM CRISTIAN VILLAR HUAMAN, TM JOSE LUIS LOZANO GARCIA, EDER YELSIN TICLIAHUANCA RAMOS, POLL ALEJANDRO PACO GUEVARA</t>
  </si>
  <si>
    <t>N° 2023-0215912; 2023-0213254</t>
  </si>
  <si>
    <t>PER-BSIA200601-156</t>
  </si>
  <si>
    <t>R.D. N° 207-2023 DIGDOT/ MINSA</t>
  </si>
  <si>
    <t>CLINICA SANTA ROSA</t>
  </si>
  <si>
    <t>Av. Panamericana N° 332 Urb. Santa Rosa</t>
  </si>
  <si>
    <t>CESAR MARTIN MEDINA ARRUNATEGUI</t>
  </si>
  <si>
    <t>starosa.adm.csr@gmail.com</t>
  </si>
  <si>
    <t>M.C.Patricia del Rocio Álvarez</t>
  </si>
  <si>
    <t xml:space="preserve">T.M. Carlos Alfredo Castro Castillo, T.M. Cesar Luis Siancas Ret, T.M. Maritza Chiroque Santana
</t>
  </si>
  <si>
    <t xml:space="preserve"> N° 2023-0188794, N°2023- 0200613, N°2023- 0234860 y N° 2023- 0238264</t>
  </si>
  <si>
    <t>PER-BSIA130103-157</t>
  </si>
  <si>
    <t>R.D. N° 213-2023 DIGDOT/ MINSA</t>
  </si>
  <si>
    <t>R.S:UNIVERSIDAD PRIVADA ANTENOR ORREGO NC: ESTABLECIMIENTO DE SALUD UPAO FLORENCIA DE MORA</t>
  </si>
  <si>
    <t>CALLE JOSE DE LA TORRE UGARTE S/N BARIIO 6 MZ 41 LOTE 03</t>
  </si>
  <si>
    <t>ANDRES AGUILAR VELASQUEZ</t>
  </si>
  <si>
    <t>aaguilarv1@upao.edu.pe</t>
  </si>
  <si>
    <t xml:space="preserve">no cuenta con paotlogo </t>
  </si>
  <si>
    <t xml:space="preserve">TM: Yang Pier Espejo Valdez, TM. John Eduard Otiniano Moya. TM. Jessica Artaza COro, TM Mayra Hagar Calderon Robles </t>
  </si>
  <si>
    <t>N°2023-0221675, N° 2023-0243742 y N° 2023-246178</t>
  </si>
  <si>
    <t>PER-BSIA130101-158</t>
  </si>
  <si>
    <t>R.D. N° 217-2023 DIGDOT/ MINSA</t>
  </si>
  <si>
    <t>CLINICA BELMED  (FALTA RD DE SUSP DEF)</t>
  </si>
  <si>
    <t>Av. Tupac Amaru N° 849 Urb. Primavera</t>
  </si>
  <si>
    <t>FRANK TAILOR JIMENEZ ESQUIVEL</t>
  </si>
  <si>
    <t>clinicabellmed@hotmail.com</t>
  </si>
  <si>
    <t>CARRILLO RAMIREZ, ELVA ROSA CRISTINA</t>
  </si>
  <si>
    <t xml:space="preserve">TM Marita Isabel Sáenz Contreras. 
TM Lino Capristan Silvia Elizabeth
</t>
  </si>
  <si>
    <t>N° 2023-0214557, N° 2023-0233386, N°2023-0231429</t>
  </si>
  <si>
    <t>PER-BSIA110101-021</t>
  </si>
  <si>
    <t>R.D. N° 008-2023 DIGDOT/MINSA, R.D. N° 191-2023 DIGDOT/MINSA</t>
  </si>
  <si>
    <t xml:space="preserve">RS: CLINICA LAS CONDES SAC, NC: LAS CONDES DEL SUR </t>
  </si>
  <si>
    <t>AV. CONDE DE NIEVA 1073</t>
  </si>
  <si>
    <t>EDWIN RAMIREZ ARROYO</t>
  </si>
  <si>
    <t>admision.lascondesclinica@gmail.com mirtha_heredia@yahoo.es</t>
  </si>
  <si>
    <t>Medico Patologo Olga Tucto Lopez</t>
  </si>
  <si>
    <t>Medico Patologo Andres Chacaltana Ramos, TM Keyla Rios Huarcaya, TM Juliana Fajardo Garcia</t>
  </si>
  <si>
    <t>2022-0077716 2022-0098855</t>
  </si>
  <si>
    <t>PER-BSIA50701-160</t>
  </si>
  <si>
    <t>R.D. N° 219-2023 DIGDOT/MINSA</t>
  </si>
  <si>
    <t>HOSPITAL DE APOYO DE CORA CORA</t>
  </si>
  <si>
    <t>PARINACOHCAS</t>
  </si>
  <si>
    <t>CORACORA</t>
  </si>
  <si>
    <t xml:space="preserve">CALLE LA CULTURA S/N </t>
  </si>
  <si>
    <t>EDILBERTO WALTER AMAR SALCEDO</t>
  </si>
  <si>
    <t>hospitalapoyo2020@gmail.com</t>
  </si>
  <si>
    <t>PATOLOGO CLINICO PEDRO LUIS KOC CASTAÑEDA</t>
  </si>
  <si>
    <t>TM. ROJAS HUAMANI SHAYLI ALEJANDRINA, biologos: CHAVEZ CHOCCE GINMY MISSAE y BARRIENTOS MEZA FABIO</t>
  </si>
  <si>
    <t>2023-0212720, 2023-0231025, 2023-0231922 y 2023-0263219</t>
  </si>
  <si>
    <t>PER-BSIA80101-161</t>
  </si>
  <si>
    <t>R.D. N° 215-2023 DIGDOT/ MINSA</t>
  </si>
  <si>
    <t>PERUANO SUIZA</t>
  </si>
  <si>
    <t xml:space="preserve">CUSCO </t>
  </si>
  <si>
    <t>Av. Perú K – 3</t>
  </si>
  <si>
    <t xml:space="preserve">JORGE GAMARRA BOLUARTE </t>
  </si>
  <si>
    <t>gerencia@cps.com.pe</t>
  </si>
  <si>
    <t>PATOLOGA CLÍNICA Jackeline Santa Cruz Huapaya</t>
  </si>
  <si>
    <t xml:space="preserve">llic. T.M. Marleny Mango Mamani, Luxmi Misme Gonzales , Jharol  Fuentes Borda y Ana Gabriela Vargas Vargas.
</t>
  </si>
  <si>
    <t>2023-0229077, 2023-0243516 y 2023-0253341</t>
  </si>
  <si>
    <t>PER-BSIA200401-162</t>
  </si>
  <si>
    <t>R.D. N° 003-2024 DIGDOT/ MINSA</t>
  </si>
  <si>
    <t>CLINICA VIRGEN DE GUADALUPE</t>
  </si>
  <si>
    <t>JIRON HUANCAVELICA N° 1244</t>
  </si>
  <si>
    <t>M.C. JORGE LUIS GUERRERO JULCA</t>
  </si>
  <si>
    <t>Dr_jlguerreroj@hotmail.com</t>
  </si>
  <si>
    <t>Edgar Joel Ancajima Mores</t>
  </si>
  <si>
    <t>Lic. TM. Karen Andrea Novillo Delgado,Lic. TM Rosmery Anabel Saavedra Santiago,Lic. TM. Ceneida Jimenez Granda</t>
  </si>
  <si>
    <t>N° 2023-0199288, N° 2023-0213146 y N°2023-0251545</t>
  </si>
  <si>
    <t>PER-BSIA150130-163</t>
  </si>
  <si>
    <t>R.D. N° 004-2024 DIGDOT/ MINSA</t>
  </si>
  <si>
    <t>RS: INST KIRSCHBAUM DE CIRG PLAS Y EST S.C.R.L., NC: CLINICA KIRSCHBAUM</t>
  </si>
  <si>
    <t>AV. JAVIER PRADO ESTE N° 2973</t>
  </si>
  <si>
    <t>CLAUDIO AUGUSTO KIRSCHBAUM</t>
  </si>
  <si>
    <t>consultas@clinicakirschbaum.com</t>
  </si>
  <si>
    <t xml:space="preserve">Patologo Clinico Emma del Rosario Flores Avila </t>
  </si>
  <si>
    <t>TM VICTORIA NUNURA AGUILAR, TM JUAN PABLO HUAMANI TABOADA, TM ROCIO GONZALEZ BARRON</t>
  </si>
  <si>
    <t>N° 2023-0233106, N° 2023-0249236, N° 2023-0251119, N° 2023-0280683</t>
  </si>
  <si>
    <t>INSTITUTO NACIONAL DEL NIÑO SAN BORJA</t>
  </si>
  <si>
    <t>PER-BSIA40101-164</t>
  </si>
  <si>
    <t>R.D. N° 007-2024 DIGDOT/ MINSA</t>
  </si>
  <si>
    <t>RS: CLÍNICA VARGAS SOCIEDAD COMERCIAL DE RESPONSABILIDAD LIMITADA – CLÍNICA VARGAS S.R.L., NC: CLINICA EUROAMERICANA</t>
  </si>
  <si>
    <t xml:space="preserve">CALLE HIPOLITO UNANUE N°100 URBANIZACION LA VICTORIA </t>
  </si>
  <si>
    <t>TEODORO GUILLERMO VARGAS BERNAL</t>
  </si>
  <si>
    <t xml:space="preserve">guivargasb@yahoo.com </t>
  </si>
  <si>
    <t>PATOLOGO CLINICO RONAL SEBASTIAN IQUIAPAZA FUENTES</t>
  </si>
  <si>
    <t>TM. Gueny Mamani Chura, Biologos: Salcedo Salas Maria Elena , Quispe Chavez Rosa Isabel , Castro Castro MARIA  (Responsable de Calidad: Jaime Raul Cuadros  Surco)</t>
  </si>
  <si>
    <t>N° 2023-0264208, 2023-0277500 y 2024-0000005</t>
  </si>
  <si>
    <t>IREN SUR</t>
  </si>
  <si>
    <t>2025-0284546 Nuevo Jefe de banco de sangre: Apellidos : CARAZAS PORTOCARRERO
Nombres : MILAGROS ALINA</t>
  </si>
  <si>
    <t>PER-BSIA100601-165</t>
  </si>
  <si>
    <t>R.D. N° 005-2024 DIGDOT/ MINSA</t>
  </si>
  <si>
    <t>RS: SANTA LUCILA CLINICA INTEGRAL E.I.R.L., NC: SANTA LUCILA CLINICA INTEGRAL E.I.R.L.</t>
  </si>
  <si>
    <t>RUPA RUPA</t>
  </si>
  <si>
    <t>LEONCIO PRADO</t>
  </si>
  <si>
    <t>Av. Ucayali N° 641 Piso1</t>
  </si>
  <si>
    <t xml:space="preserve">LILIAN MARIA ALCANTARA LEYVA </t>
  </si>
  <si>
    <t>atencion@clinicasantalucila.com</t>
  </si>
  <si>
    <t xml:space="preserve">MC. PATOLOGO CLINICO VICTOR HUGO SEGURA LOPEZ </t>
  </si>
  <si>
    <t xml:space="preserve">Lic. TM. Jorge Antonio Guillen Camacho,Lic. TM Dany Alexander Fajardo Guevara  y Lic. TM. Kenneth Oscar Nick Montalvo Loyola </t>
  </si>
  <si>
    <t>Expd: N° 2023-0231479, N° 2023-0260584 y N°2023-027995</t>
  </si>
  <si>
    <t>HOSPITAL HERMILIO VALDIZAN</t>
  </si>
  <si>
    <t>PER-BSIA60802-166</t>
  </si>
  <si>
    <t>R.D. N° 006-2024 DIGDOT/ MINSA</t>
  </si>
  <si>
    <t>HOSPITAL DE APOYO “SAN JAVIER DE BELLAVISTA”</t>
  </si>
  <si>
    <t>Jirón Daniel Alcides Carrión s/n</t>
  </si>
  <si>
    <t>M.C.AIRLE LILIBETH ROJAS MONTOYA</t>
  </si>
  <si>
    <t>hsjb1952@gmail.com</t>
  </si>
  <si>
    <t>M.C. CARLOS FERNANDO BARBOZA MOLTALVO</t>
  </si>
  <si>
    <t>M.C. CARLOS FERNANDO BARBOZA MOLTALVO, TM. ANTHONY PAUL CAJUSOL BOCANEGRA, TM .JUAN FREDY CAPUNAR NECIOSUP, T.M. FELIPE JESUS MUGUERZA ORTIZ</t>
  </si>
  <si>
    <t>N° 2023-0265550, N°2024-0008042</t>
  </si>
  <si>
    <t>PER-BSIA150122-167</t>
  </si>
  <si>
    <t>R.D. N° 008-2024 DIGDOT/ MINSA</t>
  </si>
  <si>
    <t>RS: CORPORACIÓN DE CIRUJANOS PLÁSTICOS SOCIEDAD ANÓNIMA CERRADA, NC: CLÍNICA CORPORACIÓN DE CIRUJANOS PLÁSTICOS</t>
  </si>
  <si>
    <t>Calle General Vidal N°241</t>
  </si>
  <si>
    <t>Andrés Rafael, LA TORRE TRISTÁN</t>
  </si>
  <si>
    <t>andresltt@yahoo.com</t>
  </si>
  <si>
    <t>Hematologo Dulanto Moscoso Luis</t>
  </si>
  <si>
    <t>T.M-BORZA DIAZ EPIFANIA Y T.M-KAMIYA SHIBATA</t>
  </si>
  <si>
    <t>N°2023-0288123</t>
  </si>
  <si>
    <t>PER-BSIA21201-168</t>
  </si>
  <si>
    <t>R.D. N° 009-2024 DIGDOT/ MINSA</t>
  </si>
  <si>
    <t>HOSPITAL DE APOYO CARAZ</t>
  </si>
  <si>
    <t>CARAZ</t>
  </si>
  <si>
    <t>HUAYLAS</t>
  </si>
  <si>
    <t>AVENIDA 9 DE OCTUBRE- CARAZ</t>
  </si>
  <si>
    <t>Fiorela Asuncion RUIZ GONZALES</t>
  </si>
  <si>
    <t>juanychi@gmail.com</t>
  </si>
  <si>
    <t xml:space="preserve">MC.SILVIA ROJAS JOSE MARTIN </t>
  </si>
  <si>
    <t xml:space="preserve">TM.MEDALLA ESPINDOLA VIRGINIO TEOBALDO , BLGOS: CHIROQUE GRANADOS JUANA TEOFILA, SANCHEZ ROBLES LAURA ARMINDA, GUERRERO ANCAJIMA KATIA LUDOVINA, RUIZ FLORES WALTER, CHAMPA TACARPO WILMER GENRY, ROJAS CHERO DANIEL ENRIQUE </t>
  </si>
  <si>
    <t>2023-0259509 y 2024-0012502</t>
  </si>
  <si>
    <t>PER-BSIA150131-169</t>
  </si>
  <si>
    <t>R.D. N° 010-024 DIGDOT/ MINSA</t>
  </si>
  <si>
    <t xml:space="preserve">Ziegler Gutiérrez Otto Enrique Mauro y Nombre Comercial Clínica Ziegler Cirugía Plástica (FALTA RD PARA DAR DE BAJA) </t>
  </si>
  <si>
    <t>AV. GUARDIA CIVIL N°990, URB. CORPAC</t>
  </si>
  <si>
    <t xml:space="preserve">OTTO ENRIQUE MAURO ZIEGLER GUTIERREZ </t>
  </si>
  <si>
    <t>coordinacionadmin@clinicaziegler.com</t>
  </si>
  <si>
    <t>Dra. TATIANA SARAVIA ROMANI</t>
  </si>
  <si>
    <t>TM. RUBI DANIXA MURQUEYTIO DONAYRE, TM. NOEMI MENDOZA MARTINEZ</t>
  </si>
  <si>
    <t>N° 2024-0011095</t>
  </si>
  <si>
    <t>PER-BSIA150114-170</t>
  </si>
  <si>
    <t>R.D. N° 015-2024 DIGDOT/ MINSA</t>
  </si>
  <si>
    <t>CLINICA SAN FELIPE - SEDE LA MOLINA</t>
  </si>
  <si>
    <t>Jr. El Sauce N°235</t>
  </si>
  <si>
    <t>DIRECTOR M.C. JORGE PAZ (976398368) -  jpaz@clinicasanfelipe.com  Y REPRESENTANTE LEGAL PAULA PEDESCOVI</t>
  </si>
  <si>
    <t>pdevescovi@ldd.com.pe</t>
  </si>
  <si>
    <t>Patologo ClinicoJuan Carlos Gómez de La Torre</t>
  </si>
  <si>
    <t xml:space="preserve">-        Tecnóloga Médico: Rosemary Ramírez Fajardo. TM: Stephanie María Diogo Carrilo ,TM: Franklin Serquen García, TM: Rosa Corilloclla Flores, TMCabdy Millosy Blanco Yayes, TM Leyli Beatriz Linares Yomona
</t>
  </si>
  <si>
    <t>Expediente N°2024-0007739 y N°2024-0021123</t>
  </si>
  <si>
    <t>PER-BSIA110101-100</t>
  </si>
  <si>
    <t>R.D. N° 111-2023 DIGDOT/MINSA</t>
  </si>
  <si>
    <t>CLINICA REGIONAL SAC-REGIONAL SAC</t>
  </si>
  <si>
    <t>AV. HUACACHIN S/N COMATRANA</t>
  </si>
  <si>
    <t>SONIA CHOQUE GUTIERREZ</t>
  </si>
  <si>
    <t>clinicaregionalsac@gmail.com</t>
  </si>
  <si>
    <t xml:space="preserve">PATOLOGO CLINICO:Dra.  Alicia Antoinette Arizola Aguado. </t>
  </si>
  <si>
    <t>950999223 (JEFA DE BANCO .S)</t>
  </si>
  <si>
    <t>TECNOLOGOS MEDICOS : Lic. Remis Pascual Jiménez Medina, Lic. Junior Jesús Guevara Hernández</t>
  </si>
  <si>
    <t>N°2023-0058746 y N°2023-0072474</t>
  </si>
  <si>
    <t>PER-BSIA150114-172</t>
  </si>
  <si>
    <t>R.D. N° 011-2024 DIGDOT/ MINSA</t>
  </si>
  <si>
    <t>CLINICA DE LA FAMILIA</t>
  </si>
  <si>
    <t>Jr. Las Caobas N°152</t>
  </si>
  <si>
    <t>DRA. MARGARITA ARRASCUE SOVERO</t>
  </si>
  <si>
    <t>clinicadelafamilia.lamolina@gmail.com</t>
  </si>
  <si>
    <t>DRA. DANITZA MORE YUPANQUI</t>
  </si>
  <si>
    <t xml:space="preserve">-        Tecnólogo Médico: José Mamani, Tecnólogo Médico: Wilder Gonzales, Tecnóloga Médico: Evelyn Roibles, Tecnóloga Médico: Mila Guerrero.
</t>
  </si>
  <si>
    <t>N°2023-0289219, N°2024-0012777 y N°2024-0024541</t>
  </si>
  <si>
    <t>CLINICA JAVIER PRADO</t>
  </si>
  <si>
    <t>PER-BSIA80101-173</t>
  </si>
  <si>
    <t>R.D. N° 014-2024 DIGDOT/ MINSA</t>
  </si>
  <si>
    <t>RS: CLINICA DR. VÍCTOR PAREDES E.I.R.L., NC: DR. VÍCTOR PAREDES</t>
  </si>
  <si>
    <t>Calle Lechugal 405</t>
  </si>
  <si>
    <t>HENRY CHOQUE AGUILAR</t>
  </si>
  <si>
    <t>henrygastro@hotmail.es</t>
  </si>
  <si>
    <t xml:space="preserve">GIANINA LUZ MENDOZA CUSI </t>
  </si>
  <si>
    <t xml:space="preserve">-  Lic. T.M. Camilo Becerra (RESPONSABLE DE CALIDAD 984757691) Lic. TM. Ricardo Santos Salcedo,Lic.TM Zary Zuñiga Almendariz,Martinez,Luxmi Misme Gonzalez
</t>
  </si>
  <si>
    <t>N° 2023-0274060, N° 2024-0010532 y N° 2024-0022369</t>
  </si>
  <si>
    <t>PER-BSIA120401-174</t>
  </si>
  <si>
    <t>R.D. N° 013-2024 DIGDOT/ MINSA</t>
  </si>
  <si>
    <t>HOSPITAL BICENTENARIO JAUJA</t>
  </si>
  <si>
    <t>CALLE HUGO ORELLANA BONILLA S/N</t>
  </si>
  <si>
    <t>FREDI ARNALDO DE LA CRUZ ALVAREZ</t>
  </si>
  <si>
    <t>FREDI.DELACRUZ@ESSALUD.GOB.PE</t>
  </si>
  <si>
    <t>DR. CHRISTIAN CASTRO CONTRERAS</t>
  </si>
  <si>
    <t>981 665 419</t>
  </si>
  <si>
    <t>TM YESSICA MACCAPA ROQUE, TM TESSY SOLIS CASTRO, TM ELEAR ÑAHUINLLA LOPEZ, TM JESUS QUISPE</t>
  </si>
  <si>
    <t>N° 2024-0014162, N° 2024-0021111</t>
  </si>
  <si>
    <t>PER-BSIA60102-175</t>
  </si>
  <si>
    <t>R.D. N.° 016-2024-DIGDOT-MINSA</t>
  </si>
  <si>
    <t>Clínica María Belén</t>
  </si>
  <si>
    <t>avenida Hoyos Rubio número 2397</t>
  </si>
  <si>
    <t>N° 2023-0278560, N° 2023-0289676, N° 2024-0036755</t>
  </si>
  <si>
    <t>PER-BSIA150117-176</t>
  </si>
  <si>
    <t>R.D. N° 017-2024 DIGDOT/ MINSA</t>
  </si>
  <si>
    <t xml:space="preserve"> RAZON SOCIAL CLINICA CORI S.A.C. Y DENOMINADO CLINICA CORI</t>
  </si>
  <si>
    <t>Avenida Carlos Alberto Izaguirre numero 978 manzana L Lote 13,14,15 Urbanización Las Palmeras</t>
  </si>
  <si>
    <t>Juana ANDRADE PILCO</t>
  </si>
  <si>
    <t>andradepilcoj@hotmail.com</t>
  </si>
  <si>
    <t>M.C. PATOLOGO CLINICO Jorge Enrique Yupanqui Sandoval</t>
  </si>
  <si>
    <t>Patologo Clinico: Jorge Enrique Yupanqui Sandoval, T.M. Braulio André Córdova Gómez.</t>
  </si>
  <si>
    <t>N° 2024-0020704, N° 2024- 0036363, N° 2024- 0043495 y N° 2024- 0045765</t>
  </si>
  <si>
    <t>PER-BSIA150140-177</t>
  </si>
  <si>
    <t>R.D. N° 018-2024 DIGDOT/ MINSA</t>
  </si>
  <si>
    <t>EN PROCESO</t>
  </si>
  <si>
    <t>Clínica de Cirugía Plástica Dr. Jesús López</t>
  </si>
  <si>
    <t>Avenida Alejandro Velasco Astete N° 1958 Urb. La Alborada</t>
  </si>
  <si>
    <t xml:space="preserve">JESUS LOPEZ ARGOTE </t>
  </si>
  <si>
    <t>SEGUIMIENTO DE RENIPRESS Y SUSPENSIONES (TEMPORALES/DEFINITIVAS)</t>
  </si>
  <si>
    <t>lopezje38@hotmail.com</t>
  </si>
  <si>
    <t xml:space="preserve">PATOLOGO CLINICO MARISOL SULLCA SOTO </t>
  </si>
  <si>
    <t>984 123 940</t>
  </si>
  <si>
    <t>TM. EPIFANIA BORDA DIAZ</t>
  </si>
  <si>
    <t>N° 2024-0016474 y 2024-0039378</t>
  </si>
  <si>
    <t>PER-BSIA40103-178</t>
  </si>
  <si>
    <t>R.D. N° 020-2024 DIGDOT/ MINSA</t>
  </si>
  <si>
    <t>CLINICA FLOREZ SALUD S.R.L</t>
  </si>
  <si>
    <t>AV. TRINIDAD MORAN MZ. A LT. 12 CAYMA</t>
  </si>
  <si>
    <t>JAVIER JOSE CORIMANYA FLOREZ</t>
  </si>
  <si>
    <t>JAVIERJOSEJCF0311@HOTMAIL.COM</t>
  </si>
  <si>
    <t>PATOLOGO CLINICO . ROBERTO ALEJANDRO ANGULO GUTIERREZ</t>
  </si>
  <si>
    <t>Bióloga: Thalía Melissa Miranda Arpasi., T.M. Tatiana Leon Salazar, T.M. Belen Gama Zuñiga, T.M. Milagros Begazo Molleapasa, T.M. Jesus Apaza Condori</t>
  </si>
  <si>
    <t>N°2024-0026874, N°2024-0039585 y N° 2024-0049986</t>
  </si>
  <si>
    <t>#</t>
  </si>
  <si>
    <t>PER-BSIA10201-179</t>
  </si>
  <si>
    <t>R.D. N° 024-2024 DIGDOT/ MINSA</t>
  </si>
  <si>
    <t>REGISTRO</t>
  </si>
  <si>
    <t>HOSPITAL I HÉROES DEL CENEPA</t>
  </si>
  <si>
    <t>TIPO BS</t>
  </si>
  <si>
    <t>Jiron Lambayeque N° 517</t>
  </si>
  <si>
    <t>ACTO RESOLUTIVO DE AS</t>
  </si>
  <si>
    <t>M,C, FREDDY LUIS CHUQUIPOMA LESCANO</t>
  </si>
  <si>
    <t>FECHA DE RD</t>
  </si>
  <si>
    <t>fredy.chiquipoma@essalud.gob.pe</t>
  </si>
  <si>
    <t>MÉDICO CIRUJANO CAPACITADO EN BS GINO PAOLI TARAZONA RUÍZ</t>
  </si>
  <si>
    <t xml:space="preserve">T,M, JOSE GUILLERMO SAMAME CESPEDES, T.M. JUANITA BURGA MENDOZA, T.M. CARLOS RAUL MARTINEZ RIVAS, T.M. JAMES DENG JIMENEZ LLUEN, T.M. LUZMILA MONSALVE SERVA, T.M. LOUREDE HUANCA PERALTA, </t>
  </si>
  <si>
    <t>PLAZO DE 3 MESES</t>
  </si>
  <si>
    <t>N° 2024-0037577</t>
  </si>
  <si>
    <t>HOSPITAL GUSTAVO LANNATA LUJAN</t>
  </si>
  <si>
    <t xml:space="preserve">Mediante Nota N° 00203-2024-HIHC-ESSALUD-BAGUA-JADxyTto, de fecha 03 de mayo de 2024, el Jefe de Ayuda al Diagnóstico del Hospital Héroes de Cenepa - Bagua, comunica al Director del Hospital Heroes de Cenepa con atención a la DIGDOT, el convenio para el abastecimiento con la IPRESS Hospital Gustavo Lanatta Luján que cuenta con Banco de Sangre tipo II. Ambos cuenta con Autorización Sanitaria de Funcionamiento. </t>
  </si>
  <si>
    <t>DEPENDENCIA</t>
  </si>
  <si>
    <t>PER-BSIA150116-180</t>
  </si>
  <si>
    <t>R.D. N° 022-2024 DIGDOT/ MINSA</t>
  </si>
  <si>
    <t>CIUDAD</t>
  </si>
  <si>
    <t>ACTO RESOLUTIVO DE SUSPENSION</t>
  </si>
  <si>
    <t>Nombre Comercial LIMA QLINIC y razón social CORPORACION MASTER MEDIC S.A.C.</t>
  </si>
  <si>
    <t>ENCARGADO</t>
  </si>
  <si>
    <t>Av. Abel Bergasse Du Petit Thouars N°2426</t>
  </si>
  <si>
    <t>QUEZADA ARCIFA Moises Elder Esteban</t>
  </si>
  <si>
    <t>limaqlinicperu@gmail.com</t>
  </si>
  <si>
    <t>PATOLOGO CLINICO Alejandro Barbaran Arévalo</t>
  </si>
  <si>
    <t xml:space="preserve">T.M. Roberto Gonzales Herrera. T.M. Carlos Enrique Herbias Fajardo.
</t>
  </si>
  <si>
    <t>IA</t>
  </si>
  <si>
    <t>N° 2024-0058781 y N° 2024-0072915</t>
  </si>
  <si>
    <t>PER-BSIA10701-181</t>
  </si>
  <si>
    <t>R.D. N° 023-2024 DIGDOT/ MINSA</t>
  </si>
  <si>
    <t>HOSPITAL EL BUEN SAMARITANO CON RAZON SOCIAL  SEGURO SOCIAL DE SALUD</t>
  </si>
  <si>
    <t>BAGUA GRANDE</t>
  </si>
  <si>
    <t>UTCUBAMBA</t>
  </si>
  <si>
    <t>JR. ANGAMOS  N° 990</t>
  </si>
  <si>
    <t>LETY IDELZA CUMPA DAVILA</t>
  </si>
  <si>
    <t>lety.cumpa@esalud.gob.pe</t>
  </si>
  <si>
    <t>PATOLOGO CLINICO : CARLOS ENRIQUE CERVERA  NORIEGA</t>
  </si>
  <si>
    <t>.M. Luis Antonio  Cruz Picón, T.M. Mabel Figueroa Reymundo, T.M.Anthony Correa Ortiz, T.M.Lesli Mestanza Ramírez, Blgo. Miriam Rivero Fernández Baca, T.M.Keyla Cubas Castillo</t>
  </si>
  <si>
    <t>N° 2024-0048724 y N° 2024-0051886</t>
  </si>
  <si>
    <t>HOSPITAL GUSTAVO LANNATA LUJAN (mediante Oficio N° 015-DIR-HIIEBS-RAAM-ESSALUD-2024 de fecha 23 de mayo del 2024 el Hospital I El buen Samaritano de EsSalud remite el convenio firmado con el Hospital Gustavo Lanatta Lujan de fecha 10-03-24)</t>
  </si>
  <si>
    <t>BAJA PROVISIONAL - RETIRO VOLUNTARIO DE IPRESS-06/11/2024</t>
  </si>
  <si>
    <t>PER-BSIA150108-182</t>
  </si>
  <si>
    <t>R.D. N° 028-2024 DIGDOT/ MINSA</t>
  </si>
  <si>
    <t xml:space="preserve"> CLINICA REAL LOS LAURELES SAC y Nombre Comercial CLINICA REAL LOS LAURELES</t>
  </si>
  <si>
    <t>Calle Armando Cambana N°279 Mz X Lt 16 Urb. Los Laureles</t>
  </si>
  <si>
    <t>ROMULO CONTRERAS GAMIO (GERENTE)</t>
  </si>
  <si>
    <t>clinica-realll@hotmail.com</t>
  </si>
  <si>
    <t>TM Valera Hurtado Bruno Ernesto, TM Cardenas Espinoza Luz Estefania, TM Gabriel Orellana Orizano.</t>
  </si>
  <si>
    <t>R.D. N° 004-2022 DIGDOT/MINSA</t>
  </si>
  <si>
    <t>N°2023-0267486, 2024-0000563, 2024-0011791, y 2024-0063811</t>
  </si>
  <si>
    <t>SUSPENSION DEFINITIVA</t>
  </si>
  <si>
    <t>PER-BSIA130101-183</t>
  </si>
  <si>
    <t>R.D. N° 025-2024 DIGDOT/ MINSA</t>
  </si>
  <si>
    <t>GERESA LA  LIBERTAD</t>
  </si>
  <si>
    <t>CLÍNICA INSTITUTO ONCOLÓGICO PERUANO S.A.C.</t>
  </si>
  <si>
    <t>Razón social es EMPRESA DE SERVICIOS MEDICOS CRISTO REDENTOR S.A.C, con Nombre Comercial “CRISTO REDENTOR”</t>
  </si>
  <si>
    <t>R.D. N° 004-2022 DIGDOT/MINSA R.D. N° 016-2025 DIGDOT/MINSA</t>
  </si>
  <si>
    <t>Calle Blas Pascal N°332 – Urb. La Noria</t>
  </si>
  <si>
    <t>CESAR GONZALES MORENO (GERENTE)</t>
  </si>
  <si>
    <t>administracion@clinicacristoredentor.com</t>
  </si>
  <si>
    <t>PATOLOGO CLINICO : Karla Lucia Novoa Pérez</t>
  </si>
  <si>
    <t xml:space="preserve">TM.  Yonny William Tamayo Rebaza TM. Blanca Flor Rojas Castillo  TM. Karla Gabriela Fernandez Saavedra </t>
  </si>
  <si>
    <t>N°2024-0029847,N°2024-0042898, N°2024-0075784</t>
  </si>
  <si>
    <t xml:space="preserve">POR REGULARIZAR </t>
  </si>
  <si>
    <t>LIC. T.M. GOMEZ</t>
  </si>
  <si>
    <t>PER-BSIA200701-184</t>
  </si>
  <si>
    <t>R.D. N° 030-2024 DIGDOT/ MINSA</t>
  </si>
  <si>
    <t>ADMINISTRADORA CLINICA TRESA</t>
  </si>
  <si>
    <t>AVENIDA A-108 B</t>
  </si>
  <si>
    <t xml:space="preserve">DOCUMENTOS EMITIDOS AL AREA LEGAL </t>
  </si>
  <si>
    <t>MARCELLA ALICIA TRELLES MEDINA</t>
  </si>
  <si>
    <t xml:space="preserve"> marcelatrelles@clinicatresa.com 959101832</t>
  </si>
  <si>
    <t>M.C. JOSE TOMAS RUBIO GUEVARA</t>
  </si>
  <si>
    <t xml:space="preserve">TM. WILMER VEGA SERNAQUE, GIRON NONAJULCA YASMINA DEL CRISTAL, BLGO.MARLENE DEL PILAR TALLEDO PANTA </t>
  </si>
  <si>
    <t>Expedientes N° 2024-0059575 y N° 2024-0086907</t>
  </si>
  <si>
    <t>RS: CLINICA LAS CONDES SAC, NC: LAS CONDES DEL SUR</t>
  </si>
  <si>
    <t>PER-BSIA200104-185</t>
  </si>
  <si>
    <t>R.D. N° 029-2024 DIGDOT/ MINSA</t>
  </si>
  <si>
    <t>R.D. N° 022-2023 DIGDOT/MINSA R.D. N° 054-2024 DIGDOT/MINSA</t>
  </si>
  <si>
    <t>03/02/2023 28/08/2024</t>
  </si>
  <si>
    <t>Nombre comercial CLINICA NORSALUD y razón social CORPORACIÓN MÉDICA SAN IGNACIO DE LOYOLA S.A.C.</t>
  </si>
  <si>
    <t>Avenida Ramón Castilla número 365-371</t>
  </si>
  <si>
    <t>Corporación Médica San Martín SAC- CORPOMEDIC SAC</t>
  </si>
  <si>
    <t>M.C. SANTOS ALFONSO CASTILLO PATIÑO</t>
  </si>
  <si>
    <t>cnorsalud@gmail.com</t>
  </si>
  <si>
    <t>Patologo Clinico Edgar Joel Ancajima More</t>
  </si>
  <si>
    <t xml:space="preserve">T.M. Vanessa Ivon Panta Cruz, T.M. Rosmery Saavedra Santiago, T.M. Cesar Luis Siancas Reto, T.M. Geraldine Garces Gonzales
</t>
  </si>
  <si>
    <t>LIC. T.M.  GOMEZ</t>
  </si>
  <si>
    <t>N° 2024-0059341 y N° 2024-0083489</t>
  </si>
  <si>
    <t>R.D. N° 042-2023 DIGDOT/MINSA R.D. N° 064-2024 DIGDOT/MINSA</t>
  </si>
  <si>
    <t>20/02/2023 17/09/2024</t>
  </si>
  <si>
    <t>PER-BSIA40126-186</t>
  </si>
  <si>
    <t># DE REVISIONES LEGAL</t>
  </si>
  <si>
    <t>R.D. N° 035-2024 DIGDOT/ MINSA</t>
  </si>
  <si>
    <t xml:space="preserve">CLÍNICA PAULISTA DEL PERÚ S.A.C.- CLÍNICA PAULISTA </t>
  </si>
  <si>
    <t>Nombre comercial OFTALMOLOGIA AVANZADA y razón social CENTRO AVANZADO EN CIRUGIA OFTALMOLOGICA CHICATA S.A.C</t>
  </si>
  <si>
    <t># DE REVISIONES AUTORIZACION</t>
  </si>
  <si>
    <t>Calle León Velarde n° 116 Urb. Los Claveles Sección 2</t>
  </si>
  <si>
    <t>Claudia Aparecida DE OLIVEIRA CHICATA (GERENTE)</t>
  </si>
  <si>
    <t>jhordanroze@gmail.com - 949150406</t>
  </si>
  <si>
    <t>Dr. Leonardo Chirinos Ramos</t>
  </si>
  <si>
    <t>Tecnólogo medico Lic. Roxana Chirinos Pimentel, Tecnólogo medico Lic. Luz Aracely Galindo Rodríguez</t>
  </si>
  <si>
    <t>Expedientes N° 2024-0056511, 2024-0089679 y 2024-0109323</t>
  </si>
  <si>
    <t>NO CONSIGNA CATEGORIA</t>
  </si>
  <si>
    <t>PER-BSIA90118-187</t>
  </si>
  <si>
    <t>R.D. N° 036-2024 DIGDOT/ MINSA</t>
  </si>
  <si>
    <t xml:space="preserve">AREA LEGAL </t>
  </si>
  <si>
    <t>HOSPITAL II HUANCAVELICA</t>
  </si>
  <si>
    <t>FECHA  ENVIO</t>
  </si>
  <si>
    <t>FECHA RESP.</t>
  </si>
  <si>
    <t>ASCENSIÓN</t>
  </si>
  <si>
    <t>PROFESIONAL</t>
  </si>
  <si>
    <t>Av. Felix Crispin Vargas S/N</t>
  </si>
  <si>
    <t>MEDIO</t>
  </si>
  <si>
    <t>M.C.  ANGEL ANIBAL SANCHEZ JAIME</t>
  </si>
  <si>
    <t xml:space="preserve">ASUNTO </t>
  </si>
  <si>
    <t>1RA</t>
  </si>
  <si>
    <r>
      <rPr>
        <rFont val="Calibri"/>
        <sz val="11.0"/>
      </rPr>
      <t>angel,sanchezj@essalud.</t>
    </r>
    <r>
      <rPr>
        <rFont val="Calibri"/>
        <color rgb="FF1155CC"/>
        <sz val="11.0"/>
        <u/>
      </rPr>
      <t>gob.pe</t>
    </r>
  </si>
  <si>
    <t>2DO</t>
  </si>
  <si>
    <t>3ER</t>
  </si>
  <si>
    <t>4TO</t>
  </si>
  <si>
    <t>R.D. N° 061-2023 DIGDOT/MINSA R.D. N° 056-2024 DIGDOT/MINSA</t>
  </si>
  <si>
    <t>1RA 2</t>
  </si>
  <si>
    <t>07/03/2023 05/09/2024</t>
  </si>
  <si>
    <t>M.C GENERAL WILDER COMUN SALAS</t>
  </si>
  <si>
    <t>910 064 789</t>
  </si>
  <si>
    <t>2DO 2</t>
  </si>
  <si>
    <t xml:space="preserve">CLINICA MATERNO INFANTIL DEL NORTE S.A. </t>
  </si>
  <si>
    <t>3ER 2</t>
  </si>
  <si>
    <t>4TO 2</t>
  </si>
  <si>
    <t xml:space="preserve">OBSERVACION </t>
  </si>
  <si>
    <r>
      <rPr>
        <rFont val="Calibri"/>
        <color rgb="FF000000"/>
        <sz val="11.0"/>
      </rPr>
      <t xml:space="preserve">T.M.  CALIDAD: </t>
    </r>
    <r>
      <rPr>
        <rFont val="Calibri"/>
        <b/>
        <color rgb="FF000000"/>
        <sz val="11.0"/>
      </rPr>
      <t>EFRAIN ILLANES TAIPE</t>
    </r>
    <r>
      <rPr>
        <rFont val="Calibri"/>
        <color rgb="FF000000"/>
        <sz val="11.0"/>
      </rPr>
      <t>, T</t>
    </r>
    <r>
      <rPr>
        <rFont val="Calibri"/>
        <b/>
        <color rgb="FF000000"/>
        <sz val="11.0"/>
      </rPr>
      <t>,M MARCELA LOZA VARGAS</t>
    </r>
    <r>
      <rPr>
        <rFont val="Calibri"/>
        <color rgb="FF000000"/>
        <sz val="11.0"/>
      </rPr>
      <t xml:space="preserve">, </t>
    </r>
    <r>
      <rPr>
        <rFont val="Calibri"/>
        <b/>
        <color rgb="FF000000"/>
        <sz val="11.0"/>
      </rPr>
      <t>T,M, JESUS TICSE ORELLANA</t>
    </r>
    <r>
      <rPr>
        <rFont val="Calibri"/>
        <color rgb="FF000000"/>
        <sz val="11.0"/>
      </rPr>
      <t xml:space="preserve">, T.M. LICET QUINTO MORALES, T.M SHAROL ZUÑIGA MARTINEZ, </t>
    </r>
    <r>
      <rPr>
        <rFont val="Calibri"/>
        <b/>
        <color rgb="FF000000"/>
        <sz val="11.0"/>
      </rPr>
      <t>T.M. SOLY CUNO CACERES</t>
    </r>
    <r>
      <rPr>
        <rFont val="Calibri"/>
        <color rgb="FF000000"/>
        <sz val="11.0"/>
      </rPr>
      <t xml:space="preserve">, T.M. JHOAN ROSALES CASAS, </t>
    </r>
    <r>
      <rPr>
        <rFont val="Calibri"/>
        <b/>
        <color rgb="FF000000"/>
        <sz val="11.0"/>
      </rPr>
      <t>T.M. JORGE MAGNO PALOMINO</t>
    </r>
  </si>
  <si>
    <t>N° 2024-0119668, N° 2024-0123940</t>
  </si>
  <si>
    <t>Hospital Nacional RAMIRO PRIALE PRIALE DE HUANCAYO</t>
  </si>
  <si>
    <t>PER-BSIA130101-188</t>
  </si>
  <si>
    <t>R.D. N° 034-2024 DIGDOT/ MINSA                                              R.D. N.° 081-2025-DIGDOT-MINSA</t>
  </si>
  <si>
    <t>30/05/2024                17/06/2025</t>
  </si>
  <si>
    <t>05/06/2024
23/06/2025</t>
  </si>
  <si>
    <t>CIRUGIA PLASTICA LOPEZ y razón social LOPEZ AGUINAGA SORAYA ELENA (SUSPENSIÓN DEFINITIVA)</t>
  </si>
  <si>
    <t>Calle Argentina N° 150 - Urb. Recreo</t>
  </si>
  <si>
    <t>M.C. Soraya Elena LOPEZ AGUINAGA</t>
  </si>
  <si>
    <t>LIC. VILCHEZ</t>
  </si>
  <si>
    <t>cirugiaplasticalopez1@gmail.com</t>
  </si>
  <si>
    <t>PATOLOGO CLINICA: ISEL ELIDE HUERTA CORONEL</t>
  </si>
  <si>
    <t>948 330 422</t>
  </si>
  <si>
    <t xml:space="preserve">TM: RUIZ JULCA DIANA ELIZET, MILAGROS MACO LEON, YOVANA ELIZABETH HUARIAPATA VASQUEZ </t>
  </si>
  <si>
    <t>CORREO</t>
  </si>
  <si>
    <t>2024-0085560 y 2024-0107498</t>
  </si>
  <si>
    <t>SUSPENSION TEMPORAL</t>
  </si>
  <si>
    <t xml:space="preserve">MEDICENTRO SAN MARCOS </t>
  </si>
  <si>
    <t xml:space="preserve">VB </t>
  </si>
  <si>
    <t>PER-BSIA80901-189</t>
  </si>
  <si>
    <t>R.D. N° 045-2024 DIGDOT/ MINSA</t>
  </si>
  <si>
    <t>NC: SR DE TORRECHAYOC RS: CLINICA SR DE TORRECHAYOC EIRL</t>
  </si>
  <si>
    <t>JR 25 DE JULIO B-15 DISTRITO DE SANTA ANA</t>
  </si>
  <si>
    <t>M.C. OLMER MAMANI MOLINA</t>
  </si>
  <si>
    <t>clinicatorrechayoc@gmail.com</t>
  </si>
  <si>
    <t>PC: EFRAIN SENCIA VALENCIA</t>
  </si>
  <si>
    <t>984596477 (GERENTE GENERAL)</t>
  </si>
  <si>
    <t>BIOLOGOS: Dina Torres vilca, Paola Elorrieta Mamani, Edith Quibio Aragón.</t>
  </si>
  <si>
    <t>N° 2024-0077649, N° 2024-0161840 Y N° 2024-0165904</t>
  </si>
  <si>
    <t>PER-BSIA160101-190</t>
  </si>
  <si>
    <t>R.D. N° 040-2024 DIGDOT/ MINSA                       R.D. N.° 117-2025-DIGDOT-MINSA</t>
  </si>
  <si>
    <t>26/06/2024                      03/10/2025</t>
  </si>
  <si>
    <t>08/07/2024
06/10/2025</t>
  </si>
  <si>
    <t>RS: SERVICIOS MEDICOS GENERALES SAN JUAN SRL - NC: CLINICA SAN JUAN (SUSPENSIÓN DEFINITIVA)</t>
  </si>
  <si>
    <t>CALLE RICARDO PALMA N° 838</t>
  </si>
  <si>
    <t>M.C. KEVIN PATRICIO LOPEZ LOPÉZ</t>
  </si>
  <si>
    <t>talentohumano@sangsanjuan.pe</t>
  </si>
  <si>
    <t>PATOLOGO CLINICO : RENZO LOPEZ LIÑAN</t>
  </si>
  <si>
    <t>Lic. T.M. Viviana Pinedo, Lic. T. M. Jesus Hernandez, Lic. T.M. Jose Ríos.</t>
  </si>
  <si>
    <t>D1 02/09</t>
  </si>
  <si>
    <t>N° 2024-0115358 ,N° 2024-0117580, N° 2024-0137284</t>
  </si>
  <si>
    <t>D2 02/09</t>
  </si>
  <si>
    <t>PER-BSIA150133-191</t>
  </si>
  <si>
    <t>D3 02/09</t>
  </si>
  <si>
    <t>R.D. N° 039-2024 DIGDOT/ MINSA</t>
  </si>
  <si>
    <t>VB 02/09</t>
  </si>
  <si>
    <t>RS: ASOCIACION MILAGRO DEL DIVINO NIÑO JESUS NC: CLINICA DIVINO NIÑO JESUS</t>
  </si>
  <si>
    <t>JR. ISMAEL ESCOBAR N° 329</t>
  </si>
  <si>
    <t>SR. CHRISTIAN  FERNANDEZ SANCHEZ</t>
  </si>
  <si>
    <t>direcciongeneral@cdnj.com.pe</t>
  </si>
  <si>
    <t>PATOLOGA CLINICA: MILAGROS RAMIREZ DANIERL LEIVA</t>
  </si>
  <si>
    <t>Lic. T.M. Carla  Perdomo Ruggiero, Lic. T. M. Angela Romero Quiñones,Lic. T.M. Esther Vivas Calderón,Lic.T.M. David Velásquez Pasapera y Lic.T.M. Yrbelis López Morillo.</t>
  </si>
  <si>
    <t>N° 2024-0093855, N° 2024- 0107820 Y 2024- 0141265</t>
  </si>
  <si>
    <t>PER-BSIA140101-192</t>
  </si>
  <si>
    <t>R.D. N° 041-2024 DIGDOT/ MINSA</t>
  </si>
  <si>
    <t>LIC. RUFASTO</t>
  </si>
  <si>
    <t>SUSPENSION TEMPORAL (BS I A)</t>
  </si>
  <si>
    <t>CLINICA GAXAY</t>
  </si>
  <si>
    <t>BM CLINICA MENDOZA SAC</t>
  </si>
  <si>
    <t>AV SESQUICENTENARIO 416-URB SANTA VICTORIA</t>
  </si>
  <si>
    <t>BENJAMIN MENDOZA LOPEZ</t>
  </si>
  <si>
    <t>D 25/08/25</t>
  </si>
  <si>
    <t>administracion@bmclinica.com</t>
  </si>
  <si>
    <t>VB 01/09</t>
  </si>
  <si>
    <t>PATOLOGO CLINICO : FERNANDO CHAPOÑAN MENDOZA</t>
  </si>
  <si>
    <t>TM FRANCISCO COBEÑAS BANCES,YVETT YAIPEN FLORES,EDWAR RAFAEL DIAZ,LUIS ALBERTO GALLARDO MENDOZA,ROBERTO SILVA NAVAL</t>
  </si>
  <si>
    <t>R.D. N° 083-2023 DIGDOT/MINSA R.D. N° 043-2024 DIGDOT/MINSA</t>
  </si>
  <si>
    <t>30/03/2023 10/07/2024</t>
  </si>
  <si>
    <t>N 2024-0130022-0136469-0128131</t>
  </si>
  <si>
    <t>PER-BSIA30101-193</t>
  </si>
  <si>
    <t>R.D. N° 046-2024 DIGDOT/ MINSA</t>
  </si>
  <si>
    <t>Clínica Dr. Vitor Empresa Individual de Responsabilidad Limitada – Centro Traumatológico Dr. Vitor</t>
  </si>
  <si>
    <t>LO GENERO MC. FERNANDEZ CON RD</t>
  </si>
  <si>
    <t>CLINICA SANTA TERESA</t>
  </si>
  <si>
    <t>AV. ENRIQUE PELACH S/N</t>
  </si>
  <si>
    <t xml:space="preserve">GERENTE GENERAL CRISTINA MARIA VIDAL ZAPATERO </t>
  </si>
  <si>
    <t>crisvidalzapatero@gmail.com</t>
  </si>
  <si>
    <t xml:space="preserve">PATÓLOGO CLÍNICO DIANIRA LEON SIERRA </t>
  </si>
  <si>
    <t>DRA. MACETAS</t>
  </si>
  <si>
    <t>BLGO. RAMIREZ VARGAS DIEGO HEYSSER</t>
  </si>
  <si>
    <t>N° 2024-0129237, 2024-0161366</t>
  </si>
  <si>
    <t>DOCUMENTO DE APROBACION MG</t>
  </si>
  <si>
    <t>MAISON DE SANTE ESTE</t>
  </si>
  <si>
    <t>PER-BSIA150140-194</t>
  </si>
  <si>
    <t>R.D. N° 048-2024 DIGDOT/ MINSA</t>
  </si>
  <si>
    <t>SAN MARTIN PLASTICA &amp; ESTETICA EIRL</t>
  </si>
  <si>
    <t>Calle Brea y Pariñas N°109-111, Urb. Tambo de Monterrico</t>
  </si>
  <si>
    <t>M.C. EDUARDO LESCANO MANAY</t>
  </si>
  <si>
    <t>e_lescano24@hotmail.com</t>
  </si>
  <si>
    <t>PATÓLOGO CLÍNICO Christian Enrique Hurtado Tacuri</t>
  </si>
  <si>
    <t>955647808 (DIRECTOR)</t>
  </si>
  <si>
    <t xml:space="preserve">T.M. Ruby Danixa Murgueytio Donayre, T.M. María Chuchon Yucra.
</t>
  </si>
  <si>
    <t xml:space="preserve">N° 2024- 0140547, N° 2024- 0162841, N° 2024-  0163955 y N° 2024- 0179405
</t>
  </si>
  <si>
    <t>PER-BSIA80601-082</t>
  </si>
  <si>
    <t>PER-BSIA60801-195</t>
  </si>
  <si>
    <t>R.D. N° 051-2024 DIGDOT/ MINSA</t>
  </si>
  <si>
    <t>RECTIFICACION DE RD</t>
  </si>
  <si>
    <t xml:space="preserve">CLINICA EBENEZER, RS: CENTRO MEDICO OBSTETRICO EBENEZER SAC </t>
  </si>
  <si>
    <t>HOSPITAL DE SICUANI (ALFREDO CALLO RODRIGUEZ)</t>
  </si>
  <si>
    <t>No Amerita</t>
  </si>
  <si>
    <t>CALLE GARCILAZO DE LA VEGA N° 407</t>
  </si>
  <si>
    <t>LUZ AMPARITO IPARRAGUIRRE AREVALO</t>
  </si>
  <si>
    <t>CAMBIO DE DE NOMBRE CON RD 16/04/2024</t>
  </si>
  <si>
    <t xml:space="preserve">clinicaebenezerjaen@gmail.com </t>
  </si>
  <si>
    <t>PATOLOGO CLINICO OSCAR MITCHEL ZAPATA YAMUNAQUE</t>
  </si>
  <si>
    <t>TM. JOHN EDUARD OTINIANO MOYA, ANYELA DIAZ FALLA, HLDA ALTAMIRANO VASQUEZ, SHEYLA LUCERO ARTEAGA DIAZ</t>
  </si>
  <si>
    <t xml:space="preserve">MC.MACETAS </t>
  </si>
  <si>
    <t>2024-0082494, 2024-0109254 y 2024-0171023</t>
  </si>
  <si>
    <t>PER-BSIA150101-196</t>
  </si>
  <si>
    <t>R.D. N° 049-2024 DIGDOT/ MINSA</t>
  </si>
  <si>
    <t>PIRPALAP SOCIEDAD ANONIMA CERRADA Y CON NOMBRE COMERCIAL HOSPITAL MEGASALUD UNIVERSAL</t>
  </si>
  <si>
    <t>AV. EMANCIPACION N° 785, 791 Y 799</t>
  </si>
  <si>
    <t>GG: M.C. CARLOS RICSE CATAÑO</t>
  </si>
  <si>
    <t>PATOLOGO CLINICO . HELAR GALLEGOS  SEGUNDO</t>
  </si>
  <si>
    <t>TM. STEFFFY JO, TM. LUIS ASTETE</t>
  </si>
  <si>
    <t>LEVANTAMIENTO DE SUSPENSIÓN TEMPORAL (BS I A)</t>
  </si>
  <si>
    <t>CLINICA HERNANI</t>
  </si>
  <si>
    <t>2024-0176394 Y ...</t>
  </si>
  <si>
    <t>VB</t>
  </si>
  <si>
    <t>PER-BSIA130601-197</t>
  </si>
  <si>
    <t>R.D. N° 053-2024 DIGDOT/ MINSA</t>
  </si>
  <si>
    <t>VB 25/08/25</t>
  </si>
  <si>
    <t>NC: Centro Materno Infantil Jose Carlos Mariátegui Y RAZON SOCIAL: Unidad Ejecutora del Pliego 011 Ministerio de Salud-Dirección de Redes Integradas de Salud Lima Sur</t>
  </si>
  <si>
    <t>HOSPITAL DE APOYO OTUZCO ELPIDIO BEROVIDES PEREZ</t>
  </si>
  <si>
    <t>OTUZCO</t>
  </si>
  <si>
    <t>JIRON PROGRESO N°385</t>
  </si>
  <si>
    <t>ANIBAL MARTIN CAMPOS CAPRISTAN</t>
  </si>
  <si>
    <t>PATOLOGA LESLY TACANGA</t>
  </si>
  <si>
    <t>TM LAYZA ESPINOZA DAVID,BLGA KATHERINE ZAPATA CABAÑAS, TM VERONIKA ALMONTE VARGAS,TM DIANA RUIS JULCA.</t>
  </si>
  <si>
    <t>RS: Seguro Social de Salud, NC: Hospital I Samuel Pastor de Camaná ESSALUD</t>
  </si>
  <si>
    <t xml:space="preserve">Expediente N°2024-0160400, N°2024-0177573, N°2024-0160400 </t>
  </si>
  <si>
    <t>PER-BSIA150131-198</t>
  </si>
  <si>
    <t>R.D. N° 052-2024 DIGDOT/ MINSA</t>
  </si>
  <si>
    <t>CLINICA CAMINO REAL</t>
  </si>
  <si>
    <t>DR. CELADA</t>
  </si>
  <si>
    <t>Calle Los Olivos N°370 Urb. El Rosario</t>
  </si>
  <si>
    <t>CONVENIO ENTRE PERUANO JAPONESA (AS) Y CLINICA EL PORVENIR (SIN AS)</t>
  </si>
  <si>
    <t xml:space="preserve">   </t>
  </si>
  <si>
    <t>DANIEL BEDOYA MISSANI</t>
  </si>
  <si>
    <t>i-3</t>
  </si>
  <si>
    <t>asistente.administrativi@caminoreal.com</t>
  </si>
  <si>
    <t>BRAYAN GALVEZ MARTICORENA (ya no es, envio carta)</t>
  </si>
  <si>
    <t>Lic. TM. Esthefany Salazar Gonzales,-Lic.TM Milagros Espinoza Valdivia,Lic, T.M.Renso Espinoza Romero</t>
  </si>
  <si>
    <t>N° 2023-0152090, N° 2024-0167266 y N° 2024-0174566 y N°2024-189529</t>
  </si>
  <si>
    <t>R.D. N° 034-2024 DIGDOT/ MINSA</t>
  </si>
  <si>
    <t>PER-BSIA110101-159</t>
  </si>
  <si>
    <t>R.D. N° 002-2024 DIGDOT/ MINSA</t>
  </si>
  <si>
    <t>Clínica de Cirugía Plástica Lopez Aguinaga Soraya Elena</t>
  </si>
  <si>
    <t>R.D. N° 034-2024 DIGDOT/MINSA                                R.D. N° 081-2025 DIGDOT/MINSA</t>
  </si>
  <si>
    <t>CLINICA DE ICA DR. JULIO TATAJE BARRIGA SRL</t>
  </si>
  <si>
    <t>LIC.HUARCAYA</t>
  </si>
  <si>
    <t>AVENIDA CONDE DE NIEVA N° 360 - URBANIZACION LUREN</t>
  </si>
  <si>
    <t>JULIO ZENON TATAJE BARRIGA</t>
  </si>
  <si>
    <t>laclinicadeica@gmail.com</t>
  </si>
  <si>
    <t>MC.JUDITH CHOQUE MIRANDA MAXIMA (informa que ya no)</t>
  </si>
  <si>
    <t>TM: ASCOY SAUCEDO MIGUEL ANGEL, DANIEL FERNANDO MEJIA ROBLES, YETTI RODRIGUEZ WEISSELBERGER, JUNIOR JESUS GUEVARA HERNANDEZ</t>
  </si>
  <si>
    <t>N°2023-0217549, 2023-0226996 y 2023-0260083</t>
  </si>
  <si>
    <t xml:space="preserve">HOSPITAL II HUANCAVELICA </t>
  </si>
  <si>
    <t xml:space="preserve">R.D. N° D000133-2024 -DIGDOT-MINSA                              </t>
  </si>
  <si>
    <t>PER-BSIA220106-200</t>
  </si>
  <si>
    <t>R.D. N° 068-2024 DIGDOT/ MINSA</t>
  </si>
  <si>
    <t>PER-BSIA110101-199</t>
  </si>
  <si>
    <t>R.D. N° 066-2024 DIGDOT/ MINSA</t>
  </si>
  <si>
    <t xml:space="preserve">DIRESA SAN MARTIN </t>
  </si>
  <si>
    <t>NC: CLINICA YANTALO - RS: CLINICA DOCENTE ADELINA SOPLIN SAC</t>
  </si>
  <si>
    <t>YANTALO</t>
  </si>
  <si>
    <t xml:space="preserve">DRA.CABRERA </t>
  </si>
  <si>
    <t>AV. SANTA ROSA S/N KM 9.5</t>
  </si>
  <si>
    <t>SGD</t>
  </si>
  <si>
    <t xml:space="preserve">JORGE ANTONIO SCLEN RAMOS </t>
  </si>
  <si>
    <t xml:space="preserve">RD OTORGAMIENTO DE AS </t>
  </si>
  <si>
    <t xml:space="preserve"> ingseclen@yantalo.org   968507185</t>
  </si>
  <si>
    <t xml:space="preserve">CLINICA CARRION SAC </t>
  </si>
  <si>
    <t xml:space="preserve">PATOLOGO ANTONIO JOSE ESPINOZA MEDINA </t>
  </si>
  <si>
    <t>969 759 708</t>
  </si>
  <si>
    <t>TM.EDINSON NESTOR USQUIZA TORRES, TM.VILLEGAS DIAZ PILAR LAZARINA, TM. ROXANA BECERRA SANCHEZ</t>
  </si>
  <si>
    <t>CLINICA BRITANIC S.A.C.</t>
  </si>
  <si>
    <r>
      <rPr>
        <rFont val="Calibri"/>
        <color rgb="FF000000"/>
        <sz val="11.0"/>
      </rPr>
      <t>2024-0190363, 2024-0206326 y 2024-0207568</t>
    </r>
  </si>
  <si>
    <t xml:space="preserve">LO RESPONDE LA DRA ROCIO </t>
  </si>
  <si>
    <t>PER-BSIA170101-201</t>
  </si>
  <si>
    <t>R.D. N° 072-2024 DIGDOT/ MINSA</t>
  </si>
  <si>
    <t>LEVANTAMIENTO DE SUSPENSIÓN TEMPORAL</t>
  </si>
  <si>
    <t>R.D. N° D000020-2025 DIGDOT/MINSA</t>
  </si>
  <si>
    <t>GERESA MADRE DE DIOS</t>
  </si>
  <si>
    <t xml:space="preserve">HOSPITAL I VICTOR ALFREDO LAZO PERALTA </t>
  </si>
  <si>
    <t>AV. ANDRES AVELINO CACERES N°560</t>
  </si>
  <si>
    <t>IVAN RAMOS MENDOZA</t>
  </si>
  <si>
    <t>MEDICO GENERAL GROBER  ARANZABAL CARPIO</t>
  </si>
  <si>
    <t>TM MICHAEL IRRAZABAL IBAÑEZ, ABDEL JUSTO GOMERO CRISTOBAL,ERICK EDISON DAVILA BARBOZA,RICHARD VELA LLANOS,GIANNINA LOZANO ALVARADO,JUAN RAMON CAYCHO VEGA,JUAN JACKSON DUCOS VILCA,CYNTHIA PACORI VILCA,HERMEGILDO QUISPE QUISPE.</t>
  </si>
  <si>
    <t>PER-BSIA-150141-204</t>
  </si>
  <si>
    <t>R.D. N° 080-2024 DIGDOT/ MINSA</t>
  </si>
  <si>
    <t>RESP.DRA ROCIO</t>
  </si>
  <si>
    <t>2024-0192093, 20240211458</t>
  </si>
  <si>
    <t>DR BUSTAMANTE</t>
  </si>
  <si>
    <t xml:space="preserve">RD RECTIFICACION </t>
  </si>
  <si>
    <t>HOSPITAL SANTA MARIA DE CUTERVO</t>
  </si>
  <si>
    <t>CLINICA QUIRURGICA LIMA SOP - RS: GRUPO QUIRURGICO MEDICO SAC</t>
  </si>
  <si>
    <t>PER-BSIA211101-202</t>
  </si>
  <si>
    <t>R.D. N° 077-2024 DIGDOT/ MINSA</t>
  </si>
  <si>
    <t>PER-BSIA-150101-213</t>
  </si>
  <si>
    <t>R.D. N° 096-2024 DIGDOT/ MINSA</t>
  </si>
  <si>
    <t>DIRESA PUNO</t>
  </si>
  <si>
    <t>CLINICA MONTE SINAI JULIACA EIRL</t>
  </si>
  <si>
    <t>CLINICA AVIVA-SEDE LIMA CENTRO</t>
  </si>
  <si>
    <t>JR LORETO 343</t>
  </si>
  <si>
    <t>TEDORA VILCA PAREJA</t>
  </si>
  <si>
    <t>montesinai_juliaca@hotmail.com</t>
  </si>
  <si>
    <t>PER-BSIA-220804-214</t>
  </si>
  <si>
    <t>PATOLOGA CLINICA DENNICE MORALES DEZA</t>
  </si>
  <si>
    <t>R.D. N° 094-2024 DIGDOT/ MINSA</t>
  </si>
  <si>
    <t>TM MEDALY ROS CHIPANA TURPO  TM. LILLIAN NELLY CUNO CACERES</t>
  </si>
  <si>
    <t>NC: CENTRO MEDICO LUZ DIVINA, RS: SERVICIOS MEDICOS LUZ DIVINA S.A.C.</t>
  </si>
  <si>
    <t>PER-BSIA-150116-216</t>
  </si>
  <si>
    <t>2024-0215422,20240186897, 2024-0195992, 2024-0200955</t>
  </si>
  <si>
    <t>POR REGULRIZAR</t>
  </si>
  <si>
    <t>R.D. N° 099-2024 DIGDOT/ MINSA</t>
  </si>
  <si>
    <t>PER -BSIA40101-203</t>
  </si>
  <si>
    <t>R.D. N° 073-2024 DIGDOT/ MINSA</t>
  </si>
  <si>
    <t>Nombre comercial CLINICA RISSO y razón social RODSUMA SALUD S.A.C</t>
  </si>
  <si>
    <t>DRA.MACETAS</t>
  </si>
  <si>
    <t>RD DE OTORGAMIENTO DE AS</t>
  </si>
  <si>
    <t>CLINICAS MASION DE SANTE DEL ESTE</t>
  </si>
  <si>
    <t>PER-BSIA-250201-218</t>
  </si>
  <si>
    <t>D</t>
  </si>
  <si>
    <t>CLINICA ALMONTE SAC</t>
  </si>
  <si>
    <t>VB-01/09/25</t>
  </si>
  <si>
    <t>R.D. N° 100-2024 DIGDOT/ MINSA</t>
  </si>
  <si>
    <t xml:space="preserve">CALLE MANUEL UGARTECHE 311 URB SELVA ALEGRE </t>
  </si>
  <si>
    <t>VB 01/09/25</t>
  </si>
  <si>
    <t>HOSPITAL INTERCULTURAL DE ATALAYA</t>
  </si>
  <si>
    <t>RALPH RENATO ALMONTE VELARDE</t>
  </si>
  <si>
    <t>ATALAYA</t>
  </si>
  <si>
    <t>Clinicaalmonte@gmail.com</t>
  </si>
  <si>
    <t>PATOLOGO MARIO LAUREANO LEON IBARCENA</t>
  </si>
  <si>
    <t>TM JOSE CARLOS MARTINEZ MONTES TM MARITZA CARCAUSTO TITO</t>
  </si>
  <si>
    <t>PER-BSIA-200101-228</t>
  </si>
  <si>
    <t>2024-213286, 2024-0200154, 2024-0196480, 2024-0183729</t>
  </si>
  <si>
    <t>R.D. N° 117-2024 DIGDOT/ MINSA</t>
  </si>
  <si>
    <t>CLÍNICA MADRE DEL PERPETUO SOCORRO</t>
  </si>
  <si>
    <t>PER-BSIA-220701-227</t>
  </si>
  <si>
    <t>R.D. N° 119-2024 DIGDOT/ MINSA</t>
  </si>
  <si>
    <t>HOSPITAL RURAL PICOTA</t>
  </si>
  <si>
    <t>PICOTA</t>
  </si>
  <si>
    <t>CALLE LAS AGUILAS N° 378</t>
  </si>
  <si>
    <t>PER-BSIA-140101-236</t>
  </si>
  <si>
    <t xml:space="preserve">Patólogo Cínico: Arcelia Macedo Domínguez 
</t>
  </si>
  <si>
    <t>RD DE OTORGAMIENTO DE AS (BS II)</t>
  </si>
  <si>
    <t>R.D. N° 012-2025 DIGDOT/ MINSA</t>
  </si>
  <si>
    <t>HOSPITAL DEPARTAMENTAL DE HUANCAVELICA</t>
  </si>
  <si>
    <t>T.M 1.	Renzo Montellanos Rodriguez.,  2.	Jhosselym León Carlos.</t>
  </si>
  <si>
    <t>D-02/09/25</t>
  </si>
  <si>
    <t>2024-0199553,2024-0218412 y 2024-0222645</t>
  </si>
  <si>
    <t>LIDER MEDICA S.A.</t>
  </si>
  <si>
    <t>D 04/09</t>
  </si>
  <si>
    <t>PER-BSIA-150120-239</t>
  </si>
  <si>
    <t>VB 05/09</t>
  </si>
  <si>
    <t>R.D. N°017-2025 DIGDOT/ MINSA</t>
  </si>
  <si>
    <t>PER-BSIA-10101-205</t>
  </si>
  <si>
    <t>R.D. N° 078-2024 DIGDOT/ MINSA</t>
  </si>
  <si>
    <t>HOSPITAL DE LA MUJER E.I.R.L.</t>
  </si>
  <si>
    <t>HOSPITAL HIGOS URCO</t>
  </si>
  <si>
    <t>MC.CABRERA</t>
  </si>
  <si>
    <t xml:space="preserve">CHACHAPOYAS </t>
  </si>
  <si>
    <t>Jr. Ortiz Arrieta N°604-612</t>
  </si>
  <si>
    <t>PER-BSIA-200104-242</t>
  </si>
  <si>
    <t>R.D.N° 021-2025 DIGDOT/MINSA</t>
  </si>
  <si>
    <t>Jose Alberto ESCALANTE PAREDES</t>
  </si>
  <si>
    <t>HEMATOLOGO Enrique Vigil Ventura</t>
  </si>
  <si>
    <t xml:space="preserve">-        Tecnóloga Médico: Nora Rodas Ramírez.
-        Tecnólogo Médico: Jesus Rodríguez Garcia.
-        Tecnólogo Médico: Enrique Sánchez Pastor.
</t>
  </si>
  <si>
    <t>LIC. HUARCAYA</t>
  </si>
  <si>
    <t>ESTABLECIMIENTO DE SALUD CASTILLA</t>
  </si>
  <si>
    <t>LIC. BELLIDO</t>
  </si>
  <si>
    <t>CLINICA ZIEGLER -CZ</t>
  </si>
  <si>
    <t>PER-BSIA010201-257</t>
  </si>
  <si>
    <r>
      <rPr>
        <rFont val="Arial, sans-serif"/>
        <color rgb="FF000000"/>
        <sz val="10.0"/>
      </rPr>
      <t>N°2024-0192292, 2024-0169380</t>
    </r>
  </si>
  <si>
    <t>R.D.N° 040-2025 DIGDOT/MINSA</t>
  </si>
  <si>
    <t>VB 03/09</t>
  </si>
  <si>
    <t>CENTRO MEDICO
 INTERREGIONAL AMAZONAS S.A.C.</t>
  </si>
  <si>
    <t>PER-BSIA-220801-206</t>
  </si>
  <si>
    <t>MC. MAYDANA</t>
  </si>
  <si>
    <t>R.D. N° 081-2024 DIGDOT/ MINSA</t>
  </si>
  <si>
    <t>PER-BSIA150115-258</t>
  </si>
  <si>
    <t>R.D.N° 043-2025 DIGDOT/MINSA</t>
  </si>
  <si>
    <t>CLINICA SINAI RS: SINAÍ INVESTMENTS &amp; HEALTH SOCIEDAD ANÓNIMA CERRADA – SINAÍ IH SAC</t>
  </si>
  <si>
    <t>CLÍNICA SAN PABLO LA VICTORIA</t>
  </si>
  <si>
    <t>JR. AMARGURA N° 984</t>
  </si>
  <si>
    <t>MC. MUNIVE</t>
  </si>
  <si>
    <t>PER-BSIA060801-266</t>
  </si>
  <si>
    <t>SEGUNDO SALVADOR ROSADO</t>
  </si>
  <si>
    <t>julioedmundoalcantararengifo@gmail.com</t>
  </si>
  <si>
    <t>R.D.N° 069-2025 DIGDOT/MINSA</t>
  </si>
  <si>
    <t>PATÓLOGO CLÍNICO JULIO ALCANTARA RENGIFO</t>
  </si>
  <si>
    <t>TM. CHRIS VILLAREAL VASQUEZ, TM EINER TOCTO DIAZ, TM YULIANA DIAZ CORONEL, TM. ORLANDO CASTILLO SANCHEZ, TM YULISA DIANA BANCES VASQUEZ</t>
  </si>
  <si>
    <t>Centro Médico con Camas de 
 Internamiento "MAS SALUD", cuya razón social es CENTRO MEDICO MAS SALUD JAEN S.A.C."</t>
  </si>
  <si>
    <t>N° 2024-0194823, 2024-0206782 y 2024-0218688</t>
  </si>
  <si>
    <t>PER-BSIA131202 -268</t>
  </si>
  <si>
    <t>R.D.N°071- 2025DIGDOT/MINSA</t>
  </si>
  <si>
    <t>PER-BSIA-150116-207</t>
  </si>
  <si>
    <t>LIC.ADRIAN</t>
  </si>
  <si>
    <t>R.D. N° 082-2024 DIGDOT/ MINSA</t>
  </si>
  <si>
    <t>CLINICA SAN CLEMENTE</t>
  </si>
  <si>
    <t>AVNIDA AREQUIPA N 1801</t>
  </si>
  <si>
    <t>HOGAR CLINICA SAN JUAN DE DIOS</t>
  </si>
  <si>
    <t>M.C. CESAR CALLIRGOD GUEROVICH</t>
  </si>
  <si>
    <t>ccallirgos@hotmail.com</t>
  </si>
  <si>
    <t>PATOLOGO CLÍNICO Lucy Caceda Vera</t>
  </si>
  <si>
    <t>TM NILTON IVAN ROJAS COLQUI, MIGUEL ANGEL ORDERIQUE MOGOLLON -PERSONAL ACTUALIZO 17.11.25</t>
  </si>
  <si>
    <t>Denominacion: BICENTENARIO DE CHAO, Razón social SEGURO SOCIAL DE SALUD</t>
  </si>
  <si>
    <t>VIRU</t>
  </si>
  <si>
    <t>N° 2024-0162710, N° 2024-0175486 y N° 2024-0214313</t>
  </si>
  <si>
    <t>COMUNICA CAMBIO DE PERSONAL</t>
  </si>
  <si>
    <t>IC</t>
  </si>
  <si>
    <t>PER-BSIA-21101-208</t>
  </si>
  <si>
    <t>R.D. N° 088-2024 DIGDOT/ MINSA</t>
  </si>
  <si>
    <t xml:space="preserve">HOSPITAL DE APOYO HUARMEY </t>
  </si>
  <si>
    <t>CLINICA ONCOSALUD</t>
  </si>
  <si>
    <t xml:space="preserve">HUARMEY </t>
  </si>
  <si>
    <t>HUARMEY</t>
  </si>
  <si>
    <t>PENDIETE</t>
  </si>
  <si>
    <t xml:space="preserve">CARRETERA PANAMERICANA NORTE KM </t>
  </si>
  <si>
    <t>LIC.BARBEYTO</t>
  </si>
  <si>
    <t>C.D. CARLOS CAMILO MISAICO AGUILAR (19/06/2025)</t>
  </si>
  <si>
    <t>M.C. CYNTHIA DE LA CRUZ SEVILLAO</t>
  </si>
  <si>
    <t>959900454 / 943070710</t>
  </si>
  <si>
    <t xml:space="preserve">Lic. TM. Sara Patricia Domínguez Mora,Lic.TM José Aníbal Camasca Laureano, Lic. T.M. Sheylla Zulema Valerio Huby, Biólogo Jaime Antonio Cuestas Minchola, Técnica Ana Violeta Cuba Salazar
</t>
  </si>
  <si>
    <t>SUSPENSION EXCEPCIONAL  DE AS</t>
  </si>
  <si>
    <t>1 técnica</t>
  </si>
  <si>
    <t>1 (no cumple tiempo experiencia y capa)</t>
  </si>
  <si>
    <t xml:space="preserve">N° 2024-0175086 y N° 2024-0196079 
</t>
  </si>
  <si>
    <t>D1 03/09</t>
  </si>
  <si>
    <t>PER-BSIA-190301-209</t>
  </si>
  <si>
    <t>R.D. N° 086-2024 DIGDOT/ MINSA</t>
  </si>
  <si>
    <t>DAR DE BAJA, ES TIPO II</t>
  </si>
  <si>
    <t>HOSPITAL I OXAPAMPA</t>
  </si>
  <si>
    <t>OXAMPAMPA</t>
  </si>
  <si>
    <t>OXAPAMPA</t>
  </si>
  <si>
    <t>ALVARO CACHAY CASTIGLIONE</t>
  </si>
  <si>
    <t>IB</t>
  </si>
  <si>
    <t>PATOLOGO CLINICO JUNIOR HENRY CASTILLO ENRIQUEZ</t>
  </si>
  <si>
    <t>TM. EDGAR CHAVIGURI CASTELLARES,TM ALEJANDRO SAAVEDRA BAZAN, TM VERONICA CAPCHA SANCA</t>
  </si>
  <si>
    <t>2024-0222346,2024-0198681,2024-0174370</t>
  </si>
  <si>
    <t xml:space="preserve">HOSPITAL II TARAPOTO - ESSALUD </t>
  </si>
  <si>
    <t>R.D. N°D000077-2025-DIGDOT-MINSA</t>
  </si>
  <si>
    <t>PER-BSIA30201-210</t>
  </si>
  <si>
    <t>LIC.ROJAS</t>
  </si>
  <si>
    <t>R.D. N° 089-2024 DIGDOT/ MINSA</t>
  </si>
  <si>
    <t>RD DE OTORGAMIENTO DE AS (BS I A)</t>
  </si>
  <si>
    <t>HOSPITAL I ESSALUD SULLANA</t>
  </si>
  <si>
    <t>II</t>
  </si>
  <si>
    <t>D-03/09/25</t>
  </si>
  <si>
    <t xml:space="preserve">HOSPITAL I SANTA MARGARITA ANDAHUAYLAS - ESSALUD </t>
  </si>
  <si>
    <t>JR.AYACUCHO N°750</t>
  </si>
  <si>
    <t xml:space="preserve">HOSPITAL EMERGENCIA ATE VITARTE </t>
  </si>
  <si>
    <t>jcvb</t>
  </si>
  <si>
    <t>ANTHONY CLINT TORRE AGUIRRE</t>
  </si>
  <si>
    <t>PATOLOGO CLINICO Jackline Lizbeth Navarro Rivas</t>
  </si>
  <si>
    <t>931 432 250</t>
  </si>
  <si>
    <t xml:space="preserve">TM.Manuel Jesus Ura Serna, TM.Aristóteles Leon Alegria, TM. Leónidas Leoncio Samanez Samanez  
</t>
  </si>
  <si>
    <t>PENDIENTE</t>
  </si>
  <si>
    <t>N° 2024-0191041, 2024-0202693 y 2024-0237523</t>
  </si>
  <si>
    <t>PER-BSIA-150113-211</t>
  </si>
  <si>
    <t>R.D. N° 091-2024 DIGDOT/ MINSA</t>
  </si>
  <si>
    <t>R.D. N° 040-2024 DIGDOT/ MINSA</t>
  </si>
  <si>
    <t>RD DE LEVANTAMIENTO DE SUSPENSION TEMPORAL (BSIA)</t>
  </si>
  <si>
    <t xml:space="preserve">CLINICA DE LOS VASQUEZ </t>
  </si>
  <si>
    <t>D-20/08/25</t>
  </si>
  <si>
    <t>D-26/08/25</t>
  </si>
  <si>
    <t>RS: CLINICA INTEGRAL DE LA MUJER SAC, NC: CLINICA INTEGRAL ONCOGYN</t>
  </si>
  <si>
    <t>VB-02/09/25</t>
  </si>
  <si>
    <t>AV SAN FELIPE 1015-1017</t>
  </si>
  <si>
    <t>ROCIO AMPARO ROMERO BURGA</t>
  </si>
  <si>
    <t>I</t>
  </si>
  <si>
    <t xml:space="preserve">PATOLOGO CLINICO OCTAVIO MOISES GUILLEN DONAYRE </t>
  </si>
  <si>
    <t>Servicios Médicos Generales San Juan S.R.L
“Clínica San Juan”</t>
  </si>
  <si>
    <t>TM KARLA GABRIELA TORRES PUMAYALLI, TM CRISTY MEDALIT GIL CAMACHO</t>
  </si>
  <si>
    <t>R.D. N°D000080-2025-DIGDOT-MINSA</t>
  </si>
  <si>
    <t xml:space="preserve">MC.MAYDANA </t>
  </si>
  <si>
    <t>N°2024 0184607,2024-0199450,2024-0203570,2024-0213454</t>
  </si>
  <si>
    <t xml:space="preserve">cambio de direccion </t>
  </si>
  <si>
    <t>I A</t>
  </si>
  <si>
    <t>PER-BSIA-100101-212</t>
  </si>
  <si>
    <t>R.D. N° 093-2024 DIGDOT/ MINSA</t>
  </si>
  <si>
    <t>III</t>
  </si>
  <si>
    <t>TOTAL</t>
  </si>
  <si>
    <t>CLINICA DE CORTA ESTANCIA ROCA E.I.R.L.</t>
  </si>
  <si>
    <t>Chincha Alta</t>
  </si>
  <si>
    <t>R.D. N°D000085-2025-DIGDOT-MINSA</t>
  </si>
  <si>
    <t>Lic. Rufasto</t>
  </si>
  <si>
    <t>JR.PEDRO BARROSO N°466</t>
  </si>
  <si>
    <t>KATHERINE CARBAJAL ALVAREZ</t>
  </si>
  <si>
    <t>LIC JOSE BELLIDO</t>
  </si>
  <si>
    <t>PATOLOGA CLINICA KAREN MAITE MEZA CARBONELLI</t>
  </si>
  <si>
    <t xml:space="preserve">RD DE OTORGAMIENTO DE AS ( BS IC) </t>
  </si>
  <si>
    <t xml:space="preserve">TM </t>
  </si>
  <si>
    <t>CLINICA JESUS DEL NORTE</t>
  </si>
  <si>
    <t>I B</t>
  </si>
  <si>
    <t>D-25/05/25</t>
  </si>
  <si>
    <t>VB-27/08/25</t>
  </si>
  <si>
    <t>I C</t>
  </si>
  <si>
    <t xml:space="preserve">I A </t>
  </si>
  <si>
    <t>RS: CLINICA GAXAY E.I.R.L, NC: CLINICA GAXAY</t>
  </si>
  <si>
    <t>AV.COLONIAL N° 443-447-455-459-463-467-473-477</t>
  </si>
  <si>
    <t>PEDRO CHAVEZ CABELLO</t>
  </si>
  <si>
    <t>vicko.glavic@aviva.pe</t>
  </si>
  <si>
    <t>JUAN CARLOS GOMEZ DE LA TORRE</t>
  </si>
  <si>
    <t>Lic. T.M. Rosemary Ramírez Fajardo,-Lic.T.M. Liz Oyola Marcos Carbajal,Lic. T.M. Francisco Javier Ortiz Cansa,-Lic. T.M. Candy Elizabeth García Rodríguez</t>
  </si>
  <si>
    <t>R.D. N° 12-2024 DIGDOT/MINSA</t>
  </si>
  <si>
    <t>LIC.VILCHEZ</t>
  </si>
  <si>
    <t>RD DE OTORGAMIENTO IA HOSPITAL SAN JUAN DE MATUCANA</t>
  </si>
  <si>
    <t>N° 2023-0217269, N° 2024-0236159 y N° 2024-0250797</t>
  </si>
  <si>
    <t>HOSPITAL SAN JUAN DE MATUCANA</t>
  </si>
  <si>
    <t>D 05/09</t>
  </si>
  <si>
    <t>Clinica De los Vasquez S.A.C</t>
  </si>
  <si>
    <t>D2 05/09</t>
  </si>
  <si>
    <r>
      <rPr>
        <rFont val="Calibri"/>
        <color rgb="FF000000"/>
        <sz val="11.0"/>
      </rPr>
      <t>PER-BSIA-</t>
    </r>
    <r>
      <rPr>
        <rFont val="Calibri"/>
        <color rgb="FF000000"/>
        <sz val="11.0"/>
      </rPr>
      <t>220804</t>
    </r>
    <r>
      <rPr>
        <rFont val="Calibri"/>
        <color rgb="FF000000"/>
        <sz val="11.0"/>
      </rPr>
      <t>-214</t>
    </r>
  </si>
  <si>
    <t>M.C MACETAS</t>
  </si>
  <si>
    <t>NUEVA CAJAMARCA</t>
  </si>
  <si>
    <t>Jr. Bolognesi N° 291</t>
  </si>
  <si>
    <t xml:space="preserve">M.C. ELMER SALCEDO HUAMAN
</t>
  </si>
  <si>
    <t>PER-BSIA-200601-215</t>
  </si>
  <si>
    <t>R.D. N° 097-2024 DIGDOT/ MINSA</t>
  </si>
  <si>
    <t xml:space="preserve">CLINICA BELMED </t>
  </si>
  <si>
    <t>CLINICA VIRGEN DEL PILAR SCRL</t>
  </si>
  <si>
    <t>DRA. MAYDANA</t>
  </si>
  <si>
    <t>PER-BSIA150113-271</t>
  </si>
  <si>
    <t>RD SANTA MARIA DE NIEVA</t>
  </si>
  <si>
    <t>Calle Bolívar N°285</t>
  </si>
  <si>
    <t>SANTA MARIA DE NIEVA</t>
  </si>
  <si>
    <t>ENRIQUE FAUSTO GUERRERO HERRERA</t>
  </si>
  <si>
    <t>HEMATOLOGO RAFAEL PICHARDO RODRIGUEZ</t>
  </si>
  <si>
    <t xml:space="preserve"> 944 405 423</t>
  </si>
  <si>
    <t>-        Tecnóloga Médico: Sheyla Espinoza Vega.
-        Tecnólogo Médico: Katya Novoa Cova.
-        Tecnólogo Médico: Zapata Córdova Katia.</t>
  </si>
  <si>
    <t>VB 25//08/25</t>
  </si>
  <si>
    <t>BIOMEDICAL TECHNOLOGIES SOCIEDAD ANONIMA CERRADA</t>
  </si>
  <si>
    <t>N°2024-0171328, N°2024-0218085 y N°2024-0243175</t>
  </si>
  <si>
    <t>M.C Maydana</t>
  </si>
  <si>
    <t>PERBSIA060801 -272</t>
  </si>
  <si>
    <t xml:space="preserve">DIRESA CAJAMARCA </t>
  </si>
  <si>
    <t>CLINICA SEÑOR CAUTIVO</t>
  </si>
  <si>
    <t xml:space="preserve">LINCE </t>
  </si>
  <si>
    <t>M.C CABRERA</t>
  </si>
  <si>
    <t>Av. Arequipa N°2030</t>
  </si>
  <si>
    <t>Eduardo SUMARRIVA VALENZUELA</t>
  </si>
  <si>
    <t>rodsumasalud@hotmail.com</t>
  </si>
  <si>
    <t>PER-BSIA200601-276</t>
  </si>
  <si>
    <t>M.C. Jamitson Torres Aguilar</t>
  </si>
  <si>
    <t xml:space="preserve">T.M. Melissa Melgarejo Cobian., T.M. Claudia Melissa Auqui Zapata, T.M. Paulo Renzo Rutti Berrocal, T.M. Percy Alvaro Bendezú Felices.
</t>
  </si>
  <si>
    <t xml:space="preserve">I-4 </t>
  </si>
  <si>
    <t>N° 2024-0217753, N° 2024-0235692, N° 2024-0247004 y N° 2024-0262215</t>
  </si>
  <si>
    <t>HOSPITAL I ESSALUD - SULLANA</t>
  </si>
  <si>
    <t>LIC. ROJAS</t>
  </si>
  <si>
    <t xml:space="preserve"> HOSPITAL SANTA ROSA ( 03 AÑOS DE VIGENCIA FIRMADO 16/03/2026)</t>
  </si>
  <si>
    <t>SULLANA/PIURA</t>
  </si>
  <si>
    <t>R.D. LEVANTAMIENTO DE SUSPENSIÓN TEMPORAL (BS I B)</t>
  </si>
  <si>
    <t>HOSPITAL II TARAPOTO - ESSALUD</t>
  </si>
  <si>
    <t>PER-BSIA050116-250</t>
  </si>
  <si>
    <t>PER-BSIA-150140-217</t>
  </si>
  <si>
    <t>D 01/09</t>
  </si>
  <si>
    <t>R.D. N° 102-2024 DIGDOT/ MINSA</t>
  </si>
  <si>
    <t>PROYECTOS MEDICOS S.A CON NOMBRE COMERCIAL CLINICA MONTESUR</t>
  </si>
  <si>
    <t>AV. EL POLO N° 505 EL DERBY DE MONTERRICO</t>
  </si>
  <si>
    <t>JESUS MARCELO CHACHI</t>
  </si>
  <si>
    <t>directormedico@clinicamontesur.com</t>
  </si>
  <si>
    <t xml:space="preserve">CLÍNICA SANTA ROSA </t>
  </si>
  <si>
    <t>PATOLOGO CLINICO. MILAGROS RAMIREZ LEIVA</t>
  </si>
  <si>
    <t xml:space="preserve">PENDIENTE </t>
  </si>
  <si>
    <t>T.M. Lic. Edwin Santiago Chavez, Lic. Nazareth Bolivar, Lic. Mario  Soto Mendoza, Lic. Estephani Diogo Carrillo y Biologa. Caraballo Orozco Estephany(encargada de contro de calidad)</t>
  </si>
  <si>
    <t xml:space="preserve">MC CABRERA </t>
  </si>
  <si>
    <t>N° 2024-0208265 y  N° 20240218752</t>
  </si>
  <si>
    <t>Hospital Nacional Daniel Alcides Carrión (Callao)</t>
  </si>
  <si>
    <t>CLINICA SAN JUAN</t>
  </si>
  <si>
    <t>VB 01-09</t>
  </si>
  <si>
    <t>RAIMONDI</t>
  </si>
  <si>
    <t>PROLONGACION FRANCISCO BOLOGNESI CON CALLE LIMA MZ 142 LOTE01</t>
  </si>
  <si>
    <t>M.C. MAYDANA</t>
  </si>
  <si>
    <t>ANA MELVA VASQUEZ RAMIREZ</t>
  </si>
  <si>
    <t>PATOLOGO CLINICO MANUEL PEDRAZA LA BARRERA</t>
  </si>
  <si>
    <t>T.M Carla Camarena Ingaroca, TM. Jhonatan Carrera Donayre, TM Maricielo Lachos Diaz, TM Isabel Valencia Cochachi</t>
  </si>
  <si>
    <t>N°2024-0207924, 2024-0232118, 2024-0232265, 2024-0244096, 2024-0262197, 2024-0265079</t>
  </si>
  <si>
    <t>PER-BSIA-130111-219</t>
  </si>
  <si>
    <t>R.D. N° 104-2024 DIGDOT/ MINSA</t>
  </si>
  <si>
    <t xml:space="preserve">OPINION LEGAL - AUTORIZACION DE B.S. </t>
  </si>
  <si>
    <t>HOSPITAL SANTO TOMAS- CUSCO</t>
  </si>
  <si>
    <t>RS: CLINICA SANCHEZ FERRER SA - NC: SANNA-CLINICA SANCHEZ FERRER</t>
  </si>
  <si>
    <t xml:space="preserve">No Amerita </t>
  </si>
  <si>
    <t xml:space="preserve">CALLE LOS LAURELES N°436 </t>
  </si>
  <si>
    <t>CARLOS ENRIQUE ROJAS MARIN</t>
  </si>
  <si>
    <t>PATOLOGO CLINICO KEENE KARPOV ARAUJO PAREDES</t>
  </si>
  <si>
    <t>TM Daniel lucas duran palacios, TM Maritza Bertha Marchena Avila , TM Jaramillo Campos Michael Bryan</t>
  </si>
  <si>
    <t>N°2024-0182399 y 2024-0213520</t>
  </si>
  <si>
    <t>PER-BSIA-40103-220</t>
  </si>
  <si>
    <t>R.D. N° 106-2024 DIGDOT/ MINSA</t>
  </si>
  <si>
    <t>BANCOS DE SANGRE CON AUTORIZACIÓN SANITARIA DE FUNCIONAMIENTO</t>
  </si>
  <si>
    <t>HOSPITAL REGIONAL PNP AREQUIPA, RAZÓN SOCIAL UNIDAD EJECUTORA 020: SANIDAD DE LA PNP</t>
  </si>
  <si>
    <t>RD DE OTORGAMIENTO DE AS ( BS IA)</t>
  </si>
  <si>
    <t>AVENIDA BOLOGNESI N° 602, URBANIZACIÓN LA MARINA</t>
  </si>
  <si>
    <t xml:space="preserve">CLINICA MEDICAL HOME </t>
  </si>
  <si>
    <t>REGIONES</t>
  </si>
  <si>
    <t>COMANDANTE SANDRA KATHERINE TERRAZAS DIAZ</t>
  </si>
  <si>
    <t>dirsapol.regsanarequipa@policia.gob.pe</t>
  </si>
  <si>
    <t>PATOLOGO CLÍNICO EDY PAUL TICONA RAMOS</t>
  </si>
  <si>
    <t>TM VASQUEZ HINOSTROZA PATRICIA, TM APAZA CONDORI JEISSON, CHIPANA MAYHUALLA ANDRE, BLGA MACHACA CHIPANA SILVIA</t>
  </si>
  <si>
    <t>N° 2024-0198110, N° 2024-0216741 y N° 2024-0218071</t>
  </si>
  <si>
    <t>MACRORREGIÓN NORTE</t>
  </si>
  <si>
    <t>PER-BSIA-180303-221</t>
  </si>
  <si>
    <t>R.D. N° 120-2024 DIGDOT/ MINSA</t>
  </si>
  <si>
    <t>MACRORREGIÓN CENTRO</t>
  </si>
  <si>
    <t>HOSPITAL ILO DE LA EMPRESA SOUTHERN PERÚ COOPER COPORATION, SUCURSAL DEL PERÚ</t>
  </si>
  <si>
    <t>PACOCHA</t>
  </si>
  <si>
    <t>ILO</t>
  </si>
  <si>
    <t xml:space="preserve">CIUDAD NUEVA S/N </t>
  </si>
  <si>
    <t>M.C. VICTOR HUGO GORBINA DONGO (953506280)</t>
  </si>
  <si>
    <t>vgorbina@southernperu.com.pe</t>
  </si>
  <si>
    <t xml:space="preserve">MEDICO OFTALMOLOGA TERESA DEL PILAR POLANCO CASTILLO </t>
  </si>
  <si>
    <t xml:space="preserve">TM MARTINEZ AMERICA, TM ARIAS IVONE, TM DIAZ JAZMIN </t>
  </si>
  <si>
    <t>N° 2024-0224613</t>
  </si>
  <si>
    <t xml:space="preserve">DRA. CABRERA </t>
  </si>
  <si>
    <t xml:space="preserve">CORREO </t>
  </si>
  <si>
    <t>RD SUSPENSIÓN DEFINITIVA (VOLUNTARIA)</t>
  </si>
  <si>
    <t xml:space="preserve">CLINICA SANTA ROSA </t>
  </si>
  <si>
    <t>VB04/09/25</t>
  </si>
  <si>
    <t>PER-BSIA-150103-222</t>
  </si>
  <si>
    <t xml:space="preserve">area legal a la fecha </t>
  </si>
  <si>
    <t>R.D. N° 103-2024 DIGDOT/ MINSA</t>
  </si>
  <si>
    <t>MACRORREGIÓN SUR</t>
  </si>
  <si>
    <t>CLINICA MARIA DEL SOCORRO, RS: SERVICIOS DE SALUD MARIA DEL SOCORRO S.R.L.</t>
  </si>
  <si>
    <t>Calle Apurimac 116 Mz J Lte.3 Urb. Tilda</t>
  </si>
  <si>
    <t xml:space="preserve">MUNIQUE MARIA SANHEZ ARZAPALO </t>
  </si>
  <si>
    <t>centromedico.socorro@hotmail.com   banco.sangre.cms@gmail.com</t>
  </si>
  <si>
    <t>MC. SILVIA ALINA VIAMONTE CALLA</t>
  </si>
  <si>
    <t>1.-VICTORIA ZEGARRA ORDOÑEZ
2.-DIEGO CARLOS ZEGARRA
3.-MARIA ELIZABETH ORTIZ GOMEZ
4.-HUGO CACERES RIVAS</t>
  </si>
  <si>
    <t>N°2024-0198654, N°2024-0209688 y N° 2024-0252766</t>
  </si>
  <si>
    <t>PER-BSIA-150122-223</t>
  </si>
  <si>
    <t>R.D. N° 115-2024 DIGDOT/ MINSA</t>
  </si>
  <si>
    <t>DRA.ROCIO</t>
  </si>
  <si>
    <t xml:space="preserve">DRA CABRERA </t>
  </si>
  <si>
    <t>CLNICA SEÑOR CAUTIVO</t>
  </si>
  <si>
    <t>CLINICA LOS ANDES SAC</t>
  </si>
  <si>
    <t>MACRORREGION ORIENTE</t>
  </si>
  <si>
    <t>Calle Asuncion 177</t>
  </si>
  <si>
    <t>IRENE ANGULO YABAR</t>
  </si>
  <si>
    <t>D2 3/09</t>
  </si>
  <si>
    <t>D3 03/09</t>
  </si>
  <si>
    <t>PATOLOGO CLINICO BERNARDO DURAN MUNIZ</t>
  </si>
  <si>
    <t>LO RESPONDE LA DRA ROCIO</t>
  </si>
  <si>
    <t>MACRORREGIÓN LIMA Y CALLAO</t>
  </si>
  <si>
    <t>PER-BSIA-080108-224</t>
  </si>
  <si>
    <t>R.D. N° 113-2024 DIGDOT/ MINSA</t>
  </si>
  <si>
    <t>PARDO</t>
  </si>
  <si>
    <t>AV DE LA CULTURA 710</t>
  </si>
  <si>
    <t>ALCIDES VARGAS ECHEGARAY</t>
  </si>
  <si>
    <t>directorejecutivo.pardo@gmail.com</t>
  </si>
  <si>
    <t xml:space="preserve">HOSPITAL DE APOYO CASMA </t>
  </si>
  <si>
    <t>VB03/09/25</t>
  </si>
  <si>
    <t>N°2024-0274653</t>
  </si>
  <si>
    <t>PER-BSIA-080801-225</t>
  </si>
  <si>
    <t>R.D. N° 116-2024 DIGDOT/ MINSA</t>
  </si>
  <si>
    <t>MAX SALUD PARA TU SALUD SCRL</t>
  </si>
  <si>
    <t>JIRÓN NUEVA BAJA S/N MANZANA H LOTE 5,6 Y 7 URBANIZACION PONCE DE LEON</t>
  </si>
  <si>
    <t>YNDIRA OLENKA GIRALDO PIZARRO</t>
  </si>
  <si>
    <t>olenkagirandop@hotmail.com</t>
  </si>
  <si>
    <t>Dra. Nadia del Carpio</t>
  </si>
  <si>
    <t xml:space="preserve">Lic. Henry Valencia,Lic. Hortencia Bendezú,Lic. Carmen Ataulluco
</t>
  </si>
  <si>
    <t xml:space="preserve"> N° 2024-0227059,2024-251931,2024-248216</t>
  </si>
  <si>
    <t>RD DE RECONSIDERACION PROCEDENTE</t>
  </si>
  <si>
    <t>HOSPITAL IIIBASE PUNO - ESSALUD</t>
  </si>
  <si>
    <t xml:space="preserve">ARCHIVADO CON SILENCIO NEGATIVO POR EL AREA DE GESTION </t>
  </si>
  <si>
    <t>PER-BSIA-140101-226</t>
  </si>
  <si>
    <t>R.D. N°129-2024 DIGDOT/ MINSA</t>
  </si>
  <si>
    <t>CLÍNICA CHICLAYO S.A.</t>
  </si>
  <si>
    <t>AV. LA FLORIDA 225 URB. SANTA VICTORIA</t>
  </si>
  <si>
    <t>DR. CARLOS ALBERTO D'ANGELO RAMOS</t>
  </si>
  <si>
    <t>clinicachiclayo.sa@gmail.com</t>
  </si>
  <si>
    <t xml:space="preserve">MC. ESPEC. PAT. CLIN. ROSITA GALVEZ CABRERA </t>
  </si>
  <si>
    <t>LIC. TM. ANDERSON RAMOS DÍAZ, DARWIN ALMANZOR FERNANDEZ, PACHERRES BUSTAMANTE LESVIA</t>
  </si>
  <si>
    <t>N° 2024-0218821</t>
  </si>
  <si>
    <t>RD DE OTORGAMIENTO DE AS (BS IA)</t>
  </si>
  <si>
    <t xml:space="preserve">CLINICA SAN MIGUEL DE ARCANGEL </t>
  </si>
  <si>
    <t>D-05/09/25</t>
  </si>
  <si>
    <t>Avenida Sánchez Cerro Manzana O Lote 1, Urbanización Santa Ana</t>
  </si>
  <si>
    <t>JULIO PEREDA ARIAS</t>
  </si>
  <si>
    <t>madreperpetuosocorro2018@gmail.com</t>
  </si>
  <si>
    <t>MC. ELMER LIZANA PUELLES</t>
  </si>
  <si>
    <t>942177703/920710494</t>
  </si>
  <si>
    <t>D1 24/09/25</t>
  </si>
  <si>
    <t xml:space="preserve">T.M. Flor de María Zapata Coronado.T.M. Flor de María Castro de la Cruz.T.M. Vanessa Ivon Panta Cruz.T.M. Carmen del Pilar Ortiz Morocho. T.M. Karen Andrea Novillo
</t>
  </si>
  <si>
    <t>N° 2024-0259920 y N° 2024- 0274310</t>
  </si>
  <si>
    <t>JR. AEROPUERTO S/N CON JR TIWINZA S/N</t>
  </si>
  <si>
    <t>OBSTA. Einstein Becker CARDENAS VALDIVIA</t>
  </si>
  <si>
    <t>917 355 703</t>
  </si>
  <si>
    <t>MC. RAUL OLOYA ALARCON CIRUJANO GENERAL</t>
  </si>
  <si>
    <t>960 223 975</t>
  </si>
  <si>
    <t>TM. LABRIN ZANELLI JONATHAN, EDWIN JAMI HUAMAN GONZALES, VERONICA JANETH LOPEZ VARGAS</t>
  </si>
  <si>
    <t>LIC VILCHEZ</t>
  </si>
  <si>
    <t>RD DE OTORGAMIENTO DE BS TIPO IB</t>
  </si>
  <si>
    <t>N° 2024-0206812 y 2024-0252036</t>
  </si>
  <si>
    <t>PER-BSIA-040101-229</t>
  </si>
  <si>
    <t>R.D. N° 128-2024 DIGDOT/ MINSA</t>
  </si>
  <si>
    <t>D1 01/09/25</t>
  </si>
  <si>
    <t>D2 01/09/25</t>
  </si>
  <si>
    <t>OFTALMOSALUD-AREQUIPA</t>
  </si>
  <si>
    <t>GIANCARLO JESUS URQUIZA CORDOVA</t>
  </si>
  <si>
    <t>ggutierrez@oftalmosaludaqp.com</t>
  </si>
  <si>
    <t>MC.RICARDO JERICO JUAREZ ZEVALLOS</t>
  </si>
  <si>
    <t>956489919/958420766</t>
  </si>
  <si>
    <t xml:space="preserve">BIOLOGA SUSANA MARTHA PAREDES NUÑEZ, TM RONALD LUIS LEON SOTO </t>
  </si>
  <si>
    <t xml:space="preserve">                                                    N°2024-0177636 Y  N°2024-0190827</t>
  </si>
  <si>
    <t>PER-BSIA-080108-230</t>
  </si>
  <si>
    <t>R.D. N° 135-2024 DIGDOT/ MINSA</t>
  </si>
  <si>
    <t>CLINICA SAN JOSE  S.A.C, NC: SAN JOSE</t>
  </si>
  <si>
    <t>RD DE OTORGAMIENTO DE AS (BS I C)</t>
  </si>
  <si>
    <t>CLÍNICA INTERNACIONAL-SEDE SAN BORJA</t>
  </si>
  <si>
    <t>Av. Los Incas N° 1408</t>
  </si>
  <si>
    <t>VB05/09/2025</t>
  </si>
  <si>
    <t>SHANNEN BAPTISTA OJEDA</t>
  </si>
  <si>
    <t>VB 09/09</t>
  </si>
  <si>
    <t>PER-BSIA-140101-231</t>
  </si>
  <si>
    <t>R.D. N°127 -2024 DIGDOT/ MINSA</t>
  </si>
  <si>
    <t>HOSPITAL DE CLINICAS LAMBAYEQUE SAC.</t>
  </si>
  <si>
    <t xml:space="preserve">CHICLAYO </t>
  </si>
  <si>
    <t>Calle Francisco Cabrera #611</t>
  </si>
  <si>
    <t>Pedro Pablo Casa Laura</t>
  </si>
  <si>
    <t>PATOLOGO CLINICO ISMAEL MUJICA CORNEJO</t>
  </si>
  <si>
    <t>Tecnólogo Medico: Chero Quevedo, Miluska, Ramos Diaz, Anderson   ; Biólogo:  Diaz Hoyos, Wimber, De la Cruz Cueva, Alexander</t>
  </si>
  <si>
    <t>2024-0249797</t>
  </si>
  <si>
    <t>PER-BSIA-200101-232</t>
  </si>
  <si>
    <t>R.D. N° 122-2024 DIGDOT/ MINSA</t>
  </si>
  <si>
    <t>VB 08/09</t>
  </si>
  <si>
    <t>CLINICA LOS COCOS DE RAZÓN SOCIAL CLINICA LOS COCOS E.I.R.L.</t>
  </si>
  <si>
    <t>AVENIDA SULLANA N° 290-292 URBANIZACIÓN CLUB GRAU</t>
  </si>
  <si>
    <t>M.C. SOCORRO VALLADOLID HERNANDEZ</t>
  </si>
  <si>
    <t>943848432/ clinica.loscocos@hotmail.com</t>
  </si>
  <si>
    <t>M.C. CAROL CARLOS CORONADO</t>
  </si>
  <si>
    <t>TM NORMA VALENCIA VALVERDE, TM FLOR DE MARIA CASTRO DE LA CRUZ, TM FLOR DE MARIA ZAPATA CORONADO, TM VANESSA PANTA CRUZ</t>
  </si>
  <si>
    <t xml:space="preserve">2024-0216116, 2024-0238908, N° 2024-0260048 y
 N° 2024-0293366 
</t>
  </si>
  <si>
    <t>PER-BSIA-130201-233</t>
  </si>
  <si>
    <t>R.D. N° 130-2024 DIGDOT/ MINSA</t>
  </si>
  <si>
    <t xml:space="preserve">INFORME Y RD DE RECONSIDERACIÓN IMPROCEDENTE </t>
  </si>
  <si>
    <t>HOSPITAL ESSALUD III JULIACA</t>
  </si>
  <si>
    <t>HOSPITAL PROVINCIAL ASCOPE "ROSA SANCHEZ DE SANTILLAN"</t>
  </si>
  <si>
    <t>ASCOPE</t>
  </si>
  <si>
    <t>VB 11/09</t>
  </si>
  <si>
    <t>AVENIDA AV. GRAU S/N</t>
  </si>
  <si>
    <t>Luis Omar Rodríguez Minchola</t>
  </si>
  <si>
    <t>MC. ELSA JERI VEGA</t>
  </si>
  <si>
    <t>939 683 885</t>
  </si>
  <si>
    <t xml:space="preserve">BLGOS: AZAÑERO MANUEL,DIAZ MENDO OSCAR,SERVIO BALAREZO VARGAS,JUNIOR HOLGUIN NEIRA, TM: ROLANDO MELENDEZ, JOSE BUSTAMANTE </t>
  </si>
  <si>
    <t xml:space="preserve">N°2024-188765,2024-0247597,2024- 0289929      </t>
  </si>
  <si>
    <t>PER-BSIA-040701-234</t>
  </si>
  <si>
    <t>R.D. N° 002-2025 DIGDOT/ MINSA</t>
  </si>
  <si>
    <t xml:space="preserve">HOSPITAL II MANUEL DE TORRES MUÑOZ </t>
  </si>
  <si>
    <t>MOLLENDO</t>
  </si>
  <si>
    <t>ISLAY</t>
  </si>
  <si>
    <t>CALLE JUAN B. ARENAS S/N</t>
  </si>
  <si>
    <t>Erick Joel Yafac Serrano</t>
  </si>
  <si>
    <t>m.c Leonel Claros Maquera</t>
  </si>
  <si>
    <t>RD DE OTROGAMIENTO DE AS (BS IA)</t>
  </si>
  <si>
    <t>CENTRO DE SALUD "LA UNION"</t>
  </si>
  <si>
    <t>PER-BSIA-150141-235</t>
  </si>
  <si>
    <t>R.D. N° 003-2025 DIGDOT/ MINSA</t>
  </si>
  <si>
    <t>CLINICA SANENS - RZ D&amp;M MEDICAL BUSINESS S.A.C</t>
  </si>
  <si>
    <t>AV.PROLONGACION RICARDO PALMA 298</t>
  </si>
  <si>
    <t xml:space="preserve">PRIVADO </t>
  </si>
  <si>
    <t>JORGE TOMATEO VALENCIA</t>
  </si>
  <si>
    <t>PATOLOGO FREDY GONZALES ORDINOLA</t>
  </si>
  <si>
    <t xml:space="preserve">TM: TM KATHIA DIRCE QUISPE ANDIA, CHRISTIAN BEDON DEL RISCO Y PAUCAR TOMAPASCA KARIM </t>
  </si>
  <si>
    <t>LIC. T.M. MIRELLE GOMEZ</t>
  </si>
  <si>
    <t>N°2024-0219737, 2024-0252020, 2024-0285446 y 2024-0310516</t>
  </si>
  <si>
    <t>RECTIFICACION DE CODIGO IPRESS EN LA RESOLUCION DIRECTORAL N°D000056-2025-DIGDOT-MINSA</t>
  </si>
  <si>
    <t>VB 23/09</t>
  </si>
  <si>
    <t xml:space="preserve">R.D. N°   012-2025 DIGDOT/ MINSA  </t>
  </si>
  <si>
    <t>Av. Miguel Grau N°680 Asentamiento Humano “San Nicolás” - Chiclayo</t>
  </si>
  <si>
    <t>M.C. SERGIO BRAVO SORIANO</t>
  </si>
  <si>
    <t>978824137 LIC.JUANA /ADMINISTRADORA</t>
  </si>
  <si>
    <t>M.P. TONY FARIAS RODRIGUEZ</t>
  </si>
  <si>
    <t>979353197/945219102</t>
  </si>
  <si>
    <t xml:space="preserve">Lic. T.M. Luina Sánchez Contreras,    Lic. T.M. Anderson Ramos Diaz, Lic. T.M. Irene Frías López                                                                                                                                                                                                                                                  </t>
  </si>
  <si>
    <t>N° 2024-0219275  y 2024-0250011</t>
  </si>
  <si>
    <t>PER-BSIA-040520-237</t>
  </si>
  <si>
    <t>RD DE OTORGAMIENTO DE AS (BS IB)</t>
  </si>
  <si>
    <t>R.D. N°   006-2025 DIGDOT/ MINSA</t>
  </si>
  <si>
    <t>HOSPITAL SIMON BOLIVAR</t>
  </si>
  <si>
    <t>HOSPITAL CENTRAL DE MAJES ING. ÁNGEL GABRIEL CHURA GALLEGOS</t>
  </si>
  <si>
    <t>MAJES</t>
  </si>
  <si>
    <t>CAYLLOMA</t>
  </si>
  <si>
    <t>Asentamiento B-1 Lote 1 Irrigación Majes</t>
  </si>
  <si>
    <t>M.C. JOHNNY FREDY CHARCA RODRIGUEZ</t>
  </si>
  <si>
    <t>hospitalcentraldemajes@gmail.com</t>
  </si>
  <si>
    <t>Patologa Clinica Yesenia Jhudyth Jalisco Choque</t>
  </si>
  <si>
    <t xml:space="preserve">Biólogo Wilfredo Jesús Barreda Maraza, Bióloga Ana María Diaz Montes, Bióloga Katherine Deysi Rodríguez Quispe, Bióloga Rosa Isabel Quispe Chavez.
</t>
  </si>
  <si>
    <t>N° 2024-0182975, 2024-0215921 y 2024-0310011</t>
  </si>
  <si>
    <t>PER-BSIA-140101-238</t>
  </si>
  <si>
    <t>R.D. N°015-2025 DIGDOT/ MINSA</t>
  </si>
  <si>
    <t>HOSPITAL CLINICO PROVIDA SAC</t>
  </si>
  <si>
    <t xml:space="preserve">Calle Juan Cuglievan N° 160 </t>
  </si>
  <si>
    <t>MC. HENRY VEGA TORRES</t>
  </si>
  <si>
    <t>laboratorio01.provida@gmail.com</t>
  </si>
  <si>
    <t>Patologa Patricia Segura Ríos</t>
  </si>
  <si>
    <t xml:space="preserve">Biologo Arbaiza Cubas Armando, TM. Chaquila guevara jesús, Biologa carrasco mendoza lizbeth, </t>
  </si>
  <si>
    <t>RD DE OTORGAMIENTO DE AS ( BSIA)</t>
  </si>
  <si>
    <t xml:space="preserve">CLINICA SAN ISIDRO LABRADOR </t>
  </si>
  <si>
    <t xml:space="preserve">N°  2024-031213, 2025-0018978 </t>
  </si>
  <si>
    <t>VB 16/09</t>
  </si>
  <si>
    <t>Av. Andres Avelino Cáceres  559</t>
  </si>
  <si>
    <t>MC. AUGUSTO ALBERTO BALDOCEDA SARMIENTO</t>
  </si>
  <si>
    <t>PATOLOGO ALEJANDRO BARBARAN AREVALO</t>
  </si>
  <si>
    <t xml:space="preserve">TECNOLOGO CARLOS HERBIAS FAJARDO </t>
  </si>
  <si>
    <t>2024-0312999, 2025-0027507</t>
  </si>
  <si>
    <t>RD DE OTORGAMIENTO DE AS (BSIA)</t>
  </si>
  <si>
    <t>CLINICA SEÑOR DE LUREN</t>
  </si>
  <si>
    <t xml:space="preserve">PER-BSIA- 150135 -240 </t>
  </si>
  <si>
    <t>R.D. N°019-2025 DIGDOT/ MINSA</t>
  </si>
  <si>
    <t>D1 25/09</t>
  </si>
  <si>
    <t>VB 25/09</t>
  </si>
  <si>
    <t>CREO CLINICA RENAL Y ONCOLÓGICA</t>
  </si>
  <si>
    <t>Jirón Eloy Espinoza Saldaña N° 700 Urb. Palao 4ta etapa</t>
  </si>
  <si>
    <t>MC JUAN CARLOS FONSECA ROMERO</t>
  </si>
  <si>
    <t xml:space="preserve">PATOLOGO CLINICO ANGEL QUISPE RICCI </t>
  </si>
  <si>
    <t>936 145 180</t>
  </si>
  <si>
    <t>TM.MARIANO GIOVANNI LOPEZ CAMPANA, TM Torrejón Quezada Fanny Lissette</t>
  </si>
  <si>
    <t>2025-0015144, 2025-0040039</t>
  </si>
  <si>
    <t>PER-BSIA-150120 -241</t>
  </si>
  <si>
    <t>RD SUSPENSION DEFINITIVA DE AS (BSIA)</t>
  </si>
  <si>
    <t>R.D. N°   022-2025 DIGDOT/ MINSA</t>
  </si>
  <si>
    <t>CLINICA SAN JUAN - REGION LORETO</t>
  </si>
  <si>
    <t>Razón social “PERU MEDICAL CENTER S.R.L.” y Nombre comercial CLINICA MARBELLA</t>
  </si>
  <si>
    <t>Av. Del Ejercito N° 1020</t>
  </si>
  <si>
    <t>D1 22/09</t>
  </si>
  <si>
    <t>MC. NILTON TORIBIO VILLARREAL</t>
  </si>
  <si>
    <t>999197007/ Administradora Andrea</t>
  </si>
  <si>
    <t>Patologo Clinico Patricia Liliana García López</t>
  </si>
  <si>
    <t xml:space="preserve">T.M. Merlina Doilyth Dominguez Cachique, T.M. Juan José Montañez Mejía., T.M. Mayra Paulina Estrada Muñoz, T.M. Giannina Elena Cervera Diaz, T.M. Richard Humberto Lima García.
</t>
  </si>
  <si>
    <t>2025- 0026647, 2025- 038845 y 2025-0048169</t>
  </si>
  <si>
    <t xml:space="preserve">AA.HH COSSIO DE POMAR S/N </t>
  </si>
  <si>
    <t xml:space="preserve">PEDRO ALBERTO TULLUME FLORES </t>
  </si>
  <si>
    <t>PATOLOGO CLINICO LIZ NATIVE ZELADA HERNANDEZ. Dra Anapula Garcia comunica que ya no labora desde el 13/05/26</t>
  </si>
  <si>
    <t>LIC. T.M .KARLA MECA AVILA, LIC. T.M HEINER VAZQUEZ IDROGO, LIC. T.M FRANCIS VIVANCO MENDOZA, LIC. T.M LUIS ALBERTO LIZANA MACHADO , LIC. T.M  JACKELIN IDRUGO ATALAYA.</t>
  </si>
  <si>
    <t xml:space="preserve">  N° de Expediente 2024-0311235 Y 2025-0036307</t>
  </si>
  <si>
    <t>PPR REGULARIZAR</t>
  </si>
  <si>
    <t>PER-BSIA-150131-243</t>
  </si>
  <si>
    <t>R.D.N° 023-2025 DIGDOT/MINSA</t>
  </si>
  <si>
    <t>de nombre comercial “NOVOCLINIC” y de razón social “CENTRO DE INVESTIGACIÓN Y ATENCIÓN CARDIOVASCULAR SOCIEDAD ANONIMA CERRADA”</t>
  </si>
  <si>
    <t>Av. Salaverry 2665-2669</t>
  </si>
  <si>
    <t>GERENTE GENERAL DIEGO SEGUNDO ISAYAMA MANQRIQUE</t>
  </si>
  <si>
    <t>gerencia.novoclinic@gmail.com</t>
  </si>
  <si>
    <t>PATOLOGO CLINIC FLORA YOLANDA EUGENIO FELIPA</t>
  </si>
  <si>
    <t>LIC. T.M. MIGUEL ANGEL ORDERIQUE MOGOLLON (970700466 RESPONSABLE DE CALIDAD),  LIC. T.M. COSME EDUARDO QUINTANA QUINATANA, LIC. T.M. GIOVANA BEATRIZ GUTIERREZ</t>
  </si>
  <si>
    <t>PER-BSIA-50201-244</t>
  </si>
  <si>
    <t>R.D.N° 024-2025 DIGDOT/MINSA</t>
  </si>
  <si>
    <t>CLINICA SANTISIMA VIRGEN DE LA PUERTA</t>
  </si>
  <si>
    <t>HOSPITAL DE APOYO CANGALLO</t>
  </si>
  <si>
    <t>CANGALLO</t>
  </si>
  <si>
    <t>Jr. Santa Rosa N° 110</t>
  </si>
  <si>
    <t>OBSTA. Erick Osnayo Leon</t>
  </si>
  <si>
    <t>Pat. Clí. Angela Zarina Chava Ponte</t>
  </si>
  <si>
    <t>Biologo Rosario Consuelo Euribe Rojas, Biologa Lida Edith Ayala Quispe, Biologo Bianca Vanessa Pariona Alfaro, Biologa Magaly Judith Canales Chuchon</t>
  </si>
  <si>
    <t>2025-0057490 , 2025-0025553, 2025-0041616</t>
  </si>
  <si>
    <t>HOSPITAL REGIONAL DE AYACUCHO: F.I: 31/03/2025 (VCTO 4 AÑOS)</t>
  </si>
  <si>
    <t>PER-BSIA-040701-245</t>
  </si>
  <si>
    <t>R.D.N°026-2025 DIGDOT/MINSA</t>
  </si>
  <si>
    <t>CENTRO DE SALUD ALTO INCLAN</t>
  </si>
  <si>
    <t>LIC .VILCHEZ</t>
  </si>
  <si>
    <t xml:space="preserve">CARRETERA MOLLENDO-MEJIA SUB LOTE"B" S/N B-2, AV EVITAMIENTO, CALLE YARAVI S/N </t>
  </si>
  <si>
    <t>RD DE OTORGAMIENTO DE BS(TIPO II)</t>
  </si>
  <si>
    <t>HOSPITAL III BASE PUNO -ESALUD</t>
  </si>
  <si>
    <t>DR.GILBERTO RAFAEL GALLEGOS RAMOS</t>
  </si>
  <si>
    <t>MEDICO PATOLOGO WINNY AUREA CACERES ROJAS</t>
  </si>
  <si>
    <t xml:space="preserve">LIC . TM TORRES SALAS CARLOS ALBERTO,LIC .TM CAMACHO FERNANDEZ ALVARO , LIC . TM CHAVEZ VIZCARRA MILAGROS DEL ROSARIO , LIC. BIOLOGA LOVERA ARMACANQUI JANETH ANTONIA </t>
  </si>
  <si>
    <t>D1 23/09</t>
  </si>
  <si>
    <t>D2 25/09</t>
  </si>
  <si>
    <t>2025-0009511,2025-0038344 Y 2025-0058065</t>
  </si>
  <si>
    <t>PER-BSIA-70102-246</t>
  </si>
  <si>
    <t>R.D.N°027-2025 DIGDOT/MINSA</t>
  </si>
  <si>
    <t>NOMBRE COMERCIAL CLINICA G´STAR DE RAZON SOCIAL DIAL SALUD SAC</t>
  </si>
  <si>
    <t>Calle Amancaes N°240, Urbanización Jardines de Virú</t>
  </si>
  <si>
    <t>M.C. SEGUNDO MELENDEZ AVALOS</t>
  </si>
  <si>
    <t>clinicagstar@gmail.com</t>
  </si>
  <si>
    <t xml:space="preserve">M.C. JAMITSON TORRES AGUILAR </t>
  </si>
  <si>
    <t xml:space="preserve">T.M. CLAUDIA MELISSA AUQUI ZAPATA (RESPONSABLE DE CALIDAD), T.M. CINTIA DAMIANA MIRANDA COMUN, T.M. DANIEL SALINAS MEZA, TM EVELYNE TRACY PAREDES SIPAN </t>
  </si>
  <si>
    <t>PER-BSIA-150113-247</t>
  </si>
  <si>
    <t>R.D.N°    032-2025 DIGDOT/MINSA</t>
  </si>
  <si>
    <t>RD DE SUSPENSION TEMPORAL (IB)</t>
  </si>
  <si>
    <t>HOSPITAL ULDARICO ROCCA FERNANDEZ</t>
  </si>
  <si>
    <t>resp 07/11/2025</t>
  </si>
  <si>
    <t xml:space="preserve">Clínica Especializada De Cirugía Plástica Y Reconstructiva Y Estética San Miguel S.A.C-Denominación: Clínica San Miguel S.A.C </t>
  </si>
  <si>
    <t>Jesús María</t>
  </si>
  <si>
    <t>Lima</t>
  </si>
  <si>
    <t>Jr. Estados Unidos n°878</t>
  </si>
  <si>
    <t>Dr. Walter Rodríguez Villanueva.</t>
  </si>
  <si>
    <t>consultas@clinicaesteticasanmiguel.com</t>
  </si>
  <si>
    <t>Pat. Cli. Tatiana Saravia Romani</t>
  </si>
  <si>
    <t>937 677 826  (dra Tatiana)</t>
  </si>
  <si>
    <t>T.M. RUBY MURGUEYRIO DONAYRE (RESPONSABLE DE CALIDAD), T.M. DIANA ROJAS SALDAÑA, T.M. DIANA PATRICIA ALMEYDA</t>
  </si>
  <si>
    <t>DATOS RECOLECTADOS DURANTE SUPERVISION DE BANCOS DE SANGRE AUTORIZADOS 2023-2025</t>
  </si>
  <si>
    <t>Expediente N° 2025-0040152, 2025-0050200, 2025-0065263</t>
  </si>
  <si>
    <t>BSII</t>
  </si>
  <si>
    <t>PER-BSIA-180106-248</t>
  </si>
  <si>
    <t>R.D.N°    030-2025 DIGDOT/MINSA</t>
  </si>
  <si>
    <t>EQUIPO TECNICO RESPOSANBLE</t>
  </si>
  <si>
    <t>HOSPITAL CUAJONE DE LA SPCC DE RAZÓN SOCIAL SOUTHERN PERU COOPER CORPORATION</t>
  </si>
  <si>
    <t>TORATA</t>
  </si>
  <si>
    <t>CUAJONE S/N</t>
  </si>
  <si>
    <t xml:space="preserve">M.C. ALEXIS PABLO URDAY HUARILLOCLLA </t>
  </si>
  <si>
    <t>aurdayh@southernperu.com.pe</t>
  </si>
  <si>
    <t>M.C. Juan Carlos Alpaca Fuentes</t>
  </si>
  <si>
    <t>987 974 911</t>
  </si>
  <si>
    <t xml:space="preserve">- Lic. T.M. Manuel Anicama Espino, Lic. T.M. Catherine Alave Cardenas y Lic. T.M. Ticona Aracayo Giovanni.
</t>
  </si>
  <si>
    <t>CLNICA SEÑOR DE LOS MILAGROS</t>
  </si>
  <si>
    <t xml:space="preserve"> N° 2025-0038371, N° 2025-0060195 y N° 2025-0063738 </t>
  </si>
  <si>
    <t>PER-BSIA150110-249</t>
  </si>
  <si>
    <t>R.D.N°    036-2025 DIGDOT/MINSA</t>
  </si>
  <si>
    <t>INMUNOHEMATOLOGIA</t>
  </si>
  <si>
    <t>CLÍNICA UNIVERSITARIA S.A.C.</t>
  </si>
  <si>
    <t>Avenida Universitaria N°6062 y Jirón Pagador N°137, Urbanización Santa Luzmila</t>
  </si>
  <si>
    <t>DR. JUAN JAQUE ALONSO</t>
  </si>
  <si>
    <t>INMUNOSEROLOGIA</t>
  </si>
  <si>
    <t>M.C. Vilma Acurio Usca</t>
  </si>
  <si>
    <t>TM. Keyla Fernández, TM Diana Flores, TM Rina Rique, TM Liz Pio Dávila, TM Luis cano quispe</t>
  </si>
  <si>
    <t>AFERESIS</t>
  </si>
  <si>
    <t>BOLSA DE EXTRACCION</t>
  </si>
  <si>
    <t>N°2025-0046746, N°2025-0059947 y N°2025-0074710</t>
  </si>
  <si>
    <t xml:space="preserve">HOSPITAL DE APOYO DE YUNGAY </t>
  </si>
  <si>
    <t xml:space="preserve">SOFTWARE DE GESTION DE BS </t>
  </si>
  <si>
    <t>R.D.N°   046 -2025 DIGDOT/MINSA                             R.D. N.° 129-2025-DIGDOT-MINSA</t>
  </si>
  <si>
    <t>12/05/2025                 26/11/2025</t>
  </si>
  <si>
    <t>CONTROL EXTERNO INMUNOSEROLOGIA</t>
  </si>
  <si>
    <t>MODELO DE EQUIPO</t>
  </si>
  <si>
    <t>CLÍNICA SANTA ROSA (SUSPENSION DEFINITIVA)</t>
  </si>
  <si>
    <t>CESION DE USO/PROPIO</t>
  </si>
  <si>
    <t>Jirón Los Laureles S/N Manzana L Lote 17</t>
  </si>
  <si>
    <t>METODOLOGIA</t>
  </si>
  <si>
    <t>MC.Luis de Gonzaga Medina Ludeña</t>
  </si>
  <si>
    <t xml:space="preserve"> 968 353 001</t>
  </si>
  <si>
    <t>MC.JAMES TEODORO CURI PRADO</t>
  </si>
  <si>
    <t>999 113 901</t>
  </si>
  <si>
    <t>LIC. TM. QUISPE FERNANDEZ MARIA SOLEDAD,LIC. TM. LLAMOCCA BENDEZU RENEN ANGEL</t>
  </si>
  <si>
    <t>PLAQUETOFERESIS</t>
  </si>
  <si>
    <t>RECAMBIO PLASMÁTICO</t>
  </si>
  <si>
    <t>N°2025-0059271, 2025-0066252</t>
  </si>
  <si>
    <t xml:space="preserve">MARCA/TIPO </t>
  </si>
  <si>
    <t>NOMBRE</t>
  </si>
  <si>
    <t>PER-BSIA150132-251</t>
  </si>
  <si>
    <t>R.D.N°D0000037-2025 DIGDOT/MINSA</t>
  </si>
  <si>
    <t xml:space="preserve">Maydana/Riveros
</t>
  </si>
  <si>
    <t>IH-1000;  NEO IRIS</t>
  </si>
  <si>
    <t>CLINICA SAN MARCOS PROPIEDAD
DE LA PERSONA JURIDICA “GRUPO CASTA SOCIEDAD ANONIMA CERRADAGRUPO CASTA S.A.C.”</t>
  </si>
  <si>
    <t>ALINITY I</t>
  </si>
  <si>
    <t>QUIMIOLUMINISCENCIA</t>
  </si>
  <si>
    <t>CESION DE USO</t>
  </si>
  <si>
    <t>TRIMA</t>
  </si>
  <si>
    <t>Av. Santa Rosa de Lima N°1719-1721</t>
  </si>
  <si>
    <t>OPTIA</t>
  </si>
  <si>
    <t xml:space="preserve">Cesar CASTILLO ALEGRIA
Gerente General </t>
  </si>
  <si>
    <t>TERUMO CUADRUPLE Y TRIPLE</t>
  </si>
  <si>
    <t>HEXABANK</t>
  </si>
  <si>
    <t>MC. KATIA ROXANA ZUÑIGA GOMEZ</t>
  </si>
  <si>
    <t>PROGBA / PEVED 2022</t>
  </si>
  <si>
    <t>998812430 (DRA KATIA)</t>
  </si>
  <si>
    <t xml:space="preserve">TM. BERMUDO RODRIGUEZ JUANA ROSA (T:27/MAYO/2022) 
TM PAUL PERCY RUEDA GRIJALVA (T:28/FEB/2023)
TM RAMOS NINATAYPE MARIA ISABEL </t>
  </si>
  <si>
    <t xml:space="preserve">Bustamante/Vilchez </t>
  </si>
  <si>
    <t>IH 500 BIORAD</t>
  </si>
  <si>
    <t>CESION EN USO</t>
  </si>
  <si>
    <t xml:space="preserve">MAGLUMI V3 </t>
  </si>
  <si>
    <t>Expediente N°2025-0039638, N°2025-0059697, N°2025-0082937</t>
  </si>
  <si>
    <t>SAN BARTOLOME</t>
  </si>
  <si>
    <t>NO CUENTA</t>
  </si>
  <si>
    <t xml:space="preserve">PER-BSIA150120-252 </t>
  </si>
  <si>
    <t>R.D.N°    042-2025 DIGDOT/MINSA</t>
  </si>
  <si>
    <t>CUADRUPLE /MACOFARMA</t>
  </si>
  <si>
    <t>BLOTEM/ SIDGALEM</t>
  </si>
  <si>
    <t>CESION EN USO Y PROPIO</t>
  </si>
  <si>
    <t>BIORAD / PEVET 2022</t>
  </si>
  <si>
    <t>CIRE INTERVENCIONISTAS</t>
  </si>
  <si>
    <t>Ramírez/Gómez</t>
  </si>
  <si>
    <t>DEVUELTO</t>
  </si>
  <si>
    <t>IH-10000; IH-500</t>
  </si>
  <si>
    <t>CESIÓN EN USO</t>
  </si>
  <si>
    <t>LIAISON</t>
  </si>
  <si>
    <t>JR. LIBERTAD 1106</t>
  </si>
  <si>
    <t>MC. ORESTES TORRES</t>
  </si>
  <si>
    <t>997 894 514</t>
  </si>
  <si>
    <t>NO REALIZA</t>
  </si>
  <si>
    <t xml:space="preserve">MC. PATOLOGO CLINICO CÉSAR CHIAN </t>
  </si>
  <si>
    <t>CESIÓN DE USO</t>
  </si>
  <si>
    <t>RD DE OTORGAMIENTO DE AS (IA)</t>
  </si>
  <si>
    <t>990 380 377</t>
  </si>
  <si>
    <t>QUINTUPLE Y CUADRUPLE MACOPHARMA</t>
  </si>
  <si>
    <t>CENTRO MEDICO QUIRUGICO JUAN PABLO II EIRL</t>
  </si>
  <si>
    <t xml:space="preserve">MC. CESAR CHIANG, TM YAHAIRA CLEMENTE, TM ANA CARREÑO, TM FATIMA TORRES, TM GISSELA ROJAS </t>
  </si>
  <si>
    <t>DELPHY</t>
  </si>
  <si>
    <t>DV</t>
  </si>
  <si>
    <t>PNCQ/PEVED 2022</t>
  </si>
  <si>
    <t>RS: CONGREGACION HIJAS DE SAN CAMILO Y NC: CLINICA PADRE LUIS TEZZA</t>
  </si>
  <si>
    <t>Expediente N°: 2025-0065964, 2025-0074807</t>
  </si>
  <si>
    <t>Fernandez/Riveros</t>
  </si>
  <si>
    <t>Grifols Semiautomatizado</t>
  </si>
  <si>
    <t>cesion en uso</t>
  </si>
  <si>
    <t>Architech</t>
  </si>
  <si>
    <t>PER-BSIA210301-253</t>
  </si>
  <si>
    <t>R.D.N°    039-2025 DIGDOT/MINSA</t>
  </si>
  <si>
    <t>AHEMONETICS</t>
  </si>
  <si>
    <t xml:space="preserve">HOSPITAL SAN MARTIN DE PORRES </t>
  </si>
  <si>
    <t>CUADRUPLE /TERUMO</t>
  </si>
  <si>
    <t xml:space="preserve">MACUSANI </t>
  </si>
  <si>
    <t>Donalab</t>
  </si>
  <si>
    <t>Carabaya</t>
  </si>
  <si>
    <t>PROGBA / NO TENIAN RESULTADOS DE PEVED 2022</t>
  </si>
  <si>
    <t>AV. SIMON BOLIVAR 1102 SALIDA AL DISTRITO DE AYAPATA</t>
  </si>
  <si>
    <t xml:space="preserve">M.C. IVAN FIDEL FERNANDEZ MAMANI      </t>
  </si>
  <si>
    <t>Maydana/Huarcaya</t>
  </si>
  <si>
    <t xml:space="preserve">    hospitalmacusani@gmail.com </t>
  </si>
  <si>
    <t>HEMATOLOGO CRISSY MIRANDA MAYTA</t>
  </si>
  <si>
    <t>TM.:  AMPARO BARBARA SAAVEDRA LIPE, HUICHUI JARA JESÚS BAUTISTO, COLCA QUISPE YHOHAO FIRFHO, JUNIOR MARCIAL GÓMEZ HERRERA  - BIOLOGOS :  MABEL KARINA SALAZAR CALLA, MIRANDA VILCA MARCO RUBÉN</t>
  </si>
  <si>
    <t>CUADRUPLE/MACOPHARMA</t>
  </si>
  <si>
    <t xml:space="preserve">                    Expediente N° 2025-0027968, 2025-0052024 Y 2025-0082779</t>
  </si>
  <si>
    <t>BBCORE</t>
  </si>
  <si>
    <t>ASEGCALAB</t>
  </si>
  <si>
    <t>PER-BSIA200101-255</t>
  </si>
  <si>
    <t>R.D.N° 045-2025 DIGDOT/MINSA</t>
  </si>
  <si>
    <t>LIC RUFASTO</t>
  </si>
  <si>
    <t>Fernandez/         Quispicondor</t>
  </si>
  <si>
    <t>SOLUMEDIC TARAPOTO</t>
  </si>
  <si>
    <t>CLÍNICA SANTIVAÑEZ</t>
  </si>
  <si>
    <t>CALLE LOS TAMARINDOS N°143 URB. 04 DE ENERO</t>
  </si>
  <si>
    <t>MC. ANIBAL HUMBERTO SANTIVAÑEZ SEMINARIO</t>
  </si>
  <si>
    <t>clinicasantivañez@gmail.com</t>
  </si>
  <si>
    <t>MC. MARIA FRANCESCA TASSARA CICCHINI (ESP. HEMATO. Y HEMOTERAPIA)</t>
  </si>
  <si>
    <t>Nicho/Torres</t>
  </si>
  <si>
    <t>IH500BIORAD</t>
  </si>
  <si>
    <t>TM. JHON VICTOR CHUMACERO ROMAN, TM. KATIA FRANCESCA MERCEDES NOVOA COVA</t>
  </si>
  <si>
    <t>Architeh</t>
  </si>
  <si>
    <t>TRIMAX</t>
  </si>
  <si>
    <t>Expediente N°2025-0049300, N°2025-0067715, N°2025-0070040 y N°2025-xxxxx</t>
  </si>
  <si>
    <t>OPTIA SPECTRA</t>
  </si>
  <si>
    <t>CESION USO</t>
  </si>
  <si>
    <t>PER-BSIA120101-256</t>
  </si>
  <si>
    <t>R.D.N°    038-2025 DIGDOT/MINSA</t>
  </si>
  <si>
    <t>Nicho/Barbeyto</t>
  </si>
  <si>
    <t>NEO IRIS</t>
  </si>
  <si>
    <t>VITROS 3600</t>
  </si>
  <si>
    <t>CLINICA OFTALMOLOGICA REGIONAL S.A.C.</t>
  </si>
  <si>
    <t xml:space="preserve">devuelto </t>
  </si>
  <si>
    <t>SUSPENSIÓN DEFINITIVA POR NO REMITIR INFORMACIÓN PARA LEV DE OBS</t>
  </si>
  <si>
    <t>EQAS/PEVED 2024</t>
  </si>
  <si>
    <t>CLÍNICA GAXAY</t>
  </si>
  <si>
    <t>Calle los Alelíes N ° 113</t>
  </si>
  <si>
    <t>Nicho/Gomez</t>
  </si>
  <si>
    <t>IH-500 BIORAD</t>
  </si>
  <si>
    <t>Cesar Angel Ortega</t>
  </si>
  <si>
    <t>954418252 Administrativo</t>
  </si>
  <si>
    <t>M.C. Lorenzo José Castro Germana Patologo clinico</t>
  </si>
  <si>
    <t xml:space="preserve">T.M. Celso Cotrina Garces., T.M. Quesquen Carrillo Victor Edgardo,T.M. Flores Alvarado Laura Guicela.
</t>
  </si>
  <si>
    <t>PROPIO</t>
  </si>
  <si>
    <t>N°2024- 0249174, N° 2025-0073413 y N° 2025-0081927</t>
  </si>
  <si>
    <t>PROASECAL/ PEVED 2022</t>
  </si>
  <si>
    <t>Ramirez/Gomez</t>
  </si>
  <si>
    <t>R.D.N°    040-2025 DIGDOT/MINSA</t>
  </si>
  <si>
    <t>MACOPHARMA</t>
  </si>
  <si>
    <t>CENTRO MEDICO
INTERREGIONAL AMAZONAS S.A.C.</t>
  </si>
  <si>
    <t>Bustamante/Barbeyto</t>
  </si>
  <si>
    <t>Av. Héroes del Cenepa N° 1795</t>
  </si>
  <si>
    <t>Jose Alex Guevara Fonseca</t>
  </si>
  <si>
    <t>Dr. William vicente Taboada</t>
  </si>
  <si>
    <t xml:space="preserve">SUSPENSION DEFINITIVA, BAJA VOLUNTARIA </t>
  </si>
  <si>
    <t xml:space="preserve">CLINICA LIMA SOP </t>
  </si>
  <si>
    <t xml:space="preserve">T.M. Yuri Adolfo Cruz Córdova, T.M. Ana María Jiménez Torres, T.M. Yobany Guevara Fonseca., T.M. Nilton Vasquez Mena., TM Fabiola Acosta Salero (calidad)
</t>
  </si>
  <si>
    <t>Area legal archivo exp en abril 2025 sin respuesta</t>
  </si>
  <si>
    <t>N° 2025- 0055461</t>
  </si>
  <si>
    <t>Macetas/Barbeyto</t>
  </si>
  <si>
    <t>R.D.N°    043-2025 DIGDOT/MINSA</t>
  </si>
  <si>
    <t>Quispicondor/Barbeyto</t>
  </si>
  <si>
    <t>Jr. Alexander Von Humbolt N°286 - Av. Iquitos 600</t>
  </si>
  <si>
    <t>M.C. Yvette Parraga Rosado</t>
  </si>
  <si>
    <t>Dra Rosalvina Rojas Quispe</t>
  </si>
  <si>
    <t xml:space="preserve">TM Bianca Santamaria Cruz, TM Fabiola Acosta Salero, TM Maria Elena Ancajima Ballena, TM Yrbelis Lopez Morilio, TM María Villa Villa, TM Ericka Del Valle Aguilar
</t>
  </si>
  <si>
    <t>Expediente N°2025-0073425, N° 2025-0085258 y 2025-0100215</t>
  </si>
  <si>
    <t>MEDIC SER SAC - AUNA CLINICA DELGADO</t>
  </si>
  <si>
    <t>CLÍNICA SAN PABLO</t>
  </si>
  <si>
    <t>Bustamante/Quispicondor</t>
  </si>
  <si>
    <t>PER-BSIA240101-259</t>
  </si>
  <si>
    <t xml:space="preserve">RD DE OTORGAMIENTO </t>
  </si>
  <si>
    <t xml:space="preserve">TRIMA	</t>
  </si>
  <si>
    <t>R.D.N°  047  -2025 DIGDOT/MINSA</t>
  </si>
  <si>
    <t>HOSPITAL REGIONAL DE ICA</t>
  </si>
  <si>
    <t>Cesion uso/Propio</t>
  </si>
  <si>
    <t>CUADRUPLE</t>
  </si>
  <si>
    <t>CLINICA FEIJOO E.I.R.L.</t>
  </si>
  <si>
    <t>Dirección Regional de Salud Amazonas - HOSPITAL DE APOYO GUSTAVO LANATTA LUJAN</t>
  </si>
  <si>
    <t>Macetas/Torres</t>
  </si>
  <si>
    <t>Av. Mariscal Castilla N° 305</t>
  </si>
  <si>
    <t>Milton Ernesto FEIJOO E.</t>
  </si>
  <si>
    <t xml:space="preserve">miltonfeijo@hotmail.com/ </t>
  </si>
  <si>
    <t>M.C. Néstor Herminio Purizaga Izquierdo</t>
  </si>
  <si>
    <t>968875490 (del DR MILTON)</t>
  </si>
  <si>
    <t xml:space="preserve">T.M. Ana María López Inocente., T.M. Lucy Leydi Pinedo Tapia, T.M. Sara Liliana Sanjinez Villalta, T.M. Mary Ivone Segundo Chambergo.
</t>
  </si>
  <si>
    <t>HOSPITAL III DANIEL ALCIDES CARRION - SEGURO SOCIAL DE SALUD-TACNA</t>
  </si>
  <si>
    <t>N° 2025- 0048188, 2025-0069407 y 2025-0072229</t>
  </si>
  <si>
    <t>PER-BSIA080901-260</t>
  </si>
  <si>
    <t>R.D.N°  052 -2025 DIGDOT/MINSA</t>
  </si>
  <si>
    <t>UNIDAD EJECUTORA 410 HOSPITAL DE QUILLABAMBA</t>
  </si>
  <si>
    <t>SANTA ANTA</t>
  </si>
  <si>
    <t>SUSPENSION DEGFINITIVA, BAJA VOLUNTARIA</t>
  </si>
  <si>
    <t>AV. GRAL. GAMARRA S/N</t>
  </si>
  <si>
    <t>JULIO BÉJAR CUBA</t>
  </si>
  <si>
    <t>hospitalquillabamba2017@gmail.com</t>
  </si>
  <si>
    <t>M.C. ROCIO RIVERA CHAMANA</t>
  </si>
  <si>
    <t>Blga. Dina B. Torres Vilca, Blgo. Fedor Yancayo Calvo, Blga. Karina I. Yalico Miranda, Blga. Corynna Gonzales Yapo, Blgo. Cristian Ochochoque Huaquisto</t>
  </si>
  <si>
    <t>1 (M.C.)</t>
  </si>
  <si>
    <t>Fernandez/Brbeyto</t>
  </si>
  <si>
    <t>Expediente N°2025-0054033, N°2025-0070096, N°2025-0074730 y N°2025-0104479</t>
  </si>
  <si>
    <t>PER-BSIA80907-261</t>
  </si>
  <si>
    <t>R.D.N°   054 -2025 DIGDOT/MINSA</t>
  </si>
  <si>
    <t>Gomez/Barbeyto</t>
  </si>
  <si>
    <t>SAN JUAN DE KIMBIRI-VRAEM</t>
  </si>
  <si>
    <t>KIMBIRI</t>
  </si>
  <si>
    <t>AV. AEROPUERTO S/N</t>
  </si>
  <si>
    <t>GUIDO GIRALDO ALENCASTRE</t>
  </si>
  <si>
    <t>esthquellha.erst@gmail.com</t>
  </si>
  <si>
    <t>MC. SALCEDO TICONA ESTHEFANY RAQUEL</t>
  </si>
  <si>
    <t>989209972
960190549</t>
  </si>
  <si>
    <t>Macetas/Vilchez</t>
  </si>
  <si>
    <t xml:space="preserve">-	Biólogo: Vicente Cárdenas Carbajal, Biólogo:  Yola Prisiliana Pozo Huaycha, Biólogo: Norma Sonia Navarro Sauñe, Biólogo: Jershone Tatiana Torres Murga, Biólogo: Elizabeth Gutiérrez Fernández, Biólogo: Yanet Marleny Llantoy, Biólogo: Wilber Portilla Calvanapon.
</t>
  </si>
  <si>
    <t>SUSPENSION DEFINITA , BAJA VOLUNTARIA</t>
  </si>
  <si>
    <t>CLINICA ONCOGYN</t>
  </si>
  <si>
    <t xml:space="preserve">Expediente N°2024-0210790, N°2025-0005729, N°2025-0034088 y   
                       N°2025-0079192
</t>
  </si>
  <si>
    <t>PER-BSIA-080108-262</t>
  </si>
  <si>
    <t>R.D.N° 065-2025 DIGDOT/MINSA</t>
  </si>
  <si>
    <t>RAZÓN SOCIAL CPS PERUANOSUIZA EIRL Y NOMBRE COMERCIAL PERUANO SUIZA INFANCIA</t>
  </si>
  <si>
    <t>Av. Infancia N° 443</t>
  </si>
  <si>
    <t>Dr. Jorge GAMARRA BOLUARTE</t>
  </si>
  <si>
    <t>Pat. Cli. Jackeline Santa Cruz Huaypar</t>
  </si>
  <si>
    <t>973 693 812  (dra Jackeline)</t>
  </si>
  <si>
    <t>TM Luxmi Misme Gonzales, TM Marleny Mango Mamani, TM Jharol Fuentes y TM Ana Gabriela Vargas</t>
  </si>
  <si>
    <t>Bustamante/Torres</t>
  </si>
  <si>
    <t xml:space="preserve">DRA. CABRERA  </t>
  </si>
  <si>
    <t>OTORGAMIENTO DE AUTORIZACION SANITARIA</t>
  </si>
  <si>
    <t xml:space="preserve">HOSPITAL ERNESTO GERMAN GUZMAN GONZALES </t>
  </si>
  <si>
    <t>PER-BSIA80105-263</t>
  </si>
  <si>
    <t>R.D.N° 064-2025 DIGDOT/MINSA</t>
  </si>
  <si>
    <t xml:space="preserve"> TUPAC AMARU</t>
  </si>
  <si>
    <t>SAN SEBASTIAN</t>
  </si>
  <si>
    <t>Calle Tinta N°241, Urbanización Túpac Amaru</t>
  </si>
  <si>
    <t>Julio Cesar AUCCACUSI RODRIGUEZ</t>
  </si>
  <si>
    <t>tupacamaruhospital@gmail.com</t>
  </si>
  <si>
    <t>medico patologo Gianina Mendoza Cusi</t>
  </si>
  <si>
    <t xml:space="preserve">Biol. Flor Kenny Tocas Palomino,Biol. Fiorella Machacca Condori,Biol. Dany Corahua Phoco y Biol. Marienella Choquepuri 
</t>
  </si>
  <si>
    <t>N° 2025-0063674, N°2025-0072475 y N°2025-0112816</t>
  </si>
  <si>
    <t>PER-BSIA060801-264</t>
  </si>
  <si>
    <t>R.D.N° 067- 2025 DIGDOT/MINSA</t>
  </si>
  <si>
    <t>GAINVA QUIRURGICA SAC</t>
  </si>
  <si>
    <t xml:space="preserve">CLINICA SAN JUAN </t>
  </si>
  <si>
    <t xml:space="preserve">Calle Tupac Amaru N° 695, Sector Morro Solar </t>
  </si>
  <si>
    <t>DR MARIA ISABEL GUERRA AGUILAR</t>
  </si>
  <si>
    <t xml:space="preserve">PATOLOGO CLINICO CARLOS FERNANDO BARBOZA MONTALVO </t>
  </si>
  <si>
    <t>CEL 932122822  / lic elber 944355243</t>
  </si>
  <si>
    <t xml:space="preserve">TM OCHOA DIAZ ROXANA ,TM CERVERA ROSAS WENDY KATHERINE, TM LUIS MIGUEL  OJEDA GARCIA , TM GASTULO TAPIA ADELA ELIZABETH , TM ELBER TOCTO </t>
  </si>
  <si>
    <t>EXP N°2025-005201 , N° 2025-0034336 y 2025-0114848</t>
  </si>
  <si>
    <t>PER-BSIA060101-265</t>
  </si>
  <si>
    <t>R.D.N° 068- 025 DIGDOT/MINSA</t>
  </si>
  <si>
    <t>CLINICA LOS FRESNOS CON RAZON SOCIAL SERVICIOS DE SALUD LOS FRESNOS SAC</t>
  </si>
  <si>
    <t>JR. LOS NOGALES N° 179 URB. EL INGENIO</t>
  </si>
  <si>
    <t>M.C. OSCAR ALBERTO DAVILA PHILIPPOL</t>
  </si>
  <si>
    <t>R.S. SEGURO SOCIAL DE SALUD /N.C. ANTONIO SKRABONJA ANTONCICH</t>
  </si>
  <si>
    <t>nancy.bonilla@fresnos.pe</t>
  </si>
  <si>
    <t>M.C. GARY OMAR RUIZ ORDINOLA</t>
  </si>
  <si>
    <t>967715310 (lic.gloria Bardales)</t>
  </si>
  <si>
    <t xml:space="preserve">T.M.GLORIA BARDALES BRIONES, T.M. TITO UMBER SALDAÑA CIEZA, T.M. ANGIE XIOMARA CHAVEZ HERNANDEZ, PORTILLA OCHOA PAUL MARTIN </t>
  </si>
  <si>
    <t>N°2025 -0056394, N° 2025-0072611 y 2025-0105732</t>
  </si>
  <si>
    <t>Centro Médico con Camas de 
Internamiento "MAS SALUD", cuya razón social es CENTRO MEDICO MAS SALUD JAEN S.A.C."</t>
  </si>
  <si>
    <t>Av. Pakamuros N° 1300- Urbanización LAS FLORES, Distrito y Provincia de Jaén, 
Departamento de Cajamarca</t>
  </si>
  <si>
    <t>M.C. ELMER NARVAES RODRIGUEZ</t>
  </si>
  <si>
    <t>caratasdegarantiaclinicamassalud@gmail.com</t>
  </si>
  <si>
    <t>CEL 915066247</t>
  </si>
  <si>
    <t>TM LUCY PINEDO TAPIA, TM ROCIO CHILION ROJAS, TM ANGELA LALANGUI SARMIENTO,  TM NILTON VASQUEZ MENA</t>
  </si>
  <si>
    <t>Expediente N°2025-0073425, 2025-0085258</t>
  </si>
  <si>
    <t>DRA. CABRERA</t>
  </si>
  <si>
    <t>PER-BSIA21001-267</t>
  </si>
  <si>
    <t>R.D.N° 072-2025 DIGDOT/MINSA</t>
  </si>
  <si>
    <t xml:space="preserve">CLINICA LIMATAMBO - CAJAMARCA </t>
  </si>
  <si>
    <t>Hospital Apoyo Huari</t>
  </si>
  <si>
    <t>HUARI</t>
  </si>
  <si>
    <t>Av. Circunvalación Baja S/N</t>
  </si>
  <si>
    <t>LIC. MARIELA YULISSA BELLEZA ALMEYDA</t>
  </si>
  <si>
    <t>HOSPITALDEAPOYOHUARI@GMAIL.COM</t>
  </si>
  <si>
    <t>M.C. ELVIS GAMARRA CASTILLO</t>
  </si>
  <si>
    <t xml:space="preserve">- Lic. T.M. Edison Cáceres Arotinco, Lic. T.M. Ludmir Pascual Robles,Lic. T.M. Javier Mero Puertas
</t>
  </si>
  <si>
    <t>N° 2025-0065161, N° 2025-0089140, 2025-0104827 y N° 2025-0123759</t>
  </si>
  <si>
    <t>PER-BSIA200601 -254</t>
  </si>
  <si>
    <t>R.D.N°070- 2025DIGDOT/MINSA</t>
  </si>
  <si>
    <t>CLINICA INMACULADA</t>
  </si>
  <si>
    <t>Av. José De Lama Nº 1011</t>
  </si>
  <si>
    <t>JOSE JESUS PINDAY PUESCAS</t>
  </si>
  <si>
    <t>cinmaculada3@gmail.com</t>
  </si>
  <si>
    <t>MEDICO HEMATOLOGO  RAFAEL PICHARDO</t>
  </si>
  <si>
    <t>989 370 701</t>
  </si>
  <si>
    <t>TM. ROSILLA CASTILLO MERCEDES,TM. NAVARRO CALVAY JOSE, TM. GARCES GONZALES GERALDINE, TM. NUNJAR MENDOZA YENNY</t>
  </si>
  <si>
    <t xml:space="preserve">Expediente N° :2025-0073520, 2025-0100717,2025-0114746, 2025-0122494 </t>
  </si>
  <si>
    <t>CHAO</t>
  </si>
  <si>
    <t>Car. Panamericana Norte Km.497 Otr. Localidad Mar Verde Moyores (Predio Rural Parcela Uc. N° 3a, 4a</t>
  </si>
  <si>
    <t>M.C.Carlos Pedro Edmundo Roncal Velez</t>
  </si>
  <si>
    <t>juan.chavezc@essalud.gob.pe</t>
  </si>
  <si>
    <t>MEDICO PATOLOGO CLINICO KARLA LUCIA NOVOA PEREZ</t>
  </si>
  <si>
    <t xml:space="preserve">T.M. Gini Luz Ananco Ahuananchi.M. Carlos Rodriguez Palpa.T.M. Sheyla Katherine Mantilla Reyes.T.M. Wilmer Cruzado Carrasco.T.M. Raul Benjamin Nuñez Zagal. 
</t>
  </si>
  <si>
    <t>N° 2025- 0076671, N° 2025-0105053 y N° 2025-0124242</t>
  </si>
  <si>
    <t>PER-BSIA150120-269</t>
  </si>
  <si>
    <t>CONVENIOS ENTRE BANCOS DE SANGRE</t>
  </si>
  <si>
    <t>R.D.N°083-2025-DIGDOT/MINSA</t>
  </si>
  <si>
    <t>MEDAVAN CON RAZON SOCIAL MEDICINA AVANZADA S.A</t>
  </si>
  <si>
    <t>CALLE FLORA TRISTAN N° 206</t>
  </si>
  <si>
    <t>RODRIGO LANGBERG BACIGALUPO</t>
  </si>
  <si>
    <r>
      <rPr>
        <rFont val="Calibri"/>
        <sz val="11.0"/>
      </rPr>
      <t>info@medavan,</t>
    </r>
    <r>
      <rPr>
        <rFont val="Calibri"/>
        <color rgb="FF1155CC"/>
        <sz val="11.0"/>
        <u/>
      </rPr>
      <t>com.pe</t>
    </r>
  </si>
  <si>
    <t>M.C.OSCAR ALAMA BAZAN</t>
  </si>
  <si>
    <t>T.M. LINDA GUILLEN, T.M. CRISTINA MORALES, T.M. CARMEN VILLA, T.M. MIGUEL BEJAR.</t>
  </si>
  <si>
    <t>IPRESS BANCO DE SANGRE TIPO II</t>
  </si>
  <si>
    <t>AUTORIZADO</t>
  </si>
  <si>
    <t xml:space="preserve">N° 2025- 0061218, N° 2025- 0077886, N°2025-0097875, N°2025-106074, 2025-0106081  y 2025-0139537.
</t>
  </si>
  <si>
    <t>REGIÓN</t>
  </si>
  <si>
    <t>FECHA DE ENVÍO</t>
  </si>
  <si>
    <t>EXPEDIENTE</t>
  </si>
  <si>
    <t>PER-BSIA020801-270</t>
  </si>
  <si>
    <t>CONVENIOS CON IPRESS BANCO DE SANGRE TIPO I</t>
  </si>
  <si>
    <t>R.D.N°111-2025-DIGDOT/MINSA</t>
  </si>
  <si>
    <t>TIPO DE BANCO</t>
  </si>
  <si>
    <t>SECTOR</t>
  </si>
  <si>
    <t>REVISION DE INFORME DE SUSPENSION TEMPORAL</t>
  </si>
  <si>
    <t xml:space="preserve">CASMA </t>
  </si>
  <si>
    <t>FECHA SUSCRIPCIÓN CONVENIO</t>
  </si>
  <si>
    <t>CLINICA CORPORACION DE CIRUJANOS PLASTICOS</t>
  </si>
  <si>
    <t>FECHA DE CADUCIDAD</t>
  </si>
  <si>
    <t>VIGENTE</t>
  </si>
  <si>
    <t>AVENIDA GARCILAZO DE LA VEGA 659</t>
  </si>
  <si>
    <t>ADENDAS</t>
  </si>
  <si>
    <t>VIGENCIA DE ADENDA</t>
  </si>
  <si>
    <t>BLGA KAREN FAJARDO</t>
  </si>
  <si>
    <t>HALLAZGOS SOBRE CONVENIOS EN LAS SUPERVISIONES</t>
  </si>
  <si>
    <t>949 339 256</t>
  </si>
  <si>
    <t xml:space="preserve">MC NOE ALVA DE LA CRUZ </t>
  </si>
  <si>
    <t>TM. Charito Oblitas ,TM. Andrea Castillo  ,TM. Dante Zavaleta</t>
  </si>
  <si>
    <t>Hospital de Apoyo II-2 Sullana</t>
  </si>
  <si>
    <t>N°2025-0122403, 2025-0157600</t>
  </si>
  <si>
    <t>Sí</t>
  </si>
  <si>
    <t>Piura</t>
  </si>
  <si>
    <t>Sullana</t>
  </si>
  <si>
    <t>R.D.N°088 -2025-DIGDOT/MINSA</t>
  </si>
  <si>
    <t>2025-0320238</t>
  </si>
  <si>
    <t>Clínica Olguín E.I.R.L.</t>
  </si>
  <si>
    <t>Jr. Huáscar N° 1244</t>
  </si>
  <si>
    <t>MARCO ANTONIO ALVAREZ ANGELES</t>
  </si>
  <si>
    <t>986536909/986536907</t>
  </si>
  <si>
    <t>CINTHIA TACSA PASCUAL</t>
  </si>
  <si>
    <t>CADUCADO</t>
  </si>
  <si>
    <t xml:space="preserve">-T.M. Victoria Cecilia Felicita Nunura Aguilar, T.M. Edwin Azaña Alonso.
</t>
  </si>
  <si>
    <t>N° 2025-0169689</t>
  </si>
  <si>
    <t xml:space="preserve">IPRESS I-3 RECATEGORIZADA A II-E, Resolución Directoral N°1022-2025-DG-DIRIS-LC de 
fecha 02 de octubre del 2025 </t>
  </si>
  <si>
    <t>BM CLINICA MENDOIZA SAC</t>
  </si>
  <si>
    <t>Hospital de Apoyo II-1 Nuestra Señora de las mercedes de Paita</t>
  </si>
  <si>
    <t>No</t>
  </si>
  <si>
    <t>PER-BSIA060801 -272</t>
  </si>
  <si>
    <t xml:space="preserve">R.D N°097-2025-DIGDOT/MINSA </t>
  </si>
  <si>
    <t>Clínica San Borja - La Esperanza del Perú</t>
  </si>
  <si>
    <t>San Borja</t>
  </si>
  <si>
    <t>2025-0319943</t>
  </si>
  <si>
    <t>Complejo Hospitalario Alberto Leonardo Barton Thompson</t>
  </si>
  <si>
    <t>CLINICA MEDICO QUIURGICA HUANCAYO EIRL</t>
  </si>
  <si>
    <t>CALLE IQUITOS 900 COSTADO ISP VICTOR ANDRES 
BELAUNDE</t>
  </si>
  <si>
    <t>EDISON MACAVILCA SALVATIERRA</t>
  </si>
  <si>
    <t xml:space="preserve">clinicacautivo@gmail.com </t>
  </si>
  <si>
    <t>CARLOS FERNANDO BARBOZA MONTALVO</t>
  </si>
  <si>
    <t>932 122 822</t>
  </si>
  <si>
    <t>LIC HUATANGARI MALCA MARITZA,LIC. TM. CHUMACERO CORDOVA CARMEN,LIC MEDINA TASILLO CESAR SAMUEL,LIC T.M. NILTON VASQUEZ MENA,LIC T.M. ADOLFO CRUZ CORDOVA</t>
  </si>
  <si>
    <t>2025-0280472</t>
  </si>
  <si>
    <t>2025-0110394,2025-0124861, 2025-0169423, DIGDOT-DIBAN20250000367</t>
  </si>
  <si>
    <t>Clínica San Felipe</t>
  </si>
  <si>
    <t>CEGIRE SALUD EIRL</t>
  </si>
  <si>
    <t>CALLE JOSE DE LA TORRE UGARTE N° 822 - URB. SAN MIGUEL</t>
  </si>
  <si>
    <t>M.C. SANTIAGO IPARRAGUIRRE CASTILLO</t>
  </si>
  <si>
    <t>hugoiparraguirre@hotmail.com</t>
  </si>
  <si>
    <t>M.C. HERLINDA PATRICIA HUARANGA MEDINA</t>
  </si>
  <si>
    <t>2025-0297199</t>
  </si>
  <si>
    <t>TM ANDRES SILVA OCHOA, TM. DORA MEDINA JIMENEZ, TM. JUAN PEÑA MENDOZA, TM LIOZETH CABRERA ALEJOS</t>
  </si>
  <si>
    <t>Clínica Belén - Sistema de Administración Hospitalaria S.A.C.</t>
  </si>
  <si>
    <t>N° 2024-0182994, N° 2024-0174938, N° 2024-0185356</t>
  </si>
  <si>
    <t>PER-BSIA150120-274</t>
  </si>
  <si>
    <t>R.D.N°113-2025-DIGDOT/MINSA</t>
  </si>
  <si>
    <t>I-2</t>
  </si>
  <si>
    <t>Centro de Fertilidad Asistida S.A.C.</t>
  </si>
  <si>
    <t>CON NOMBRE COMERCIAL "MEDICAL HEALTH HOME", CON RAZON SOCIAL "MEDICAL HEALTH HOME-CUSCO SOCIEDAD COMERCIAL DE RESPONSABILIDAD LIMITADA-MEDICAL HEALTHHOME-CUSCO SRL"</t>
  </si>
  <si>
    <t>Jr. Tomas Ramsey N°294</t>
  </si>
  <si>
    <t>ELIZABETH CHAVEZ DE FERNANDEZ</t>
  </si>
  <si>
    <t>DR.PAULO CESAR SALAS BRAVO</t>
  </si>
  <si>
    <t>LIC TM NORELVIA NATALINE PINEDO PIÑAS, LIC TM CARLA LISBETH PEÑA ALVARADO, LIC TM KLAUS ALI BEY RAMIREZ SUAREZ , LIC TM DENNIS KELWIN MAMANI AZAÑA.</t>
  </si>
  <si>
    <t>N°2025-0126937, N°2025-0148569, N°2025-0152521 y N°2025-0183540</t>
  </si>
  <si>
    <t>Clínica Gonzalez S.A.</t>
  </si>
  <si>
    <t>PER-BSIA150131-275</t>
  </si>
  <si>
    <t>R.D.N°098-2025-DIGDOT/MINSA</t>
  </si>
  <si>
    <t>CLINICA ZIEGLER C-Z, CLINICA ZIEGLER SAC</t>
  </si>
  <si>
    <t xml:space="preserve">SAN ISIDRO </t>
  </si>
  <si>
    <t>AV. GUARDIA CIVIL 982-990</t>
  </si>
  <si>
    <t>Medicina AVANZADA S.A.</t>
  </si>
  <si>
    <t xml:space="preserve">M.C. TATIANA SARAVIA ROMANI </t>
  </si>
  <si>
    <t xml:space="preserve">TM: RUBY MURGUEITO Y NOEMI MENDOZA MARTINEZ </t>
  </si>
  <si>
    <t>Clínica Santa Isabel S.A.C.</t>
  </si>
  <si>
    <t>R.D.N°099 -2025-DIGDOT/MINSA</t>
  </si>
  <si>
    <t>Calle Santa Clara Mz O Lote 44 Sánchez Cerro</t>
  </si>
  <si>
    <t>EDGARDO JULIO LOPEZ TELLO</t>
  </si>
  <si>
    <t>969 602 761</t>
  </si>
  <si>
    <t xml:space="preserve">MÉDICO PATÓLOGO CLÍNICO: ROCIO SANCHEZ AGUIRRE </t>
  </si>
  <si>
    <t>CSALUD S.A. - Clínica Maison de Santé de Lima</t>
  </si>
  <si>
    <t>TM LUZ MAGDALENA AVILA MECA, TM YASMINA GIRON NONAJULCA, TM RONALD REYES LITANO, TM JUNIOR NUÑEZ SANCHEZ.</t>
  </si>
  <si>
    <t>N° 2025-0127037, N°2025-0157293 y N° 2025-0189869</t>
  </si>
  <si>
    <t>PER-BSIA80101-277</t>
  </si>
  <si>
    <t>R.D.N° 121 -2025-DIGDOT/MINSA</t>
  </si>
  <si>
    <t>Clínica El Golf</t>
  </si>
  <si>
    <t>AV. MANZANARES 264</t>
  </si>
  <si>
    <t>JORGE FERNANDO CASSANOVA URIBE</t>
  </si>
  <si>
    <t>MEDICO PATOLOGO MIRIAN MIRANDA NUÑEZ</t>
  </si>
  <si>
    <t>TM. ROSALIA CHAMPI, TM. ANTONIO VALENCIA BACA, BIOLOGO RENE DANNY MIRANDA NUÑEZ</t>
  </si>
  <si>
    <t>ADENDA: 20/02/2024 AL 19/02/2026</t>
  </si>
  <si>
    <t>N°2025-0120423, N°2025-0191229</t>
  </si>
  <si>
    <t>Inversiones para la ciencia y el cuidado de la vida S.A.C.</t>
  </si>
  <si>
    <t>PER-BSIA150701-278</t>
  </si>
  <si>
    <t>R.D.N°101 -2025-DIGDOT/MINS</t>
  </si>
  <si>
    <t>DIRESA-LIMA</t>
  </si>
  <si>
    <t>MATUCANA</t>
  </si>
  <si>
    <t>HUAROCHIRI</t>
  </si>
  <si>
    <t>JR. LA FLORIDA N° 144</t>
  </si>
  <si>
    <t>M.C. JAIME VILLOSLADA LLANTOY</t>
  </si>
  <si>
    <t>MEDICO PATOLOGO : MARIELA ROZAS</t>
  </si>
  <si>
    <t>Hospital Santa Rosa</t>
  </si>
  <si>
    <t>T.M. JESSICA VASQUEZ LOPEZ, T.M. MELISSA PALOMINO CAYETANO, T.M. ALEXANDER CHIRHUANA ARBIETO, .M. SANTIAGO CHUQUIN, T.M. JOHANA CUEVAS, T.M. STEVEN NUÑEZ OSCO</t>
  </si>
  <si>
    <t>Expediente N° 2025- 0139571, N° 2025- 0171034 Y 2025-0200146</t>
  </si>
  <si>
    <t>Pueblo Libre</t>
  </si>
  <si>
    <t>PER-BSIA010401-279</t>
  </si>
  <si>
    <t>R.D.N°091 -2025-DIGDOT/MINS</t>
  </si>
  <si>
    <t>“SANTA MARIA DE NIEVA”</t>
  </si>
  <si>
    <t>Biomedical Technologies Sociedad Anónima Cerrada</t>
  </si>
  <si>
    <t>NIEVA</t>
  </si>
  <si>
    <t>CONDORCANQUI</t>
  </si>
  <si>
    <t>Calle principal S/N, Urb. Juan Velazco Ciudad Santa María de Nieva S/N</t>
  </si>
  <si>
    <t>LIC. HERLESS PINEDO CHUQUI</t>
  </si>
  <si>
    <t>945370109/922016042 (TM Lizana)</t>
  </si>
  <si>
    <t>MEDICO CIRUJANO Ronal Llenque Miranda</t>
  </si>
  <si>
    <t xml:space="preserve">T.M. Yover C. Fernandez Burga. , T.M. Yacori Y. Romero Yrigoin., T.M. Luis A. Lizana Machado., T.M. Ana M. Alva Arias, T.M. Jose P. Perez Vásquez
</t>
  </si>
  <si>
    <t>30/19/2025</t>
  </si>
  <si>
    <t>30/19/2028</t>
  </si>
  <si>
    <t>Expedientes N° 2025-0158940, 2025-0175368 y 2025-0202571</t>
  </si>
  <si>
    <t>Clínica G'Star</t>
  </si>
  <si>
    <t>PER-BSIA150132-280</t>
  </si>
  <si>
    <t>R.D.N° 116-2025-DIGDOT/MINSA</t>
  </si>
  <si>
    <t>CLINICA SAN MIGUEL DE ARCANGEL</t>
  </si>
  <si>
    <t>Calle las gardenias N°754-760 Urb los jazmines</t>
  </si>
  <si>
    <t>FLAVIA AVELINA CRUZADO ULLOA DE REYES</t>
  </si>
  <si>
    <t>Medico Patologo: JOE AVENDAÑO DOMINGUEZ</t>
  </si>
  <si>
    <t>Clínica de los Vásquez</t>
  </si>
  <si>
    <t>T.M ROCIO GONZALES, T.M GABRIELA ARMAS,T.M SARA NUÑEZ,T.M ANTONY VEGA ,TM FELICITA NUNURA</t>
  </si>
  <si>
    <t>2025-0150571,2025-0173341 Y 2025-0219837</t>
  </si>
  <si>
    <t>CIRE Intervencionistas</t>
  </si>
  <si>
    <t>PER-BSIA100301-281</t>
  </si>
  <si>
    <t>R.D.N°106-2025-DIGDOT/MINSA</t>
  </si>
  <si>
    <t>DIRESA - HUANUCO</t>
  </si>
  <si>
    <t>LA UNION</t>
  </si>
  <si>
    <t>DOS DE MAYO</t>
  </si>
  <si>
    <t>Jr. dos de mayo  N°185</t>
  </si>
  <si>
    <t>Liga contra el Cáncer</t>
  </si>
  <si>
    <t>LIC KARINA CARLA VILLANUEVA SANTIAGO</t>
  </si>
  <si>
    <t>MEDICO CIRUJANO: LUIS REYNALDO GEN PAUTRAT</t>
  </si>
  <si>
    <t>T.M KEVIN FERNANDO TOCTO MINGA , T.M DEYVIS SANCHEZ SANCHEZ , T.M VANESSA VIRGILIO QUISPE, T.M CELIA TORRES SANCHEZ</t>
  </si>
  <si>
    <t>2025-0179799</t>
  </si>
  <si>
    <t>PER-BSIA220901-282</t>
  </si>
  <si>
    <t>R.D.N°125 -2025-DIGDOT/MINSA</t>
  </si>
  <si>
    <t>Hospital Rezola de Cañete</t>
  </si>
  <si>
    <t>LIMA PROVINCIAS</t>
  </si>
  <si>
    <t>razón social SOLUMEDIC TARAPOTO S.A.C. y nombre comercial “SOLUCIONES MEDICAS SAN CAMILO”</t>
  </si>
  <si>
    <t>SAN MARTÍN</t>
  </si>
  <si>
    <t>Jr. Jose Olaya Nro. 358</t>
  </si>
  <si>
    <t>SR. KENETH PANDURO</t>
  </si>
  <si>
    <t>Clínica San Borja Salud</t>
  </si>
  <si>
    <t>PAT. CLÍN. ANTONIO JOSÉ ESPINOZA MEDINA</t>
  </si>
  <si>
    <t>TM WILMER DIAZ CUBAS, TM LENYN STALIN SANCHEZ, TM NATHSY SUE FONSECA</t>
  </si>
  <si>
    <t>N° 2025-0179824, N°2025-0209106 y N°2025-0234622</t>
  </si>
  <si>
    <t>PER-BSIA060301-283</t>
  </si>
  <si>
    <t>R.D.N°112 -2025-DIGDOT/MINSA</t>
  </si>
  <si>
    <t>Asociación Milagro del Divino Niño Jesús - Clínica Divino Niño Jesús</t>
  </si>
  <si>
    <t>“CLINICA SAN ISIDRO” Y CON RAZON SOCIAL “CLINICA ESPECIALIZADA SAN ISIDRO LABRADOR E.I.R.L.”</t>
  </si>
  <si>
    <t>CELENDIN</t>
  </si>
  <si>
    <t xml:space="preserve">CELENDIN </t>
  </si>
  <si>
    <t>Jr. Cáceres N°1100</t>
  </si>
  <si>
    <t>REPRESENTANTE LEGAL GRISS DIAZ CHAVEZ</t>
  </si>
  <si>
    <t>BIOLOGO JORGE ARTURO ZAVALETA BARDALES BIOLOGO PAULO ANTONIO LIGAN NANFUÑAY</t>
  </si>
  <si>
    <t>Promotora Asistencial S.A.C. Clínica Limatambo</t>
  </si>
  <si>
    <t>N°2025-0247320, 2025-0237984, 2025-0201679, 2025-0174875, 2025-0226414, DIGDOT-DIBAN20250000365, DIGDOT-DIBAN20250000416.</t>
  </si>
  <si>
    <t>PER-BSIA110101-284</t>
  </si>
  <si>
    <t>R.D.N°128 -2025-DIGDOT/MINSA</t>
  </si>
  <si>
    <t>Perú Medical Center - Clínica Marbella</t>
  </si>
  <si>
    <t>COMITE TRANSFUSIONAL HOSPITALARIA</t>
  </si>
  <si>
    <t>Av. San Martín N°536</t>
  </si>
  <si>
    <t>COMITÉ TRANSFUSIONAL HOSPITALARIO</t>
  </si>
  <si>
    <t>DIEGO GUSTAVO POMA RAMIREZ</t>
  </si>
  <si>
    <t>info@clinicaluren.com.pe</t>
  </si>
  <si>
    <t>Hospital Municipal de Los Olivos</t>
  </si>
  <si>
    <t xml:space="preserve">LIC.FLOR VERA CORREA, LIC. JUNIOR GUEVARA HERNANDEZ, LIC. ANDREINA GARCIA ROJAS
</t>
  </si>
  <si>
    <t>2025-0203760, 2025-0218886, 2025-0242404</t>
  </si>
  <si>
    <t>SEGUIMIENTO EN SUPERVISIONES</t>
  </si>
  <si>
    <t>PER-BSIA060401-285</t>
  </si>
  <si>
    <t>R.D.N° 124-2025-DIGDOT/MINSA</t>
  </si>
  <si>
    <t>Hospital San José de Chincha</t>
  </si>
  <si>
    <t>DIRIS/DIRESA/GERESA</t>
  </si>
  <si>
    <t>denominado centro medico especializado "Santisima virgen de la puerta " razon social " clinica santisima virgen de la puerta E.I.R.L"</t>
  </si>
  <si>
    <t>CATEGORÍA DE E.S.</t>
  </si>
  <si>
    <t>TIPO DE B.S.</t>
  </si>
  <si>
    <t>Av. Tacabamba N°344, Piso 1</t>
  </si>
  <si>
    <t>MARCO  WALTER GONZALES RAMIREZ</t>
  </si>
  <si>
    <t>M.C JUAN WENCESLAO TICLLA VASQUEZ</t>
  </si>
  <si>
    <t xml:space="preserve">LIC  JULIA MARIA VASQUEZ VASQUEZ , LIC LEYCY MILAGROS RAFAEL PINTADO , LIC LUIS ALBERTO PADILLA TAMAY ,LIC ROSA MARLENY SOTO ORTIZ </t>
  </si>
  <si>
    <t>DIRECTOR DE E.S.</t>
  </si>
  <si>
    <t>2025-0185729 Y 2025-0251969</t>
  </si>
  <si>
    <t>Clínica Limatambo San Juan de Lurigancho</t>
  </si>
  <si>
    <t>Médico Jefe B.S.</t>
  </si>
  <si>
    <t>Jefe Calidad</t>
  </si>
  <si>
    <t>Jefe de anestesiología</t>
  </si>
  <si>
    <t>PER-BSIA010701-286</t>
  </si>
  <si>
    <t>R.D.N° 120-2025-DIGDOT/MINSA</t>
  </si>
  <si>
    <t>Jefe de Cirugía</t>
  </si>
  <si>
    <t>Jefe de Medicina</t>
  </si>
  <si>
    <t>Jefe de Pediatría</t>
  </si>
  <si>
    <t xml:space="preserve">“SEÑOR DE LOS MILAGROS” Y CON RAZON SOCIAL “GINECOMASTER PERÚ E.I.R.L.” </t>
  </si>
  <si>
    <t>Jefe de Ginecología</t>
  </si>
  <si>
    <t>Jefe de Emergencia o UCI</t>
  </si>
  <si>
    <t>Jefe personal de Enfermería</t>
  </si>
  <si>
    <t>RESOLUCIÓN DE CONFORMACIÓN DEL CTH</t>
  </si>
  <si>
    <t>Av. Chachapoyas N°1281</t>
  </si>
  <si>
    <t>ACTAS DE REUNIONES</t>
  </si>
  <si>
    <t>ALFREDO LLENQUE TEQUE</t>
  </si>
  <si>
    <t>FECHA DE ACTA</t>
  </si>
  <si>
    <t>SEGUIMIENTO DE ACTAS DE REUNIONES</t>
  </si>
  <si>
    <t>TM ALVARADO YOSUNI, JOSCELI TESEN QUIROZ, SARA VALDIVIA BRAVO, JOSE ZURITA GARCIA</t>
  </si>
  <si>
    <t>2026-0214248</t>
  </si>
  <si>
    <t xml:space="preserve">2025-0194877, 2025-0221012, 2025-0221380, 2025-0250499, 2025- 0263770. </t>
  </si>
  <si>
    <t>CLÍNICA ONCOSALUD</t>
  </si>
  <si>
    <t>Clínica RISSO (RODSUMA Salud S.A.C.)</t>
  </si>
  <si>
    <t>PER-BSIA022001-287</t>
  </si>
  <si>
    <t>R.D.N° 123-2025-DIGDOT/MINSA</t>
  </si>
  <si>
    <t>Av. Guardia Civil N° 227-229</t>
  </si>
  <si>
    <t>Zahina Rocío Pineda Sánchez</t>
  </si>
  <si>
    <t>Xiomara Valeria Mora Ocrospoma</t>
  </si>
  <si>
    <t>Elena Aguilar Onofre</t>
  </si>
  <si>
    <t>Iván Carlos Aguilar Marín</t>
  </si>
  <si>
    <t xml:space="preserve">HOSPITAL DE APOYO YUNGAY </t>
  </si>
  <si>
    <t>Ricardo Mitsuru Hanada</t>
  </si>
  <si>
    <t xml:space="preserve">YUNGAY </t>
  </si>
  <si>
    <t>No cuenta</t>
  </si>
  <si>
    <t>YUNGAY</t>
  </si>
  <si>
    <t>Hospital Guillermo Díaz de la Vega</t>
  </si>
  <si>
    <t>Eliana Muriel Vasquez Trejo</t>
  </si>
  <si>
    <t xml:space="preserve">AV. IGNACIO FIGUEROA S/N </t>
  </si>
  <si>
    <t>Giovanna Maribel Rosado Juárez</t>
  </si>
  <si>
    <t>Apurimac</t>
  </si>
  <si>
    <t>N° 003-25/CLÍNICA ONCOSALUD-2025</t>
  </si>
  <si>
    <t>DRA LUPE AMELIA DOROTEO CAQUI</t>
  </si>
  <si>
    <t>Abancay</t>
  </si>
  <si>
    <t>ACTA DE REUNIÓN N° 6</t>
  </si>
  <si>
    <t xml:space="preserve">DR  CARLOS FIGUEROA QUISPE </t>
  </si>
  <si>
    <t>Oficio s/n (21/04/26) Acta I Comite transfusional marzo 2026 (2026-0113165)</t>
  </si>
  <si>
    <t>2025-0307480</t>
  </si>
  <si>
    <t>MC. ANGELA CHAVA PONTE, BLOG MENA GARCIA DURAN, BLOG MARVIN CAVERO AVALOS , TM ALEX LIMAS PECAN , BLOG KATHERINE PEÑA VEGA.</t>
  </si>
  <si>
    <t>Hospital Santa Teresa</t>
  </si>
  <si>
    <t>CLÍNICA CORI</t>
  </si>
  <si>
    <t>2025-0197707,2025-02534100 Y 2025-0262674</t>
  </si>
  <si>
    <t>Av. Carlos Izaguirre N° 978</t>
  </si>
  <si>
    <t>Dr. Italo Coripuna Romero (Director Médico)</t>
  </si>
  <si>
    <t>Jorge Yupanqui Sandoval</t>
  </si>
  <si>
    <t>PERBSIA250101-288</t>
  </si>
  <si>
    <t>Sheila Morales Leide</t>
  </si>
  <si>
    <t>R.D.N° 130-2025-DIGDOT/MINSA</t>
  </si>
  <si>
    <t>Hermogenes León Condori</t>
  </si>
  <si>
    <t>Instituto Nacional de Enfermedades Neoplásicas (INEN)</t>
  </si>
  <si>
    <t xml:space="preserve">CENTRO MEDICO QUIRURGICO JUAN PABLO II EIRL </t>
  </si>
  <si>
    <t>N° 086</t>
  </si>
  <si>
    <t>Surquillo</t>
  </si>
  <si>
    <t>ACTA DE REUNIÓN N° 1</t>
  </si>
  <si>
    <t>2025-0301409</t>
  </si>
  <si>
    <t>AV.SAENZ PEÑA N°124</t>
  </si>
  <si>
    <t>No cuenta con convenios vigentes</t>
  </si>
  <si>
    <t>Acta N° 04 Comite Transfusional Hospitalaria (08/05/26 Expediente N° 2026-0131781), Acta N° 05 Comite Transfusional Hospitalaria (11/08/26) Oficio N° 006-2026/DM/CCORI</t>
  </si>
  <si>
    <t>M.C. ROGER CATALAN CAMARA</t>
  </si>
  <si>
    <t>M.C GENARO RICHARD MELENDEZ OROSCO</t>
  </si>
  <si>
    <t>T.M. JOSÉ LUIS ROJA RUIZ, T.M. YENI HUAMÁN HUALLPARIMACHI, T.M. SANDRO ALGARATE ESPINOZA, T.M.LOURDES ESPINOZA UGARTE</t>
  </si>
  <si>
    <t>Av. Andrés Avelino Cáceres N° 559</t>
  </si>
  <si>
    <t xml:space="preserve"> Expediente N° 2025-0183945 y N°2025-0222195</t>
  </si>
  <si>
    <t>Dr. Augusto Alberto Baldoceda Sarmiento</t>
  </si>
  <si>
    <t>Alejandro Segundo Barbarán Arévalo</t>
  </si>
  <si>
    <t>Jenny Caro Salinas Checa</t>
  </si>
  <si>
    <t>José Luis Julca Romero</t>
  </si>
  <si>
    <t>Complejo Hospitalario Guillermo Kaelin de la Fuente</t>
  </si>
  <si>
    <t>Gonzalo Javier Valdivia Rivara</t>
  </si>
  <si>
    <t>PER-BSIA190301 -289</t>
  </si>
  <si>
    <t>R.D.N°141-2025-DIGDOT/MINSA</t>
  </si>
  <si>
    <t>Jeriyth Cristina Torres Torrealba</t>
  </si>
  <si>
    <t>Villa María Del Triunfo</t>
  </si>
  <si>
    <t>N° 001-2025</t>
  </si>
  <si>
    <t>2025-0293597</t>
  </si>
  <si>
    <t>Acta N° 04 Comite Transfusional Hospitalaria (30/04/26 Expediente N° 2026-0125340), Acta N° 05 Comite Transfusional Hospitalaria (21/08/26 Expediente N° 2026-0242700)</t>
  </si>
  <si>
    <t>ERNESTO GERMAN GUZMAN GONZALES</t>
  </si>
  <si>
    <t>CLÍNICA LA LUZ DE TACNA</t>
  </si>
  <si>
    <t>Ayabaca- Comatrana S/N</t>
  </si>
  <si>
    <t>NUEVO CONVENO DESDE 22/02/26 (CARTA CLL-HB-2026-01117) EXPEDIENTE 2026-0120238</t>
  </si>
  <si>
    <t>HASTA EL 22/02/28</t>
  </si>
  <si>
    <t>MC. MONER SAEZ ALMERCO</t>
  </si>
  <si>
    <t>hospoxa3@gmail.com</t>
  </si>
  <si>
    <t>Dr. Denis Huamamlazo Ordoñez (Director Médico)</t>
  </si>
  <si>
    <t>MC. ZORAIDA ALARCON ANCCASI</t>
  </si>
  <si>
    <t>Jaime Alberto Malca Milla</t>
  </si>
  <si>
    <t>Elisa Karina Vera Zeballos</t>
  </si>
  <si>
    <t>TM YENEFER NUÑEZ FERNANDEZ, BLGO ZENON SAUÑE RAMIREZ, BLGO ALSSYS AUGUSTO DEL AGUILA DEL AGUILA,</t>
  </si>
  <si>
    <t>Clínica Daniel Alcides Carrión de Cañete</t>
  </si>
  <si>
    <t>Marcial Figueroa Yupanqui</t>
  </si>
  <si>
    <t>Reynaldo Sosa Vargas</t>
  </si>
  <si>
    <t>Expediente N°2025-0257331</t>
  </si>
  <si>
    <t>Cristhian Raul Luque Espinoza</t>
  </si>
  <si>
    <t>Xiomara Karina Cuyo Quispe</t>
  </si>
  <si>
    <t>N° 023-2025-GGCLLT</t>
  </si>
  <si>
    <t>PER-BSIA-10701-290</t>
  </si>
  <si>
    <t>R.D.N° 140-2025-DIGDOT/MINSA</t>
  </si>
  <si>
    <t>Hospital de Apoyo Bagua "Gustavo Lanatta Luján"</t>
  </si>
  <si>
    <t>HOSPITAL ALBERTO LEONARDO BARTON THOMPSON</t>
  </si>
  <si>
    <t>Amazonas</t>
  </si>
  <si>
    <t>SERVIMEDIC AMAZONAS S.R.L</t>
  </si>
  <si>
    <t>Bagua</t>
  </si>
  <si>
    <t>2025-0294479</t>
  </si>
  <si>
    <t>Av. Argentina N° 3525</t>
  </si>
  <si>
    <t>Jirón Angamos N°1027</t>
  </si>
  <si>
    <t>Hospital Condorcanqui - Red Integrada de Salud Condorcanqui</t>
  </si>
  <si>
    <t>Raquel Medina Castillo (Director Médico)</t>
  </si>
  <si>
    <t>Giovanna Rocío Vives Rivero</t>
  </si>
  <si>
    <t>DR. Jose Marlon Vasquez Bustamante</t>
  </si>
  <si>
    <t>Dunia Elizabeth Sanchez León</t>
  </si>
  <si>
    <t>Brenda Patricia Huamani Rodríguez</t>
  </si>
  <si>
    <t>Carlos FERNANDO BARBOZA MONTALVO</t>
  </si>
  <si>
    <t>no cuenta</t>
  </si>
  <si>
    <t>Hugo Cesar Zavala Hidalgo</t>
  </si>
  <si>
    <t xml:space="preserve">-        Tecnólogo Medico:  Mejía Cieza Jeycer, Tecnólogo Medico: Vásquez Mena Nilton, Tecnólogo Medico: Parra Rinza Claudia,Tecnólogo Medico: Heredia Castillo Nixon.
</t>
  </si>
  <si>
    <t>María Evelyn Villanueva Abregu</t>
  </si>
  <si>
    <t>Eloisa Alejandra Heredia Castillo</t>
  </si>
  <si>
    <t>María Patricia Concepción Moscol Salinas</t>
  </si>
  <si>
    <t>Adrianna Cristina Dávila García</t>
  </si>
  <si>
    <t>Expediente N°2025-0024277, N°2025-0062639</t>
  </si>
  <si>
    <t>N° CLL-HB-2025-00012, CLL-HB-2025-00013</t>
  </si>
  <si>
    <t>ACTA DE REUNIÓN 001</t>
  </si>
  <si>
    <t>Acta de Reunión N° 04 del Comité Tranfusional Hospitalaria (Carta CLL-HB-2026-01118) Expediente N° 2026-0120223</t>
  </si>
  <si>
    <t>Hospital II Pasco</t>
  </si>
  <si>
    <t>Pasco</t>
  </si>
  <si>
    <t>HOSPITAL HIPÓLITO UNANUE DE TACNA</t>
  </si>
  <si>
    <t>PER-BSIA-020101 -291</t>
  </si>
  <si>
    <t>Chaupimarca</t>
  </si>
  <si>
    <t>R.D.N° 134-2025-DIGDOT/MINSA</t>
  </si>
  <si>
    <t>2025-0294617</t>
  </si>
  <si>
    <t>Hospital II-E Huariaca</t>
  </si>
  <si>
    <t>“CLINICA GINMEDIC” y de razón social GINMEDIC E.I.R.L.</t>
  </si>
  <si>
    <t>Med. Eddy R. Vicente Choque (Director Ejecutivo)</t>
  </si>
  <si>
    <t>Cuenta (no especifica nombre)</t>
  </si>
  <si>
    <t>Psje. Antonio Raimondi N° 132- Barrio San Francisco</t>
  </si>
  <si>
    <t>M.C. Luis Alberto Paredes Goycochea</t>
  </si>
  <si>
    <t>Médico Cirujano Víctor Andree Llacas Domínguez</t>
  </si>
  <si>
    <t>R.D. N° 316-2025-DIREC.EJEC.HHUT-DRS.T/GOB.REG.TACNA</t>
  </si>
  <si>
    <t xml:space="preserve">T.M. Luis Martin Domínguez Villanueva. T.M. Ruth Maribel Llenque Gonzales. T.M. Roy Anderson Benites Araujo. T.M. Vanessa Andrea Lecca Mosquera. T.M. Roger Ivan Rojas Lescano
</t>
  </si>
  <si>
    <t>N° 2025-0249205, 2025-0284475 y 2025-0311352</t>
  </si>
  <si>
    <t>Hospital Nacional Cayetano Heredia</t>
  </si>
  <si>
    <t>CLÍNICA CORPORACIÓN DE CIRUJANOS PLASTICOS SAC</t>
  </si>
  <si>
    <t>PER-BSIA-150130-292</t>
  </si>
  <si>
    <t>R.D.N° 138-2025-DIGDOT/MINSA</t>
  </si>
  <si>
    <t>San Martín de Porres</t>
  </si>
  <si>
    <t>Jr. General Vidal N° 241</t>
  </si>
  <si>
    <t>Dr. Andrés La Torre Tristan</t>
  </si>
  <si>
    <t>Dr. Luis Dulanto Moscoso</t>
  </si>
  <si>
    <t>Iván Moscoso García</t>
  </si>
  <si>
    <t>2025-0293436</t>
  </si>
  <si>
    <t>RAZÓN SOCIAL “CENTRO DE CIRUGÍA ESTÉTICA LAS CONDES S.A.C.” Y NOMBRE COMERCIAL “CENTRO DE CIRUGÍA ESTÉTICA LAS CONDES”</t>
  </si>
  <si>
    <t>Hospital Carlos Lanfranco La Hoz</t>
  </si>
  <si>
    <t>AV. Javier Prado Este N°2970</t>
  </si>
  <si>
    <t>Tania Nieto Cáceres</t>
  </si>
  <si>
    <t>N° 01-2025-GG-CCP</t>
  </si>
  <si>
    <t>Sra. Gaby Marlene Rangel Villalobos</t>
  </si>
  <si>
    <t>ACTA DE REUNIÓN N° 01-2025. COMITÉ TRANSFUSIONAL</t>
  </si>
  <si>
    <t>M.C. Luis Alberto Sánchez Ramírez</t>
  </si>
  <si>
    <t xml:space="preserve">Lic. Karla Cruz Buiza, Lic. Milagros Vilarte Maldonado, Lic. Tania Soto Delgado
</t>
  </si>
  <si>
    <t>ADENDA: 20/12/2024 HASTA 20/12/2026</t>
  </si>
  <si>
    <t>Expedientes N° 2025-0260359, 2025-0291718 y 2025-0309840</t>
  </si>
  <si>
    <t>CLÍNICA MIRAFLORES</t>
  </si>
  <si>
    <t>PER-BSIA080701 -293</t>
  </si>
  <si>
    <t>Clínica Médica Cayetano Heredia S.A.</t>
  </si>
  <si>
    <t>J.A. Encinas 141 (Esq. Cdra. 18 Av. Benavides)</t>
  </si>
  <si>
    <t>R.D.N° 137-2025-DIGDOT/MINSA</t>
  </si>
  <si>
    <t>Dr. Augusto Ascenzo Aparicio</t>
  </si>
  <si>
    <t>Dra. Veralucia De la Vega Cuadros</t>
  </si>
  <si>
    <t>Dra. Mirellar Riva Maldonado</t>
  </si>
  <si>
    <t>Dr. Efren Quesada Murillo</t>
  </si>
  <si>
    <t>HOSPITAL DE SANTO TOMAS</t>
  </si>
  <si>
    <t>SANTO TOMAS</t>
  </si>
  <si>
    <t>SAN MARTÍN DE PORRES</t>
  </si>
  <si>
    <t xml:space="preserve">CHUMBIVILCAS </t>
  </si>
  <si>
    <t>Dr. Alvaro Ascenzo Aparicio</t>
  </si>
  <si>
    <t>Av. Velasco Astete S/N</t>
  </si>
  <si>
    <t>Lic. Lucy Riva Aguero Vargas</t>
  </si>
  <si>
    <t>Informan que ya cuentan con comité</t>
  </si>
  <si>
    <t>M.C. Wells Alberto Labra Muñoz</t>
  </si>
  <si>
    <t>Acta N° 02-2025</t>
  </si>
  <si>
    <t>984027156 / Biologa Quimper : 985285871</t>
  </si>
  <si>
    <t xml:space="preserve">Bióloga Quimper Cabrera Lila Lisbet, Biólogo Chipana Gutiérrez Rudy Rubén, Bióloga Santoyo Calla Lizbeth, Biólogo Portugal Collado Jorge Antonio.
</t>
  </si>
  <si>
    <t>Clínica Servisalud</t>
  </si>
  <si>
    <t>CLÍNICA AUNA SEDE BELLLAVISTA</t>
  </si>
  <si>
    <t>N° 2025-0217039, 2025-0239308, 2025-0273324, 2025-0321977</t>
  </si>
  <si>
    <t>MEDIANTE OFICION° 151-2026, COMUNICA CAMBIO DE CONSERVADORA DE PAQUETES GLOBULARES, MARCA BIOBASE, MODELO BBR-4V86, SERIE BBR4V8625250047C</t>
  </si>
  <si>
    <t>Jr. Las Gaviotas N° 207</t>
  </si>
  <si>
    <t>Dr. Victor M. Gonza Azabache</t>
  </si>
  <si>
    <t>Dr. Nelson Miguel Rodríguez Gueorguiev</t>
  </si>
  <si>
    <t>Brunela Susana León Villafuerte</t>
  </si>
  <si>
    <t>PER-BSIA-150101-294</t>
  </si>
  <si>
    <t>Eusebio Sacarias Palomino Allende</t>
  </si>
  <si>
    <t>R.D.N°139-2025-DIGDOT/MINSA</t>
  </si>
  <si>
    <t>Hugo Renato Raez Reategui</t>
  </si>
  <si>
    <t>Florián Antonio Zambrano Silva</t>
  </si>
  <si>
    <t>Laura Milagros Portocarrero Arredondo</t>
  </si>
  <si>
    <t>Cristhian Harold Portugal Zevallos</t>
  </si>
  <si>
    <t>Clínica Universitaria del Norte S.A.C.</t>
  </si>
  <si>
    <t>Janeth Cosi Mamani</t>
  </si>
  <si>
    <t>Oficio N° 012-2025 Clínica AUNA sede Bellavista (05/09/2024)</t>
  </si>
  <si>
    <t xml:space="preserve">CLINICA LA LUZ S.A.C. </t>
  </si>
  <si>
    <t>Av. Arequipa 1148 - Urb. Santa Beatriz</t>
  </si>
  <si>
    <t>Urb. La Esperanza  A-12, a-13 Adepa</t>
  </si>
  <si>
    <t>Dr. Pedro Ponce Cajahuaringa</t>
  </si>
  <si>
    <t>Dr. Gabriel Roman Guevara Yanqui</t>
  </si>
  <si>
    <t>M.C. Alfredo Goytendia Cortez</t>
  </si>
  <si>
    <t>Dra. Gleidy Mallma Vilca</t>
  </si>
  <si>
    <t>992302491 /Lic. Elmer Villanueva</t>
  </si>
  <si>
    <t>Tec. Med. Milagros del Rosario Chavez Vizcarra</t>
  </si>
  <si>
    <t>Clínica Cori S.A.C.</t>
  </si>
  <si>
    <t>Lic. Elmer Villanueva, Lic Jenner Olivera</t>
  </si>
  <si>
    <t>Dr. Henry Bernabe Blanco Santos</t>
  </si>
  <si>
    <t>Dr. José Luis Monja García</t>
  </si>
  <si>
    <t>N° 2025-0281321, 2025-0203008</t>
  </si>
  <si>
    <t>Lic. Amalia Giannina Bernedo Miranda</t>
  </si>
  <si>
    <t>CLINICA CENTENARIO PERUANO JAPONES</t>
  </si>
  <si>
    <t>Acta de Sesión 01 del Comité Transfusional Hospitalario</t>
  </si>
  <si>
    <t>Acta de 2 da sesión de comite transfusional hospialaria (17-04-26 Expediente N° 2026-0128704)</t>
  </si>
  <si>
    <t>PER-BSIA-150801-295</t>
  </si>
  <si>
    <t>R.D.N° 14-2025-DIGDOT/MINSA</t>
  </si>
  <si>
    <t>Clínica Angloamericana - British American Hospital S.A.</t>
  </si>
  <si>
    <t>CLÍNICA SAN BARTOLOMÉ SAC</t>
  </si>
  <si>
    <t>INVERSIONES MEDICAS GALENO SAC con nombre comercial CLINICA SAN PEDRO</t>
  </si>
  <si>
    <t>San Isidro</t>
  </si>
  <si>
    <t>2025-0313746</t>
  </si>
  <si>
    <t>Dr. Jorge Elias Palacios Bazán</t>
  </si>
  <si>
    <t>Hogar Clínica San Juan de Dios</t>
  </si>
  <si>
    <t>Dr. Jorge Martín Cotrina</t>
  </si>
  <si>
    <t>AV. Echenique N°641</t>
  </si>
  <si>
    <t>Fiorela Melisa Ponte Calixto</t>
  </si>
  <si>
    <t>DR FREDY CABRERA ARGUELLES</t>
  </si>
  <si>
    <t>Dr. Alejandro Adolfo Leyva Alonso</t>
  </si>
  <si>
    <t>DR JIMMY GALLEGOS CATACHURA</t>
  </si>
  <si>
    <t>Dr. Jorge Elías Palacios Bazán</t>
  </si>
  <si>
    <t xml:space="preserve">LIC CARMEN CRUZ MORALES , LIC LUIS OBREGON MAUTINO, LIC JAIME LUYO DELGADO , LIC ANSHY TAQUIRE RIVERA , LIC MAX LEON VILLANEUVA </t>
  </si>
  <si>
    <t>R.D. N° 15-2025-CAB</t>
  </si>
  <si>
    <t>Acta N° 001-2025-CTH-CSB</t>
  </si>
  <si>
    <t xml:space="preserve">                                    2025-0284423, N°2025-0306119 y N° 2025-0348454</t>
  </si>
  <si>
    <t>CLÍNICA PETRAS</t>
  </si>
  <si>
    <t>PER-BSIA-160108-296</t>
  </si>
  <si>
    <t>R.D.N° 4-2026-DIGDOT/MINSA</t>
  </si>
  <si>
    <t>Calle 6 N° 221 - Corpac</t>
  </si>
  <si>
    <t>Dr. Gino Llosa Boluarte</t>
  </si>
  <si>
    <t>Paola Sotomayor Chuquiure</t>
  </si>
  <si>
    <t>Clínica Santa Lucía</t>
  </si>
  <si>
    <t>AV. COLONIAL MZ. LOTE 6 DISTRITO DE PUNCHANA</t>
  </si>
  <si>
    <t>ROGER SALAS YUMRATO</t>
  </si>
  <si>
    <t>Lic. Kiara Morán Gonzales</t>
  </si>
  <si>
    <t>DR.GODOFREDO INGUNZA MEZA</t>
  </si>
  <si>
    <t>Acta de Reunión N° 01 del Comité Transfusional Hospitalario</t>
  </si>
  <si>
    <t>NO VALIDO</t>
  </si>
  <si>
    <t>Lic. T.M. Vélez Zuta Israel Estuardo, Lic.T.M. Chela López Diaz .</t>
  </si>
  <si>
    <t xml:space="preserve">Expediente N° 2025-0342736
</t>
  </si>
  <si>
    <t>CLÍNICA LOS CONDES DEL SUR</t>
  </si>
  <si>
    <t>Hospital Nacional Sergio Enrique Bernales</t>
  </si>
  <si>
    <t>PER-BSIA-50101-297</t>
  </si>
  <si>
    <t>R.D.N° 146-2026-DIGDOT/MINSA</t>
  </si>
  <si>
    <t>Comas</t>
  </si>
  <si>
    <t>Av. Conde de Nieva N° 1073</t>
  </si>
  <si>
    <t>Dr. Edwin William Ramirez Arroyo</t>
  </si>
  <si>
    <t>Dr. Manuel Chacaltana Ramos</t>
  </si>
  <si>
    <t>Dra. Daniela Condeña Sánchez</t>
  </si>
  <si>
    <t>Clínica del Norte S.A.C.</t>
  </si>
  <si>
    <t>Dra. Luz Heredia Muñoz</t>
  </si>
  <si>
    <t>CLINICA EL NAZARENO</t>
  </si>
  <si>
    <t>Dra. Mirtha Heredia Muñoz</t>
  </si>
  <si>
    <t>Jr. Quinua N°428</t>
  </si>
  <si>
    <t>M.C. David Absalon Laura de la Cruz</t>
  </si>
  <si>
    <t>Lic. Franshesca Neyra Medina</t>
  </si>
  <si>
    <t>M.C. James Teodoro Curi Prado</t>
  </si>
  <si>
    <t>Acto Resolutivo N° 0029-GG-CLC-2025</t>
  </si>
  <si>
    <t>ADENDA: 22/03/2024 HASTA EL 21/03/2026</t>
  </si>
  <si>
    <t>Acta de Reunión N° 003 Comité Tranfusional Hospitalario</t>
  </si>
  <si>
    <t xml:space="preserve">Blgo. Rogel Lujan Juarez, Lic. T.M. Huarcaya Elmer, Lic. T.M. Cárdenas Jackeline
</t>
  </si>
  <si>
    <t>Próxima reunión de comité el 10/08/26.  Acta de Reunión N° 004 de ComiteTransfusional Hospitalario (fecha 13/07/26 - Carta N° 035-2026-CLC-ICA/GG</t>
  </si>
  <si>
    <t>Clínica Monteluz</t>
  </si>
  <si>
    <t>HOSPITAL GUILLERMO KAELIN DE LA FUENTE</t>
  </si>
  <si>
    <t>PER-BSIA150122-298</t>
  </si>
  <si>
    <t>R.D.N°008-2026-DIGDOT/MINSA</t>
  </si>
  <si>
    <t>ADENDA: 14/09/2023 HASTA EL 28/08/2027</t>
  </si>
  <si>
    <t>Cruce Av. 26 de noviembre y Av. Defensores de Lima</t>
  </si>
  <si>
    <t>Dra. Carla Elizabeth Uriarte Alayza</t>
  </si>
  <si>
    <t>Dra. Giovanna Rocío Vives Rivero</t>
  </si>
  <si>
    <t>Nelly Amanda Salas Benavides</t>
  </si>
  <si>
    <t>razón social “INSTITUTO MÉDICO RENAISSANCE EIRL” y nombre comercial “CLÍNICA RENACER”</t>
  </si>
  <si>
    <t>Clínica Mundo Salud</t>
  </si>
  <si>
    <t>Dra. Fanny Ponce Sánchez</t>
  </si>
  <si>
    <t>Dra. Jany Vásquez Gonzáles</t>
  </si>
  <si>
    <t>CALLE CORONEL INCLAN N°986</t>
  </si>
  <si>
    <t>Dra. Dayán Juliet Pérez Salvador</t>
  </si>
  <si>
    <t>DRA. GLORIA ANGELES</t>
  </si>
  <si>
    <t>Lic. Aylin Milagros de Jesús Julca Nuñez</t>
  </si>
  <si>
    <t>M.C. GONZALO CERVANTES GÓMEZ FOSTER</t>
  </si>
  <si>
    <t xml:space="preserve"> Acta de reunión N° 02</t>
  </si>
  <si>
    <t>LIC. TM. MARTHA CHAFLOQUE TULLUME, LIC. T.M. CARMEN VILLA GARCÍA</t>
  </si>
  <si>
    <t>ADENDA: 14/12/2023 HASTA EL 13/12/2025</t>
  </si>
  <si>
    <t>N°2025-0323174 y N°2025-0347794</t>
  </si>
  <si>
    <t>Clínica San Bartolomé</t>
  </si>
  <si>
    <t>HOSPITAL DE EMERGENCIA VILLA EL SALVADOR</t>
  </si>
  <si>
    <t>PER-BSIA060101-299</t>
  </si>
  <si>
    <t>R.D.N°007-2026-DIGDOT/MINSA</t>
  </si>
  <si>
    <t>Av. 200 millas S/N cruce con Av. Pastor Sevilla</t>
  </si>
  <si>
    <t>M.C. Hugo Efrend Rojas Olivera</t>
  </si>
  <si>
    <t>Brenda Tomás Coronado</t>
  </si>
  <si>
    <t>Dra. José Blas Marin</t>
  </si>
  <si>
    <t>ADENDA: 05/03/2424 HASTA EL 04/03/2026</t>
  </si>
  <si>
    <t>Dra. Claudia Fiorella Cervera Domínguez</t>
  </si>
  <si>
    <t>CLINICA LIMATAMBO CAJAMARCA S.A.C</t>
  </si>
  <si>
    <t>Dra. Kely Aracely Tapahuasco Palomino</t>
  </si>
  <si>
    <t>Dr. Juan Pablo Rivero Vallenas</t>
  </si>
  <si>
    <t>Lic. Luzbeth Escobedo Salazar</t>
  </si>
  <si>
    <t>Clínica Mater Purissima</t>
  </si>
  <si>
    <t>JR PUNO 265</t>
  </si>
  <si>
    <t>Acta de reunión N° 01 del Comité Transfusional Hospitalario (14/05/26)</t>
  </si>
  <si>
    <t>SR. Camilo José Vergara Miranda</t>
  </si>
  <si>
    <t>Anali Aracelly Cabanillas Martos</t>
  </si>
  <si>
    <t>968 494 683</t>
  </si>
  <si>
    <t>Agenda- evaluación de la atención de los pacientes con hemorragia masivas</t>
  </si>
  <si>
    <t>BLGO.JOSE CORDOVA, ANGES FUENTES, GIANCARLO SANTOYO</t>
  </si>
  <si>
    <t>HOSPITAL NACIONAL DOCENTE MADRE NIÑO SAN BARTOLOMÉ</t>
  </si>
  <si>
    <t>Clínica San Jusan Crisostomo</t>
  </si>
  <si>
    <t>Alfonso Ugarte N° 825</t>
  </si>
  <si>
    <t>PER-BSIA110101-300</t>
  </si>
  <si>
    <t>Dr. Aldo Cesar Benel Chamaya</t>
  </si>
  <si>
    <t>R.D.N°019-2026-DIGDOT/MINSA</t>
  </si>
  <si>
    <t>Fanny Bendezú Ibarra</t>
  </si>
  <si>
    <t>Dr. Jorge Javier Flores Sánchez</t>
  </si>
  <si>
    <t>Dr. Hugo Delgado Bartra</t>
  </si>
  <si>
    <t>Dr. LLdauro Aguirre Sosa</t>
  </si>
  <si>
    <t>Dr. Juan Orestes Ramírez Cabrera</t>
  </si>
  <si>
    <t xml:space="preserve">CLINICA SAN VICENTE </t>
  </si>
  <si>
    <t>Dr. Julio Cesar Villa Solle</t>
  </si>
  <si>
    <t>Lic. Miriam Ortiz Espinoza</t>
  </si>
  <si>
    <t>Acto Resolutivo N° 261-2025-DG-HONADOMANI-SB</t>
  </si>
  <si>
    <t>Acta de reunión N° 02 del Comité Transfusional Hospitalario (10/03/26)</t>
  </si>
  <si>
    <t>AV. LOS MAESTROS N°422</t>
  </si>
  <si>
    <t>Hospital María Auxiliadora</t>
  </si>
  <si>
    <t>JULIA FERNANDEZ BENAVIDES</t>
  </si>
  <si>
    <t>JUDITH MAXIMINA CHOQUE MIRANDA</t>
  </si>
  <si>
    <t>CLÍNICA MONTELUZ</t>
  </si>
  <si>
    <t>TM CRISPIN HUALPA MARIA, TM ERAZO HUAMAN TATIANA, TM HUALLANCA BARTRA JESUS</t>
  </si>
  <si>
    <t>San Juan de Miraflores</t>
  </si>
  <si>
    <t>2025-0299842</t>
  </si>
  <si>
    <t>N°2026-0055037</t>
  </si>
  <si>
    <t>Óvalo Zapallal de Puente Piedra</t>
  </si>
  <si>
    <t>Dra. Nelia Adriana Ramírez Escobar</t>
  </si>
  <si>
    <t>Dra. Martha Watanabe</t>
  </si>
  <si>
    <t>Clínica Santa Julia S.A.C.</t>
  </si>
  <si>
    <t>Lic. Madeleine Julia Rufasto</t>
  </si>
  <si>
    <t>Dr. Simón Vite Panta</t>
  </si>
  <si>
    <t>PER-BSIA030601-301</t>
  </si>
  <si>
    <t>Dr. Arnold Yataco</t>
  </si>
  <si>
    <t>R.D.N°023-2026-DIGDOT/MINSA</t>
  </si>
  <si>
    <t>Lic. Verónica Barrutia Carranza</t>
  </si>
  <si>
    <t>Acta de reunión 2 y 3 del Comité Transfusional (15/07/26)</t>
  </si>
  <si>
    <t xml:space="preserve">HOSPITAL CHINCHEROS </t>
  </si>
  <si>
    <t xml:space="preserve">CHINCHEROS </t>
  </si>
  <si>
    <t>CHINCHEROS</t>
  </si>
  <si>
    <t>Avenida Fernando Belaunde Terry s/n</t>
  </si>
  <si>
    <t xml:space="preserve">Janeth CACERES NAJARRO </t>
  </si>
  <si>
    <t>-----</t>
  </si>
  <si>
    <t>Clínica Real Los Laureles</t>
  </si>
  <si>
    <t>Medico Patólogo Clínico Jasmin Sánchez Salvatierra.</t>
  </si>
  <si>
    <t>Lic. T.M Omar Valencia Barra, Lic.TM Mónica Quispe Álvarez, Lic. TM Magdely Medrano Jiménez, Lic TM Yesica Ramos Huarcaya</t>
  </si>
  <si>
    <t>2026-0064506, N°2025-0363469, N°2026-0036782, N°2026-0036705, N°2026-0063371.</t>
  </si>
  <si>
    <t>PER-BSIA040101-302</t>
  </si>
  <si>
    <t>R.D.N°022-2026-DIGDOT/MINSA</t>
  </si>
  <si>
    <t>Centro Materno Infantil José Carlos Mariátegui</t>
  </si>
  <si>
    <t>Razón social Max Salud Arequipa S.R.L. y nombre comercial Clínica Max Salud Arequipa</t>
  </si>
  <si>
    <t>Calle Camaná N°119</t>
  </si>
  <si>
    <t>Dr. Ludgardo Astorga Febres</t>
  </si>
  <si>
    <t>956 717 885</t>
  </si>
  <si>
    <t>MÉDICO PATÓLOGO: JAMES CURI PRADO</t>
  </si>
  <si>
    <t>TM AUQUI ZAPATA CLAUDIA, TM RODRIGUEZ GOMEZ YVONNE, AVALOS LAU LEN ROBERTO</t>
  </si>
  <si>
    <t>Hospital de la Amistad Perú Corea Santa Rosa II-2</t>
  </si>
  <si>
    <t>2026-0010526, 2026-0025335, 2026-0068256</t>
  </si>
  <si>
    <t>Veintiséis de Octubre</t>
  </si>
  <si>
    <t>PER-BSIA040112-303</t>
  </si>
  <si>
    <t>2025-0297141</t>
  </si>
  <si>
    <t>R.D.N°028-2026-DIGDOT/MINSA</t>
  </si>
  <si>
    <t>Clínica Grupo Carita Feliz S.A.</t>
  </si>
  <si>
    <t>Razón social ISM CORPORATE S.A.C. y nombre comercial CLINICA MALL SALUD</t>
  </si>
  <si>
    <t xml:space="preserve">Av Porongoche N°500 piso 3 </t>
  </si>
  <si>
    <t>SR. Carlos Oswaldo LAM RONDON</t>
  </si>
  <si>
    <t>982702856-Cristofher Llosa Adm</t>
  </si>
  <si>
    <t>PATÓLOGO CLÍNICO GLEIDY MALLMA VILCA</t>
  </si>
  <si>
    <t>TM ANAMARIA DE LOS ANGELES VERA FLORES, TM MILAGROS DEL ROSARIO CHAVEZ VIZCARRA Y TM MONICA BAUTISTA MONTEZA</t>
  </si>
  <si>
    <t>2026-0030101, 2026-0062185 y 2026-0092860</t>
  </si>
  <si>
    <t>HORARIO DE ATENCIÓN: 12HRS</t>
  </si>
  <si>
    <t>Centro Médico Mont SINAI C C Asociados Sociedad Comercial de Responsabilidad Limitada</t>
  </si>
  <si>
    <t>PER-BSIA200104-304</t>
  </si>
  <si>
    <r>
      <rPr>
        <rFont val="Calibri"/>
        <color rgb="FF000000"/>
        <sz val="11.0"/>
      </rPr>
      <t>R.D. N°0</t>
    </r>
    <r>
      <rPr>
        <rFont val="Calibri"/>
        <color rgb="FFFF0000"/>
        <sz val="11.0"/>
      </rPr>
      <t>35</t>
    </r>
    <r>
      <rPr>
        <rFont val="Calibri"/>
        <color rgb="FF000000"/>
        <sz val="11.0"/>
      </rPr>
      <t>-2026-DIGDOT/MINSA</t>
    </r>
  </si>
  <si>
    <t>Clínica La Florida S.A.C.</t>
  </si>
  <si>
    <t>Razón social Ejército Peruano y nombre comercial Hospital Militar Divisionario I División Del Ejército Piura</t>
  </si>
  <si>
    <t>Av. Cayetano Heredia N°100</t>
  </si>
  <si>
    <t xml:space="preserve">CRL INF Dennis Edilberto FERNÁNDEZ ALEMÁN
</t>
  </si>
  <si>
    <t>M.C. HEMATÓLOGA MARIA FRANCESCA TASSARA CICCHINI</t>
  </si>
  <si>
    <t xml:space="preserve">TM. Victor Chumacero Román, TM. Cleidi Chunga Bouillon, TM. Hernan Campoverde, TM. Sammy Landauro
</t>
  </si>
  <si>
    <t>Clínica Virgen de Guadalupe</t>
  </si>
  <si>
    <t>Expedientes N° 2026-0053542, 2026-0084717 y 2026-0109839</t>
  </si>
  <si>
    <t>PIRA</t>
  </si>
  <si>
    <t>MORROPÓN</t>
  </si>
  <si>
    <t>PER-BSIA060801-305</t>
  </si>
  <si>
    <r>
      <rPr>
        <rFont val="Calibri"/>
        <color rgb="FF000000"/>
        <sz val="11.0"/>
      </rPr>
      <t>R.D. N°0</t>
    </r>
    <r>
      <rPr>
        <rFont val="Calibri"/>
        <color rgb="FFFF0000"/>
        <sz val="11.0"/>
      </rPr>
      <t>32</t>
    </r>
    <r>
      <rPr>
        <rFont val="Calibri"/>
        <color rgb="FF000000"/>
        <sz val="11.0"/>
      </rPr>
      <t>-2026-DIGDOT/MINSA</t>
    </r>
  </si>
  <si>
    <t>Corporación Médica Piura S.A.C. - Clínica Santivañez</t>
  </si>
  <si>
    <t>Denominación “NEUROMEDIC JAÉN” y de razón social “NEUROMEDIC JAÉN E.I.R.L.”</t>
  </si>
  <si>
    <t>Clínica Médica Santa Emilia - MEDGASTRO E.I.R.L.</t>
  </si>
  <si>
    <t>Pasaje Ecología N°111 – Morro Solar</t>
  </si>
  <si>
    <t>HERBERT JOSE CAPUÑAY QUIÑONES</t>
  </si>
  <si>
    <t>M.C.  Pat. Clín. Carlos Enrique Cervera Noriega</t>
  </si>
  <si>
    <t>TM. ANTHONY PAÚL CAJUSOL BOCANEGRA, TM Margarita Chávez Vásquez, TM. ANSHELA VILCAMANGO FERNANDEZ, TM. JUAN FREDDDY CAPUÑAY NECIOSUP</t>
  </si>
  <si>
    <t>Clínica Los Cocos</t>
  </si>
  <si>
    <t>2026-0087916 y 2026-0115010</t>
  </si>
  <si>
    <t>PER-BSIA060801-306</t>
  </si>
  <si>
    <t>R.D. N°039-2026-DIGDOT/MINSA</t>
  </si>
  <si>
    <t>EN TRAMITE</t>
  </si>
  <si>
    <t>NO</t>
  </si>
  <si>
    <t>Clínica Madre del Perpetuo Socorro</t>
  </si>
  <si>
    <t>CLINICA LA LUZ DE JAEN SAC</t>
  </si>
  <si>
    <t>AV. PAKAMUROS 1113</t>
  </si>
  <si>
    <t>JESUS JEREZ MANZILLA</t>
  </si>
  <si>
    <t>M.C. FERNANDO BARBOZA MONTALVO/ZAPATA YAMUNAQUE OSCAR</t>
  </si>
  <si>
    <t xml:space="preserve">Lic. T.M. Antony Sayago.Lic. T.M. Wendy Cervera.Lic. T.M. Abel Fernández.Lic. T.M. Sheyla Tenorio
</t>
  </si>
  <si>
    <t>Hospital Nacional Dos de Mayo</t>
  </si>
  <si>
    <t xml:space="preserve">                                        Expediente N° 2026-0046701, 2026-0071829 y 2026-0117455
</t>
  </si>
  <si>
    <t>PER-BSIA050601-307</t>
  </si>
  <si>
    <t>Cercado de Lima</t>
  </si>
  <si>
    <t>R.D. N°042-2026-DIGDOT/MINSA</t>
  </si>
  <si>
    <t>2025-0293521</t>
  </si>
  <si>
    <t>Hospital de Emergencias Pediátricas</t>
  </si>
  <si>
    <t>HOSPITAL DE APOYO PUQUIO " FELIPE HUAMAN POIMA DE AYALA</t>
  </si>
  <si>
    <t>PUQUIO</t>
  </si>
  <si>
    <t>LUCANAS</t>
  </si>
  <si>
    <t>Av. Arnaldo Alvarado de Gregory N° 969 y Jr. Manuel Pozo N° 487</t>
  </si>
  <si>
    <t>C.D. GODOFREDO LICLA QUISPE</t>
  </si>
  <si>
    <t>Av. Arnaldo Alvarado De Gregory  N° 969 y Jr. Manuel Pozo N° 497</t>
  </si>
  <si>
    <t>999111397 LIC. CARRASCO</t>
  </si>
  <si>
    <t xml:space="preserve">T.M. ABIADEL CARRASCO, BLGO.FERNANDO VALIENAS, BLGO. HILDA AUCSASI, BLGO.MARGOT SOTO,BLGO. ANGEL PARIONA
</t>
  </si>
  <si>
    <t>Hospital Nacional Hipólito Unanue</t>
  </si>
  <si>
    <t xml:space="preserve">Expediente N° 2026-0070248, 2026-0099189 </t>
  </si>
  <si>
    <t>El Agustino</t>
  </si>
  <si>
    <t>2025-0291910
2026-0095178</t>
  </si>
  <si>
    <t>PER-BSIA150135-308</t>
  </si>
  <si>
    <t>Hospital de Mediana Complejidad "José Agurto Tello"</t>
  </si>
  <si>
    <t>R.D. N°037-2026-DIGDOT/MINSA</t>
  </si>
  <si>
    <t>LURIGANCHO - CHOSICA</t>
  </si>
  <si>
    <t>razón social SEGURO SOCIAL DE SALUD y denominación HOSPITAL DE ESPECIALIDADES QUIRURGICAS CANTA CALLAO</t>
  </si>
  <si>
    <t>Urbanización Los Huertos de Naranjal Mz C, lote 4</t>
  </si>
  <si>
    <t>DRA. CELIA ROQUE CUTIPA</t>
  </si>
  <si>
    <t>976 469 828</t>
  </si>
  <si>
    <t>MED. PAT. CLÍN. MARGARET SHIRLEY CONDORI ZEVALLOS</t>
  </si>
  <si>
    <t>Servicios de Salud María del Socorro S.R.L. Clínica María del Socorro</t>
  </si>
  <si>
    <t>TM. Elbert Yuri Tolentino López; TM GUSTAVO ALONSO DE LA TORRE BOCANEGRA; TM CAROLINA ROSSI VERAMENDI LAZARO</t>
  </si>
  <si>
    <t>expedientes 2026-0116527 y 2026-0124007</t>
  </si>
  <si>
    <t>Instituto Nacional de Salud del Niño San Borja</t>
  </si>
  <si>
    <t>PER-BSIA-080901-309</t>
  </si>
  <si>
    <t>R.D. N°040-2026-DIGDOT/MINSA</t>
  </si>
  <si>
    <t>2025-0292444</t>
  </si>
  <si>
    <t xml:space="preserve">VIRGEN INMACULADA - TRAVIS INVERSIONES E.I.R.L. </t>
  </si>
  <si>
    <t>Centros de Salud Peruanos S.A.C. Clínica AVIVA sede Los Olivos</t>
  </si>
  <si>
    <t>LA CONVENCIOS</t>
  </si>
  <si>
    <t>Avenida General Gamarra N° 134</t>
  </si>
  <si>
    <t>M.C.Jacquelina UGARTE CURILLO</t>
  </si>
  <si>
    <t>M.C. Rocio Rivas Chamana.</t>
  </si>
  <si>
    <t>984-108143</t>
  </si>
  <si>
    <t xml:space="preserve">T.M. Janet Quispe Tacuri. T.M. Ruth Fiorela Rodriguez Zea. T.M. Alberto Peña Vargas. Bióloga Juana Paola Elour Elorrieta Mamani. Bióloga Dina Beatriz Torres Vilca.
</t>
  </si>
  <si>
    <t>Hospital de Emergencias José Casimiro Ulloa</t>
  </si>
  <si>
    <t>2026-0066670, 2026-0125737 y 2026- 0127748</t>
  </si>
  <si>
    <t>PER-BSIA021601-310</t>
  </si>
  <si>
    <t>R.D. N°D0047-2026-DIGDOT-MINSA</t>
  </si>
  <si>
    <t>Instituto Kirschbaum de Cirugía Plástica y Estética S.C.R.L.</t>
  </si>
  <si>
    <t>HOSPITAL DE APOYO POMABAMBA</t>
  </si>
  <si>
    <t>POMABAMBA</t>
  </si>
  <si>
    <t>Jr. Huaraz S/N Lote 4 Mz C</t>
  </si>
  <si>
    <t>C.D. JIMMY ARTURO VIDAL VALVERDE</t>
  </si>
  <si>
    <t>M.C. JAVIER WALTER LUQUE SULCA</t>
  </si>
  <si>
    <t xml:space="preserve">T.M. Yupanqui Yupanqui Claudia Milagros., T.M. Mejía Pumaricra Jemis Frank (981996636), T.M. Rodríguez Cruz Marileidy, T.M. Ulloa Bonifacion Leslie Brillit
</t>
  </si>
  <si>
    <t>Astocondor Salazar Epifanio Francisco - Clínica Astocondor</t>
  </si>
  <si>
    <t>N°2025-0362581 y N°2026-0114959</t>
  </si>
  <si>
    <t>por regularizar</t>
  </si>
  <si>
    <t>PER-BSIA150130-311</t>
  </si>
  <si>
    <t>R.D. N°049-2026-DIGDOT/MINSA</t>
  </si>
  <si>
    <t xml:space="preserve">“CLINICA SANTA LUCIA S.A.C.” </t>
  </si>
  <si>
    <t>Clínica UNIPLAST SAC - Clínica BISBAL PLASTIC</t>
  </si>
  <si>
    <t>Av.Guardia Civil N°301</t>
  </si>
  <si>
    <t xml:space="preserve">G.G. Stephen Thomas QUIROZ FRANCKOWIAK </t>
  </si>
  <si>
    <t>Medico Patologo Tulio Jose Enrique Sabta Cruz Guerrero</t>
  </si>
  <si>
    <t>Lic.T.M. Jose Tapia Garcia y Lic T.M. Katherine Rossmary Huertas Alva</t>
  </si>
  <si>
    <t>N° 2026-0089022, N°2026-0120812 y 2026-0140850</t>
  </si>
  <si>
    <t>Instituto Nacional de Salud del Niño Breña</t>
  </si>
  <si>
    <t>Breña</t>
  </si>
  <si>
    <t>2025-0291448</t>
  </si>
  <si>
    <t>PER-BSIA120606-312</t>
  </si>
  <si>
    <t>R.D. N°D0054-2026-DIGDOT-MINSA</t>
  </si>
  <si>
    <t>HOSPITAL SAN MARTÍN DE PANGOA</t>
  </si>
  <si>
    <t>PANGOA</t>
  </si>
  <si>
    <t>SATIPO</t>
  </si>
  <si>
    <t>Av. Pangoa entre Calle Ucayali y Av. España S/N</t>
  </si>
  <si>
    <t>M.C.General, Victor Jesús Solier Cajahuanca</t>
  </si>
  <si>
    <t>Hospital Santa Rosa de Puerto Maldonado</t>
  </si>
  <si>
    <t>M.C. Jonathan Antony Moreno Tovar</t>
  </si>
  <si>
    <t>Madre de Dios</t>
  </si>
  <si>
    <t>Lic. T.M. Basilio Huamán  Frank Max (935033109), - Lic. T.M. Chuyo León Eliana Bertila, - Lic. T.M. Valencia Gonzales Christian Arturo, - Lic. T.M. Miranda Porras Melissa Yureli, - Lic. T.M. Paucar Común Edison</t>
  </si>
  <si>
    <t>Callería</t>
  </si>
  <si>
    <t>Puerto Maldonado</t>
  </si>
  <si>
    <t>N°2026-0072811, N°2026-0097613 y N°2026-0137234</t>
  </si>
  <si>
    <t>PER-BSIA110101-313</t>
  </si>
  <si>
    <t>R.D. N°D0053-2026-DIGDOT-MINSA</t>
  </si>
  <si>
    <t>Hospital III Daniel Alcides Carrión</t>
  </si>
  <si>
    <t>Tacna</t>
  </si>
  <si>
    <t>Calana</t>
  </si>
  <si>
    <t>NOMBRE COMERCIAL “ VIRGEN DEL ROSARIO SA” Y CON RAZON SOCIAL “CLINICA VIRGEN DEL ROSARIO”</t>
  </si>
  <si>
    <t>2025-0290086</t>
  </si>
  <si>
    <t>Hospital Base II Moquegua de la Red Asistencial Moquegua</t>
  </si>
  <si>
    <t>Calle Callao 263</t>
  </si>
  <si>
    <t>Mariza Lizararo Chacon</t>
  </si>
  <si>
    <t>Bertha Ortencia Pretrell Ayulo</t>
  </si>
  <si>
    <t>Biologa Kelly Astorga Suarez, T..M.Carlos Diaz Ajalcriña ,T.M. Cralos Diaz Palomino y T.M. Junior Guevara Hernbandez</t>
  </si>
  <si>
    <t>Hospital de Emergencia Villa El Salvador</t>
  </si>
  <si>
    <t>Expedientes: N° 2026-0110877,  N° 2026-0139703 y 2026-0162782</t>
  </si>
  <si>
    <t>Villa El Salvador</t>
  </si>
  <si>
    <t>2025-0290554</t>
  </si>
  <si>
    <t>PER-BSIA211101-314</t>
  </si>
  <si>
    <t>R.D. N° XXXX-2026-DIGDOT/MINSA</t>
  </si>
  <si>
    <t>“CLINICA AMERICANA DE JULIACA”</t>
  </si>
  <si>
    <t>Clínica Centenario Peruano Japonesa</t>
  </si>
  <si>
    <t>Jr. Loreto N°315 Urb. La Rinconada</t>
  </si>
  <si>
    <t>Herber Asael FERNANDEZ MOLOCHO</t>
  </si>
  <si>
    <t>M.C. CRISSY MIRANDA MAYTA</t>
  </si>
  <si>
    <t>900 773 338</t>
  </si>
  <si>
    <t>Blgo. Mario Chambi Quispe, Blgo. Edison Perez Nina, TM. Mateo Huaman, Blga. Irene Chayña, Blga. Edith Coaquira</t>
  </si>
  <si>
    <t>N° 2026-0094784, 2026-0140196 y 2026-0162668</t>
  </si>
  <si>
    <t>Inverconsult S.A.</t>
  </si>
  <si>
    <t>PER-BSIA150117-315</t>
  </si>
  <si>
    <t>CLINICA MEDICA PRIMAVERA - GROUP CORPORACION G&amp;R SAC</t>
  </si>
  <si>
    <t xml:space="preserve">Jr. Los Jazmines N° 122 Urb. Primavera </t>
  </si>
  <si>
    <t xml:space="preserve">ESTELVIN MARTIN ALFARO CESAR   ancodesangreclinicamedicaprim@gmail.com  </t>
  </si>
  <si>
    <t>967 692 101</t>
  </si>
  <si>
    <t>Centro Médico Avendaño S.A.C.</t>
  </si>
  <si>
    <t xml:space="preserve">MC. PATOLGOO CLINICO ALEJANDRO TIBURCIO GONZALES </t>
  </si>
  <si>
    <t xml:space="preserve">-TM. ROSA MILAGROS RANTES ALBERTO, TM ARONI VASQEUZ MELANY, TM LUIS ALBERTO INGA CHAVEZ, TM LEO DÝSY, TM- AQUILES CHIRHUANA ARBIETO
</t>
  </si>
  <si>
    <t xml:space="preserve">2026-0158040 y 2026-0158034 y 2026-0176016  </t>
  </si>
  <si>
    <t>PER-BSIA211101-316</t>
  </si>
  <si>
    <t>Calínica Especializada en Cirugía Plástica San Agustín S.A.C.</t>
  </si>
  <si>
    <t>Razón social Clinica Internacional Nacer S.R.L. y Nombre Comercial Clinica Internacional Nacer</t>
  </si>
  <si>
    <t>Av. 03 de octubre</t>
  </si>
  <si>
    <t>Rumy Quispe Quispe</t>
  </si>
  <si>
    <t>M.C. Fernando Portugal Zea</t>
  </si>
  <si>
    <t>BLGA. DIONE MARYSOL LOPEZ, BLGA. IRENE LUCRECIA CHAYÑA BARRIOS, LIC. T.M. KEILA TANIA SONCCO CHOQUE</t>
  </si>
  <si>
    <t>Clínica La Luz S.A.C.</t>
  </si>
  <si>
    <t>N° 2026-0122648, 2026-0147469 y 2026-0164968</t>
  </si>
  <si>
    <t>PER-BSIA150115-317</t>
  </si>
  <si>
    <t xml:space="preserve">EN TRAMITE </t>
  </si>
  <si>
    <t>“CLINICA QUIRU+” y con razón social “CIRUJANOS GENERALES Y ONCOLOGICOS S.A.C.”</t>
  </si>
  <si>
    <t>Clínica materno Infantil Virgen del Rosario S.R.L.</t>
  </si>
  <si>
    <t>en Av. Javier Prado Este N°1435-1439, Urb Santa Catalina</t>
  </si>
  <si>
    <t>G G FERNANDO AARON RODRIGUEZ ZUÑIGA</t>
  </si>
  <si>
    <t>M.P. MARIA NEYRA MERCADO</t>
  </si>
  <si>
    <t>956 620 141</t>
  </si>
  <si>
    <t>TM OSCAR MIRANDA RODRIGUEZ</t>
  </si>
  <si>
    <t>N° 2026-0167864, N°2026-0189936, N° 2026-0189937 y    N°2026-0189936</t>
  </si>
  <si>
    <t>Instituto del Cerebro y la Columna Vertebral S.A.C.</t>
  </si>
  <si>
    <t>PER-BSIA160108-318</t>
  </si>
  <si>
    <t>DIRESA LORETO</t>
  </si>
  <si>
    <t>CLINICA ESPECIALIZADA “EMASALUD”</t>
  </si>
  <si>
    <t xml:space="preserve">Calle amazonas </t>
  </si>
  <si>
    <t xml:space="preserve">Angelo Luis Torres Ipanama </t>
  </si>
  <si>
    <t>LIYANNI WHITTINGHAM MADRIGRAL</t>
  </si>
  <si>
    <t>Servicios de Salud Guadalupe S.A.C.</t>
  </si>
  <si>
    <t>TM EDUARDO JULIAN ALARCON ROSAS, ALDO KEVIN HUAMAN MONTERO, TM VALERIANO ROSALES ANDRADE</t>
  </si>
  <si>
    <t>N° 2026-0140565, N°2026-0182616 y N°2026-0200007</t>
  </si>
  <si>
    <t>PER-BSIA150122-319</t>
  </si>
  <si>
    <t>Clínica de Mujeres S.A.C. - Clínica Porvenir</t>
  </si>
  <si>
    <t>nombre comercial “EUROCLINICA” y razón social CLINICA ALTUS S.A.C.</t>
  </si>
  <si>
    <t>Calle Rio de Janeiro N°150</t>
  </si>
  <si>
    <t>FRANCISCO JAVIER SANCHEZ</t>
  </si>
  <si>
    <t>MÉDICO PATÓLOGO CLÍNICO: Luis Palma Garcia</t>
  </si>
  <si>
    <t>970 660 618</t>
  </si>
  <si>
    <t xml:space="preserve">TM. Eche Navarro Marylin, TM. Boza Sulca Lizbeth, TM. Angel Esteban Briceño, TM. Acuña Benites Marlene
</t>
  </si>
  <si>
    <t xml:space="preserve">N° 2026-0138095, 2026-0141333, 2026-0164344 y 2026-0212359
</t>
  </si>
  <si>
    <t>Rejuvenecimiento y estéctica CABANI Sociedad Comercial de Responsabilidad Limitada-REC SRL</t>
  </si>
  <si>
    <t>PER-BSIA020601-320</t>
  </si>
  <si>
    <t>DIRIS ANCASH</t>
  </si>
  <si>
    <t>“Hospital de Apoyo Carhuaz”</t>
  </si>
  <si>
    <t>CARHUAZ</t>
  </si>
  <si>
    <t>Jr. Union S/N Cuadra 2</t>
  </si>
  <si>
    <t>JOHAN DEMPSEY LEYVA URBINA</t>
  </si>
  <si>
    <t xml:space="preserve">ROMERO CADILLO ROMELL RICARTE </t>
  </si>
  <si>
    <t>Clínica Camino Real S.A.C.</t>
  </si>
  <si>
    <t xml:space="preserve">T.M. FERNANDO PRESBITERO SAMANE, BIOLOGA BERNABET DE LOS MILAGROS MARTINES RELUZ, T.M. MARTHA DARCELY RONDAN ALVARADO Y T.M. MARILYN ELSA ANACLETO VILLEGAS
</t>
  </si>
  <si>
    <t>N° 2026-0183470, N°2026-0204835 y N°2026-0221828 y N°2026-0223639</t>
  </si>
  <si>
    <t>PER-BSIA040126-321</t>
  </si>
  <si>
    <t>Banco de Sangre Regional San Martín</t>
  </si>
  <si>
    <t xml:space="preserve">RAZON SOCIAL CEGIRE SALUD E.I.R.L Y NOMBRE 
                        COMERCIAL CEGIRE SALUD
</t>
  </si>
  <si>
    <t>San Martín</t>
  </si>
  <si>
    <t>Tarapoto</t>
  </si>
  <si>
    <t xml:space="preserve">calle comandante Ruiz Mz. D lote 05, distrito de Yanahuara </t>
  </si>
  <si>
    <t>OLIVIA CASTILLO DE LA FUENTE</t>
  </si>
  <si>
    <t>924710314  cegirearequipa@gmail.corn</t>
  </si>
  <si>
    <t>ZUÑIGA MANRIQUE ROSARIO ELSA JESUS</t>
  </si>
  <si>
    <t>Hospital II-1 Moyobamba</t>
  </si>
  <si>
    <t>T.M. MILAGROS BEGAZO, R.M. MILAGROS CHAVEZ, KATHERINE MALDONADO</t>
  </si>
  <si>
    <t>N° 2026-0176822,  2026-0221312 y 2026-2026-0226293</t>
  </si>
  <si>
    <t>PER-BSIA040126-322</t>
  </si>
  <si>
    <t>Hospital II-1 - Rioja</t>
  </si>
  <si>
    <t>nombre comercial “Clinica Cuidamos tu Salud” con razón social “Cuidamos tu Salud E.I.R.L.”</t>
  </si>
  <si>
    <t xml:space="preserve">AREQUIPA </t>
  </si>
  <si>
    <t>Av. Zamacola N°216</t>
  </si>
  <si>
    <t>Maritza Cruz Castro</t>
  </si>
  <si>
    <t>Ann Sotaya Gomez</t>
  </si>
  <si>
    <t xml:space="preserve"> 969- 694- 933</t>
  </si>
  <si>
    <t xml:space="preserve"> T.M. Katherine Maldonado Nina,   T.M. Mayara Elvira Jara Obando  T.M.Kathya Daniela Mendoza Capa y   T.M. Lesly Araujo Román
</t>
  </si>
  <si>
    <t>Hospital Rural I-4 - Saposoa</t>
  </si>
  <si>
    <t>N° 2026-0159634, N°2026-0178047, N° 2026-0188388, 2026-0215116 y N° 2026-0225027</t>
  </si>
  <si>
    <t>PER-BSIA250101-323</t>
  </si>
  <si>
    <t>razón social POLICLÍNICO 2 DE MAYO PUCALLPA E.I.R.L y nombre comercial POLICLÍNICO 2 DE MAYO</t>
  </si>
  <si>
    <t>CALLERÍA</t>
  </si>
  <si>
    <t>Hospital II-E - Juanjuí - MC. Luis Izquierdo Vásquez</t>
  </si>
  <si>
    <t>Av. 2 de mayo N°757</t>
  </si>
  <si>
    <t>Jackeline Vanessa GUTIERREZ CHAGUA</t>
  </si>
  <si>
    <t>MÉDICO PATÓLOGO RICHARD MELENDEZ</t>
  </si>
  <si>
    <t>MARISCAL CÁCERES</t>
  </si>
  <si>
    <t>TM CARLOS PAICO, TM JULIO CABRERA</t>
  </si>
  <si>
    <t>JUANJUÍ</t>
  </si>
  <si>
    <t>N° 2026-0078615, 2026-0175004 y 2026-0232878</t>
  </si>
  <si>
    <t>PER-BSIA140101-324</t>
  </si>
  <si>
    <t>Hospital Bellavista</t>
  </si>
  <si>
    <t>ENFOQUE SALUD S.A.C</t>
  </si>
  <si>
    <t xml:space="preserve">CALLE ALFONSO UGARTE N° 641 </t>
  </si>
  <si>
    <t>Carla Lisseth Palacios Rodas (GERENTE)</t>
  </si>
  <si>
    <t>c.enfoquesalud@gmail.com</t>
  </si>
  <si>
    <t>Hospital II-2 Tarapoto</t>
  </si>
  <si>
    <t>JOHAN ARRUÉ HERNANDEZ</t>
  </si>
  <si>
    <t xml:space="preserve">TM. JOSE PEREZ,TM ROCIO BECERRA,TM RICARDO GONZALES,TM CATHERINE CANTOS
</t>
  </si>
  <si>
    <t>N°2026-0234245</t>
  </si>
  <si>
    <t>Hospital Rural Picota</t>
  </si>
  <si>
    <t>Hospital EsSalud Tarapoto</t>
  </si>
  <si>
    <t>Hospital I Alto Mayo-EsSalud</t>
  </si>
  <si>
    <t>Servicios Médicos Lionel Flores e Hijos S.A.C. - Clínica San Martín</t>
  </si>
  <si>
    <t>Clínica Docente Adelina Soplín S.A.C.</t>
  </si>
  <si>
    <t>YANTALÓ</t>
  </si>
  <si>
    <t>Clínica SINAI</t>
  </si>
  <si>
    <t>Centro Neuroquirúrgico de la Selva - Clínica Rodríguez y Especialistas</t>
  </si>
  <si>
    <t>Centro Médico Virgen de las Mercedes</t>
  </si>
  <si>
    <t>Clínica Trinidad - Especialidades Médicas S.A.C.</t>
  </si>
  <si>
    <t>Centro Médico de la Mujer Corazón de Jesús</t>
  </si>
  <si>
    <t>Clínica "Daniel Alcides Carrión"</t>
  </si>
  <si>
    <t>Centro Médico Luz Divina</t>
  </si>
  <si>
    <t>Clínica Bellavista</t>
  </si>
  <si>
    <t>MSRISCAL CÁCERES</t>
  </si>
  <si>
    <t>Clínica San Pablo</t>
  </si>
  <si>
    <t>Santiago de Surco</t>
  </si>
  <si>
    <t>2025-0254206</t>
  </si>
  <si>
    <t>2025-0283746</t>
  </si>
  <si>
    <t>Clínica Binomium E.I.R.L.</t>
  </si>
  <si>
    <t>2026-0206763</t>
  </si>
  <si>
    <t>Clínica Médica Zegarra S.A.C. (Clínica Versalles)</t>
  </si>
  <si>
    <t>Hospital Julio Cesar Demarini Caro</t>
  </si>
  <si>
    <t>Junín</t>
  </si>
  <si>
    <t>Chanchamayo</t>
  </si>
  <si>
    <t>La Merced</t>
  </si>
  <si>
    <t>Clínica Padre Luis Tezza</t>
  </si>
  <si>
    <t>Abenic Medic S.A.C. (Clínica Campbell)</t>
  </si>
  <si>
    <t>Obtenido de la visita de supervisión</t>
  </si>
  <si>
    <t>Integra Servicios Médicos S.A.C. (Clínica Integra Quirúrgica)</t>
  </si>
  <si>
    <t>Instituto Regional de Enfermedades Neoplasicas del Centro (IREN Centro)</t>
  </si>
  <si>
    <t>Concepción</t>
  </si>
  <si>
    <t>2025-0298493</t>
  </si>
  <si>
    <t>Clínica Médico Quirúrgico Huancayo E.I.R.L.</t>
  </si>
  <si>
    <t>Clínica Miranda - Medicina y Cirugía Avanzada S.R.L.</t>
  </si>
  <si>
    <t>Clínica Cayetano Heredia S.A.</t>
  </si>
  <si>
    <t>Inversiones M &amp; M Valentina S.A.C. - Chenet Clínica Especializada</t>
  </si>
  <si>
    <t>Hospital de Pampas de Tayacaja</t>
  </si>
  <si>
    <t>Clínica Oftalmológica Regional S.A.C.</t>
  </si>
  <si>
    <t>Centro Médico Naval "Cirujano Mayor Santiago Távara"</t>
  </si>
  <si>
    <t>Bellavista</t>
  </si>
  <si>
    <t>Callao</t>
  </si>
  <si>
    <t>2025-0326518</t>
  </si>
  <si>
    <t>Instituto Nacional Materno Perinatal</t>
  </si>
  <si>
    <t>2025-26585-1</t>
  </si>
  <si>
    <t>2026-0163781</t>
  </si>
  <si>
    <t>Hospital de Huaycán</t>
  </si>
  <si>
    <t>Hospital Central de la Fuerza Aérea del Perú</t>
  </si>
  <si>
    <t>Miraflores</t>
  </si>
  <si>
    <t>2025-0297932</t>
  </si>
  <si>
    <t>Hospital General de Jaén</t>
  </si>
  <si>
    <t>Cajamarca</t>
  </si>
  <si>
    <t>Jaén</t>
  </si>
  <si>
    <t>Clínica Botica San Juan S.R.L.</t>
  </si>
  <si>
    <t>JAÉN</t>
  </si>
  <si>
    <t>Hosítal II-1 San Javier de Bellavista de la Red Integrada de Salud Jaén</t>
  </si>
  <si>
    <t>Hospital Regional Docente Quirúrgico Daniel Alcides Carrión</t>
  </si>
  <si>
    <t>Huancayo</t>
  </si>
  <si>
    <t>Clínica Ortega S.R.L.</t>
  </si>
  <si>
    <t>Clínica Rebagliati S.A.</t>
  </si>
  <si>
    <t>Clínica Zarate E.I.R.L.</t>
  </si>
  <si>
    <t>Hospital de Lircay II-1</t>
  </si>
  <si>
    <t>Hospital Domingo Olavegoya de Jauja</t>
  </si>
  <si>
    <t>Hospital Provincial de Acobamba</t>
  </si>
  <si>
    <t>Hospital Unidad Ejecutora Junín</t>
  </si>
  <si>
    <t>Hospital Antonio Lorena</t>
  </si>
  <si>
    <t>Cusco</t>
  </si>
  <si>
    <t>Santiago</t>
  </si>
  <si>
    <t>2025-0328742</t>
  </si>
  <si>
    <t>Hospital Tupac Amaru</t>
  </si>
  <si>
    <t>SAN GERÓNIMO</t>
  </si>
  <si>
    <t>Unidad Ejecutora N° 411: Salud Chumbivilcas - Santo Tomas</t>
  </si>
  <si>
    <t>CHUMBIVILCAS</t>
  </si>
  <si>
    <t>Hospital de Espinar</t>
  </si>
  <si>
    <t>Hospital de Quillabamba</t>
  </si>
  <si>
    <t>LA CONVENCIÓN</t>
  </si>
  <si>
    <t>Hospital Alfredo Callo Rodríguez - Sicuani</t>
  </si>
  <si>
    <t>Clínica MIR Salud</t>
  </si>
  <si>
    <t>Clínica Dr. Víctor Paredes E.I.R.L.</t>
  </si>
  <si>
    <t>IPRESS ABC PRODEIN - Hermana Josefina Serrano</t>
  </si>
  <si>
    <t>IPRESS OXIGEN Medical Network - Oxigen Mednet E.I.R.L.</t>
  </si>
  <si>
    <t>Grupo Peruano Suiza S.A.C.</t>
  </si>
  <si>
    <t>SAN SEBASTIÁN</t>
  </si>
  <si>
    <t>Clínica Señor de Torrechayoc</t>
  </si>
  <si>
    <t>IPRESS Médicos Asociados Cusco S.A. - MACSALUD</t>
  </si>
  <si>
    <t>Hospital Regional de Ayacucho "Miguel Angel Mariscal Llerena"</t>
  </si>
  <si>
    <t>SÍ</t>
  </si>
  <si>
    <t>Ayacucho</t>
  </si>
  <si>
    <t>Huamanga</t>
  </si>
  <si>
    <t>Andrés Avelino Cáceres</t>
  </si>
  <si>
    <t>2025-0300023</t>
  </si>
  <si>
    <t>Hospital de Apoyo San Miguel</t>
  </si>
  <si>
    <t>Hospital de Apoyo Huanta "Daniel Alcides Carrión"</t>
  </si>
  <si>
    <t>Hospital San Juan de Kimbiri - VRAEM</t>
  </si>
  <si>
    <t>Hospital de Apoyo San Francisco</t>
  </si>
  <si>
    <t>AYNA - SAN FRANCISCO</t>
  </si>
  <si>
    <t>Hospital de Apoyo Cangallo</t>
  </si>
  <si>
    <t>Hospital Regional Virgen de Fátima - Chachapoyas</t>
  </si>
  <si>
    <t>Chachapoyas</t>
  </si>
  <si>
    <t>2025-0333359</t>
  </si>
  <si>
    <t>Hospital Belén de Trujillo</t>
  </si>
  <si>
    <t>La Libertad</t>
  </si>
  <si>
    <t>Trujillo</t>
  </si>
  <si>
    <t>Clínica Zegarra S.A.C.</t>
  </si>
  <si>
    <t>Hospital Nacional Guillermo Almenara Irigoyen</t>
  </si>
  <si>
    <t>La Victoria</t>
  </si>
  <si>
    <t>2025-8341930 Y 2026-0152764 (22/05/26)</t>
  </si>
  <si>
    <t>Hospital II Ramón Castilla</t>
  </si>
  <si>
    <t>octubre del 2025</t>
  </si>
  <si>
    <t>octubre del 2028</t>
  </si>
  <si>
    <t>2026-0152764</t>
  </si>
  <si>
    <t>Hospital de Emergencia Grau</t>
  </si>
  <si>
    <t>Hospital Aurelio Díaz Ufano y Peral</t>
  </si>
  <si>
    <t>Hospital II Vitarte (EsSalud)</t>
  </si>
  <si>
    <t>Hospital II Jorge Voto Bernales Corpancho</t>
  </si>
  <si>
    <t>Hospital II-E San Isidro Labrador</t>
  </si>
  <si>
    <t>Hospital Nacional PNP Luis N. Sáenz</t>
  </si>
  <si>
    <t>2025-0346274</t>
  </si>
  <si>
    <t xml:space="preserve">Hospital Augusto B. Leguía </t>
  </si>
  <si>
    <t>ACTA DE RENOVACIÓN 22/07/24</t>
  </si>
  <si>
    <t>VIGENCIA HASTA 22/07/26 (NO VALIDO)</t>
  </si>
  <si>
    <t>Hospital Regional Manuel Nuñez Butrón (Puno)</t>
  </si>
  <si>
    <t>Puno</t>
  </si>
  <si>
    <t>2025-0335046</t>
  </si>
  <si>
    <t>Hospital Carlos Cornejo Rosello Vizcardo - Azángaro</t>
  </si>
  <si>
    <t>AZANGARO</t>
  </si>
  <si>
    <t>2025-0335047</t>
  </si>
  <si>
    <t>Hospital II-2 San Martín de Porres Macusani" - Red Carabaya</t>
  </si>
  <si>
    <t>MACUSANI</t>
  </si>
  <si>
    <t>2025-0335048</t>
  </si>
  <si>
    <t>Hospital II-1 "Hospital de Apoyo Yunguyo"</t>
  </si>
  <si>
    <t>YUNGUYO</t>
  </si>
  <si>
    <t>Hospital de Apoyo Ilave</t>
  </si>
  <si>
    <t xml:space="preserve">No </t>
  </si>
  <si>
    <t>ILAVE</t>
  </si>
  <si>
    <t>2025-0335058</t>
  </si>
  <si>
    <t>Hospital II-1 "Rafael Ortiz Ravinez"</t>
  </si>
  <si>
    <t>JULI</t>
  </si>
  <si>
    <t>Clínica Americana Juliaca</t>
  </si>
  <si>
    <t>Hospital Regional de Lambayeque</t>
  </si>
  <si>
    <t>Lambayeque</t>
  </si>
  <si>
    <t>Chiclayo</t>
  </si>
  <si>
    <t>2025-0030857</t>
  </si>
  <si>
    <t>Hospital Belén de Lambayeque</t>
  </si>
  <si>
    <t>Hospital de Apoyo Chepén</t>
  </si>
  <si>
    <t>CHEPÉN</t>
  </si>
  <si>
    <t>Clínica AUNA - Sede Chiclayo S.A.C.</t>
  </si>
  <si>
    <t>30/08/25 (Adenda)</t>
  </si>
  <si>
    <t>ADENDA DE RENOVACIÓN (30/08/25)</t>
  </si>
  <si>
    <t xml:space="preserve">VIGENTE HASTA 30/08/26 </t>
  </si>
  <si>
    <t>Clínica San Eduardo S.A.C.</t>
  </si>
  <si>
    <t>Clínica Metropolitana S.A.</t>
  </si>
  <si>
    <t>Hospital privado Juan Pablo II</t>
  </si>
  <si>
    <t>Clínica BM</t>
  </si>
  <si>
    <t>Clínica MAX SALUD - AVISAL S.A.</t>
  </si>
  <si>
    <t>Clínica Unión S.A.C.</t>
  </si>
  <si>
    <t>Clínica Lider Médica</t>
  </si>
  <si>
    <t>Hospital de Clínicas Lambayeque S.A.C.</t>
  </si>
  <si>
    <t>15/10/25 (Adenda)</t>
  </si>
  <si>
    <t>ADENDA DE RENOVACIÓN (15/10/25)</t>
  </si>
  <si>
    <t>VIGENTE HASTA 15/10/26</t>
  </si>
  <si>
    <t>Clínica del Pacífico S.A.</t>
  </si>
  <si>
    <t>VIGENTE HASTA 30/08/26</t>
  </si>
  <si>
    <t xml:space="preserve">Hopital Alberto Sabogal Sologuren </t>
  </si>
  <si>
    <t xml:space="preserve">Callao </t>
  </si>
  <si>
    <t xml:space="preserve">Hospital  I Octavio Mongrut Muñoz </t>
  </si>
  <si>
    <t>Si</t>
  </si>
  <si>
    <t xml:space="preserve">SAN MIGUEL </t>
  </si>
  <si>
    <t>Hospital Nacional Edgardo Rebagliati Martins</t>
  </si>
  <si>
    <t>2026-0096073</t>
  </si>
  <si>
    <t>Hospital I Carlos Alcántara Butterfield</t>
  </si>
  <si>
    <t>Hospital Nacional Carlos Alberto Seguín Escobedo</t>
  </si>
  <si>
    <t>Arequipa</t>
  </si>
  <si>
    <t>2026-0104900</t>
  </si>
  <si>
    <t>Hospital I Samuel Pastor</t>
  </si>
  <si>
    <t>CAMANÁ</t>
  </si>
  <si>
    <t>Instituto Regional de Enfermedades Neoplásicas del Centre (IREN Centro)</t>
  </si>
  <si>
    <t>2026-0155529</t>
  </si>
  <si>
    <t>Hospital Nacional Ramiro Prialé Prialé</t>
  </si>
  <si>
    <t>2026-0182765</t>
  </si>
  <si>
    <t>Hospital II Alberto Hurtado Abadía - La Oroya</t>
  </si>
  <si>
    <t>LA OROYA</t>
  </si>
  <si>
    <t>ADENDA DE RENOACIÓN (06/02/2025 AL 06/02/2027)</t>
  </si>
  <si>
    <t>LEYENDA</t>
  </si>
  <si>
    <t>PRONTO A VENCER: 3 MESES ANTES DE CADUCAR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</si>
</sst>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1]"/>
    <numFmt numFmtId="165" formatCode="d/m/yyyy"/>
    <numFmt numFmtId="166" formatCode="dd/mm/yyyy"/>
    <numFmt numFmtId="167" formatCode="dd/mm/yy"/>
    <numFmt numFmtId="168" formatCode="dd-mm-yyyy"/>
    <numFmt numFmtId="169" formatCode="mmm-d"/>
    <numFmt numFmtId="170" formatCode="d/m/yy"/>
    <numFmt numFmtId="171" formatCode="mmmm yyyy"/>
  </numFmts>
  <fonts count="65">
    <font>
      <sz val="11.0"/>
      <color rgb="FF000000"/>
      <name val="Arial"/>
      <scheme val="minor"/>
    </font>
    <font>
      <b/>
      <sz val="11.0"/>
      <color rgb="FF000000"/>
      <name val="Arial"/>
    </font>
    <font>
      <sz val="8.0"/>
      <color rgb="FFC77405"/>
      <name val="Arial"/>
    </font>
    <font>
      <b/>
      <sz val="11.0"/>
      <color rgb="FF4472C4"/>
      <name val="Calibri"/>
    </font>
    <font>
      <sz val="11.0"/>
      <color rgb="FF0070C0"/>
      <name val="Calibri"/>
    </font>
    <font/>
    <font>
      <sz val="11.0"/>
      <color rgb="FF4472C4"/>
      <name val="Calibri"/>
    </font>
    <font>
      <u/>
      <sz val="11.0"/>
      <color rgb="FF0070C0"/>
      <name val="Arial"/>
    </font>
    <font>
      <sz val="11.0"/>
      <color rgb="FF000000"/>
      <name val="Calibri"/>
    </font>
    <font>
      <b/>
      <sz val="11.0"/>
      <color rgb="FF000000"/>
      <name val="Calibri"/>
    </font>
    <font>
      <sz val="11.0"/>
      <color rgb="FF000000"/>
      <name val="Arial"/>
    </font>
    <font>
      <b/>
      <sz val="11.0"/>
      <color rgb="FF0000FF"/>
      <name val="Calibri"/>
    </font>
    <font>
      <sz val="11.0"/>
      <color rgb="FF0563C1"/>
      <name val="Calibri"/>
    </font>
    <font>
      <sz val="10.0"/>
      <color rgb="FF000000"/>
      <name val="Calibri"/>
    </font>
    <font>
      <u/>
      <sz val="11.0"/>
      <color rgb="FF0563C1"/>
      <name val="Calibri"/>
    </font>
    <font>
      <sz val="12.0"/>
      <color rgb="FF000000"/>
      <name val="Calibri"/>
    </font>
    <font>
      <u/>
      <sz val="11.0"/>
      <color rgb="FF0563C1"/>
      <name val="Calibri"/>
    </font>
    <font>
      <u/>
      <sz val="11.0"/>
      <color rgb="FF000000"/>
      <name val="Calibri"/>
    </font>
    <font>
      <sz val="11.0"/>
      <color rgb="FF1F1F1F"/>
      <name val="Calibri"/>
    </font>
    <font>
      <u/>
      <sz val="11.0"/>
      <color rgb="FF0563C1"/>
      <name val="Calibri"/>
    </font>
    <font>
      <sz val="10.0"/>
      <color rgb="FF000000"/>
      <name val="Arial"/>
    </font>
    <font>
      <color theme="1"/>
      <name val="&quot;Arial&quot;"/>
    </font>
    <font>
      <u/>
      <sz val="11.0"/>
      <color rgb="FF0000FF"/>
      <name val="Calibri"/>
    </font>
    <font>
      <sz val="9.0"/>
      <color rgb="FF000000"/>
      <name val="Arial"/>
    </font>
    <font>
      <sz val="12.0"/>
      <color rgb="FF000000"/>
      <name val="Times New Roman"/>
    </font>
    <font>
      <sz val="11.0"/>
      <color theme="1"/>
      <name val="&quot;Arial&quot;"/>
    </font>
    <font>
      <sz val="11.0"/>
      <color rgb="FF000000"/>
      <name val="&quot;Arial&quot;"/>
    </font>
    <font>
      <sz val="10.0"/>
      <color rgb="FF000000"/>
      <name val="&quot;Arial&quot;"/>
    </font>
    <font>
      <sz val="9.0"/>
      <color theme="1"/>
      <name val="&quot;Arial&quot;"/>
    </font>
    <font>
      <sz val="36.0"/>
      <color rgb="FF0070C0"/>
      <name val="Calibri"/>
    </font>
    <font>
      <color theme="1"/>
      <name val="Arial"/>
      <scheme val="minor"/>
    </font>
    <font>
      <sz val="17.0"/>
      <color rgb="FF000000"/>
      <name val="Arial"/>
    </font>
    <font>
      <sz val="12.0"/>
      <color rgb="FF000000"/>
      <name val="Arial"/>
    </font>
    <font>
      <b/>
      <sz val="12.0"/>
      <color rgb="FF000000"/>
      <name val="Calibri"/>
    </font>
    <font>
      <sz val="11.0"/>
      <color rgb="FFFF0000"/>
      <name val="Calibri"/>
    </font>
    <font>
      <sz val="11.0"/>
      <color rgb="FFFF0000"/>
      <name val="Arial"/>
    </font>
    <font>
      <b/>
      <sz val="15.0"/>
      <color rgb="FF000000"/>
      <name val="Arial"/>
    </font>
    <font>
      <b/>
      <sz val="13.0"/>
      <color rgb="FF000000"/>
      <name val="Arial"/>
    </font>
    <font>
      <b/>
      <sz val="10.0"/>
      <color rgb="FF000000"/>
      <name val="Arial"/>
    </font>
    <font>
      <sz val="12.0"/>
      <color rgb="FFFF0000"/>
      <name val="Calibri"/>
    </font>
    <font>
      <sz val="12.0"/>
      <color rgb="FF000000"/>
      <name val="Cambria"/>
    </font>
    <font>
      <b/>
      <sz val="11.0"/>
      <color rgb="FFFF0000"/>
      <name val="Arial"/>
    </font>
    <font>
      <sz val="9.0"/>
      <color rgb="FF000000"/>
      <name val="Calibri"/>
    </font>
    <font>
      <b/>
      <sz val="24.0"/>
      <color rgb="FFFFFFFF"/>
      <name val="Arial"/>
    </font>
    <font>
      <b/>
      <sz val="24.0"/>
      <color rgb="FF000000"/>
      <name val="Arial"/>
    </font>
    <font>
      <b/>
      <sz val="11.0"/>
      <color rgb="FFFF0000"/>
      <name val="Calibri"/>
    </font>
    <font>
      <sz val="10.0"/>
      <color rgb="FFFF0000"/>
      <name val="Arial"/>
    </font>
    <font>
      <b/>
      <sz val="10.0"/>
      <color rgb="FFFF0000"/>
      <name val="Arial"/>
    </font>
    <font>
      <b/>
      <sz val="10.0"/>
      <color rgb="FFFF0000"/>
      <name val="Calibri"/>
    </font>
    <font>
      <b/>
      <sz val="11.0"/>
      <color rgb="FFFFFFFF"/>
      <name val="Arial"/>
    </font>
    <font>
      <b/>
      <sz val="9.0"/>
      <color rgb="FF000000"/>
      <name val="Arial"/>
    </font>
    <font>
      <sz val="8.0"/>
      <color rgb="FF000000"/>
      <name val="Arial"/>
    </font>
    <font>
      <b/>
      <sz val="7.0"/>
      <color theme="1"/>
      <name val="Arial"/>
    </font>
    <font>
      <b/>
      <color theme="1"/>
      <name val="Arial"/>
      <scheme val="minor"/>
    </font>
    <font>
      <strike/>
      <sz val="11.0"/>
      <color rgb="FF000000"/>
      <name val="Arial"/>
    </font>
    <font>
      <b/>
      <sz val="22.0"/>
      <color rgb="FF000000"/>
      <name val="Calibri"/>
    </font>
    <font>
      <b/>
      <sz val="11.0"/>
      <color theme="1"/>
      <name val="Arial"/>
    </font>
    <font>
      <b/>
      <sz val="14.0"/>
      <color rgb="FF000000"/>
      <name val="Calibri"/>
    </font>
    <font>
      <sz val="8.0"/>
      <color rgb="FF000080"/>
      <name val="Verdana"/>
    </font>
    <font>
      <sz val="11.0"/>
      <color rgb="FFFF9900"/>
      <name val="Calibri"/>
    </font>
    <font>
      <sz val="11.0"/>
      <color theme="1"/>
      <name val="Arial"/>
    </font>
    <font>
      <sz val="11.0"/>
      <color theme="1"/>
      <name val="Calibri"/>
    </font>
    <font>
      <color rgb="FF000000"/>
      <name val="&quot;Arial&quot;"/>
    </font>
    <font>
      <sz val="12.0"/>
      <color theme="1"/>
      <name val="&quot;Arial&quot;"/>
    </font>
    <font>
      <sz val="11.0"/>
      <color rgb="FF4C4C4C"/>
      <name val="Roboto"/>
    </font>
  </fonts>
  <fills count="32">
    <fill>
      <patternFill patternType="none"/>
    </fill>
    <fill>
      <patternFill patternType="lightGray"/>
    </fill>
    <fill>
      <patternFill patternType="solid">
        <fgColor rgb="FFFDF5CE"/>
        <bgColor rgb="FFFDF5CE"/>
      </patternFill>
    </fill>
    <fill>
      <patternFill patternType="solid">
        <fgColor rgb="FFE2EFD9"/>
        <bgColor rgb="FFE2EFD9"/>
      </patternFill>
    </fill>
    <fill>
      <patternFill patternType="solid">
        <fgColor rgb="FF00B0F0"/>
        <bgColor rgb="FF00B0F0"/>
      </patternFill>
    </fill>
    <fill>
      <patternFill patternType="solid">
        <fgColor rgb="FFA4C2F4"/>
        <bgColor rgb="FFA4C2F4"/>
      </patternFill>
    </fill>
    <fill>
      <patternFill patternType="solid">
        <fgColor rgb="FFFFFF00"/>
        <bgColor rgb="FFFFFF00"/>
      </patternFill>
    </fill>
    <fill>
      <patternFill patternType="solid">
        <fgColor rgb="FF47BEC6"/>
        <bgColor rgb="FF47BEC6"/>
      </patternFill>
    </fill>
    <fill>
      <patternFill patternType="solid">
        <fgColor rgb="FFFFFFFF"/>
        <bgColor rgb="FFFFFFFF"/>
      </patternFill>
    </fill>
    <fill>
      <patternFill patternType="solid">
        <fgColor rgb="FF6FA8DC"/>
        <bgColor rgb="FF6FA8DC"/>
      </patternFill>
    </fill>
    <fill>
      <patternFill patternType="solid">
        <fgColor rgb="FFFF9900"/>
        <bgColor rgb="FFFF9900"/>
      </patternFill>
    </fill>
    <fill>
      <patternFill patternType="solid">
        <fgColor rgb="FFF3F3F3"/>
        <bgColor rgb="FFF3F3F3"/>
      </patternFill>
    </fill>
    <fill>
      <patternFill patternType="solid">
        <fgColor rgb="FF93C47D"/>
        <bgColor rgb="FF93C47D"/>
      </patternFill>
    </fill>
    <fill>
      <patternFill patternType="solid">
        <fgColor rgb="FFFF0000"/>
        <bgColor rgb="FFFF0000"/>
      </patternFill>
    </fill>
    <fill>
      <patternFill patternType="solid">
        <fgColor rgb="FF3D85C6"/>
        <bgColor rgb="FF3D85C6"/>
      </patternFill>
    </fill>
    <fill>
      <patternFill patternType="solid">
        <fgColor rgb="FFCFE2F3"/>
        <bgColor rgb="FFCFE2F3"/>
      </patternFill>
    </fill>
    <fill>
      <patternFill patternType="solid">
        <fgColor rgb="FF9FC5E8"/>
        <bgColor rgb="FF9FC5E8"/>
      </patternFill>
    </fill>
    <fill>
      <patternFill patternType="solid">
        <fgColor rgb="FF00FFFF"/>
        <bgColor rgb="FF00FFFF"/>
      </patternFill>
    </fill>
    <fill>
      <patternFill patternType="solid">
        <fgColor rgb="FFF6B26B"/>
        <bgColor rgb="FFF6B26B"/>
      </patternFill>
    </fill>
    <fill>
      <patternFill patternType="solid">
        <fgColor rgb="FFF4CCCC"/>
        <bgColor rgb="FFF4CCCC"/>
      </patternFill>
    </fill>
    <fill>
      <patternFill patternType="solid">
        <fgColor rgb="FF0563C1"/>
        <bgColor rgb="FF0563C1"/>
      </patternFill>
    </fill>
    <fill>
      <patternFill patternType="solid">
        <fgColor rgb="FF6D9EEB"/>
        <bgColor rgb="FF6D9EEB"/>
      </patternFill>
    </fill>
    <fill>
      <patternFill patternType="solid">
        <fgColor rgb="FFD0E0E3"/>
        <bgColor rgb="FFD0E0E3"/>
      </patternFill>
    </fill>
    <fill>
      <patternFill patternType="solid">
        <fgColor rgb="FFFFC000"/>
        <bgColor rgb="FFFFC000"/>
      </patternFill>
    </fill>
    <fill>
      <patternFill patternType="solid">
        <fgColor rgb="FF4A86E8"/>
        <bgColor rgb="FF4A86E8"/>
      </patternFill>
    </fill>
    <fill>
      <patternFill patternType="solid">
        <fgColor rgb="FF00FF00"/>
        <bgColor rgb="FF00FF00"/>
      </patternFill>
    </fill>
    <fill>
      <patternFill patternType="solid">
        <fgColor rgb="FFEAD1DC"/>
        <bgColor rgb="FFEAD1DC"/>
      </patternFill>
    </fill>
    <fill>
      <patternFill patternType="solid">
        <fgColor rgb="FFCC0000"/>
        <bgColor rgb="FFCC0000"/>
      </patternFill>
    </fill>
    <fill>
      <patternFill patternType="solid">
        <fgColor rgb="FFE06666"/>
        <bgColor rgb="FFE06666"/>
      </patternFill>
    </fill>
    <fill>
      <patternFill patternType="solid">
        <fgColor rgb="FF4A568D"/>
        <bgColor rgb="FF4A568D"/>
      </patternFill>
    </fill>
    <fill>
      <patternFill patternType="solid">
        <fgColor rgb="FFF4B084"/>
        <bgColor rgb="FFF4B084"/>
      </patternFill>
    </fill>
    <fill>
      <patternFill patternType="solid">
        <fgColor rgb="FF70AD47"/>
        <bgColor rgb="FF70AD47"/>
      </patternFill>
    </fill>
  </fills>
  <borders count="46">
    <border/>
    <border>
      <left/>
      <right/>
      <top/>
      <bottom/>
    </border>
    <border>
      <left/>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top/>
    </border>
    <border>
      <top/>
    </border>
    <border>
      <left/>
      <right style="thin">
        <color rgb="FF000000"/>
      </right>
      <top style="thin">
        <color rgb="FF000000"/>
      </top>
      <bottom/>
    </border>
    <border>
      <left style="thin">
        <color rgb="FF000000"/>
      </left>
    </border>
    <border>
      <left style="thin">
        <color rgb="FF000000"/>
      </left>
      <right style="thin">
        <color rgb="FF000000"/>
      </right>
      <top style="thin">
        <color rgb="FF000000"/>
      </top>
      <bottom style="thin">
        <color rgb="FF000000"/>
      </bottom>
    </border>
    <border>
      <right style="thin">
        <color rgb="FF000000"/>
      </right>
    </border>
    <border>
      <right/>
      <top/>
    </border>
    <border>
      <left style="thin">
        <color rgb="FF000000"/>
      </left>
      <bottom style="thin">
        <color rgb="FF000000"/>
      </bottom>
    </border>
    <border>
      <left style="thin">
        <color rgb="FF000000"/>
      </left>
      <right/>
      <top/>
      <bottom/>
    </border>
    <border>
      <bottom style="thin">
        <color rgb="FF000000"/>
      </bottom>
    </border>
    <border>
      <left/>
    </border>
    <border>
      <right style="thin">
        <color rgb="FF000000"/>
      </right>
      <bottom style="thin">
        <color rgb="FF000000"/>
      </bottom>
    </border>
    <border>
      <right/>
    </border>
    <border>
      <left/>
      <bottom style="thin">
        <color rgb="FF000000"/>
      </bottom>
    </border>
    <border>
      <left style="thin">
        <color rgb="FF000000"/>
      </left>
      <top style="thin">
        <color rgb="FF000000"/>
      </top>
      <bottom style="thin">
        <color rgb="FF000000"/>
      </bottom>
    </border>
    <border>
      <right/>
      <bottom style="thin">
        <color rgb="FF000000"/>
      </bottom>
    </border>
    <border>
      <left/>
      <right style="thin">
        <color rgb="FF000000"/>
      </right>
      <top/>
      <bottom/>
    </border>
    <border>
      <top style="thin">
        <color rgb="FF000000"/>
      </top>
      <bottom style="thin">
        <color rgb="FF000000"/>
      </bottom>
    </border>
    <border>
      <left/>
      <top/>
      <bottom/>
    </border>
    <border>
      <top/>
      <bottom/>
    </border>
    <border>
      <left style="thin">
        <color rgb="FF000000"/>
      </left>
      <right/>
      <top/>
      <bottom style="thin">
        <color rgb="FF000000"/>
      </bottom>
    </border>
    <border>
      <right/>
      <top/>
      <bottom/>
    </border>
    <border>
      <right style="thin">
        <color rgb="FF000000"/>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style="thick">
        <color rgb="FF9BBB59"/>
      </left>
      <right style="thick">
        <color rgb="FF9BBB59"/>
      </right>
      <top style="thick">
        <color rgb="FF9BBB59"/>
      </top>
      <bottom style="thick">
        <color rgb="FF9BBB59"/>
      </bottom>
    </border>
    <border>
      <left/>
      <right style="thin">
        <color rgb="FF000000"/>
      </right>
      <top style="thin">
        <color rgb="FF000000"/>
      </top>
      <bottom style="thin">
        <color rgb="FF000000"/>
      </bottom>
    </border>
    <border>
      <left/>
      <right style="thick">
        <color rgb="FF9BBB59"/>
      </right>
      <top style="thick">
        <color rgb="FF9BBB59"/>
      </top>
      <bottom style="thick">
        <color rgb="FF9BBB59"/>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right style="thick">
        <color rgb="FF9BBB59"/>
      </right>
      <top style="thick">
        <color rgb="FF9BBB59"/>
      </top>
      <bottom style="thick">
        <color rgb="FF9BBB59"/>
      </bottom>
    </border>
    <border>
      <left style="thick">
        <color rgb="FF9BBB59"/>
      </left>
    </border>
    <border>
      <right style="thick">
        <color rgb="FF9BBB59"/>
      </right>
      <top style="thick">
        <color rgb="FF9BBB59"/>
      </top>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right/>
      <top style="thin">
        <color rgb="FF000000"/>
      </top>
      <bottom/>
    </border>
    <border>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border>
  </borders>
  <cellStyleXfs count="1">
    <xf borderId="0" fillId="0" fontId="0" numFmtId="0" applyAlignment="1" applyFont="1"/>
  </cellStyleXfs>
  <cellXfs count="588">
    <xf borderId="0" fillId="0" fontId="0" numFmtId="0" xfId="0" applyAlignment="1" applyFont="1">
      <alignment readingOrder="0" shrinkToFit="0" vertical="center" wrapText="0"/>
    </xf>
    <xf borderId="0" fillId="0" fontId="1" numFmtId="0" xfId="0" applyAlignment="1" applyFont="1">
      <alignment vertical="bottom"/>
    </xf>
    <xf borderId="1" fillId="2" fontId="2" numFmtId="164" xfId="0" applyAlignment="1" applyBorder="1" applyFill="1" applyFont="1" applyNumberFormat="1">
      <alignment readingOrder="0" vertical="bottom"/>
    </xf>
    <xf borderId="2" fillId="3" fontId="3" numFmtId="164" xfId="0" applyAlignment="1" applyBorder="1" applyFill="1" applyFont="1" applyNumberFormat="1">
      <alignment horizontal="center" vertical="center"/>
    </xf>
    <xf borderId="2" fillId="3" fontId="3" numFmtId="164" xfId="0" applyAlignment="1" applyBorder="1" applyFill="1" applyFont="1" applyNumberFormat="1">
      <alignment horizontal="center" readingOrder="0" vertical="center"/>
    </xf>
    <xf borderId="3" fillId="3" fontId="4" numFmtId="0" xfId="0" applyAlignment="1" applyBorder="1" applyFill="1" applyFont="1">
      <alignment horizontal="center" shrinkToFit="0" vertical="center" wrapText="1"/>
    </xf>
    <xf borderId="4" fillId="0" fontId="5" numFmtId="0" xfId="0" applyAlignment="1" applyBorder="1" applyFont="1">
      <alignment vertical="center"/>
    </xf>
    <xf borderId="2" fillId="3" fontId="6" numFmtId="0" xfId="0" applyAlignment="1" applyBorder="1" applyFill="1" applyFont="1">
      <alignment horizontal="center" shrinkToFit="0" vertical="center" wrapText="1"/>
    </xf>
    <xf borderId="5" fillId="0" fontId="5" numFmtId="0" xfId="0" applyAlignment="1" applyBorder="1" applyFont="1">
      <alignment vertical="center"/>
    </xf>
    <xf borderId="6" fillId="3" fontId="7" numFmtId="0" xfId="0" applyAlignment="1" applyBorder="1" applyFill="1" applyFont="1">
      <alignment horizontal="center" readingOrder="0" shrinkToFit="0" vertical="center" wrapText="1"/>
    </xf>
    <xf borderId="0" fillId="0" fontId="8" numFmtId="0" xfId="0" applyAlignment="1" applyFont="1">
      <alignment horizontal="center" shrinkToFit="0" vertical="center" wrapText="1"/>
    </xf>
    <xf borderId="7" fillId="0" fontId="5" numFmtId="0" xfId="0" applyAlignment="1" applyBorder="1" applyFont="1">
      <alignment vertical="center"/>
    </xf>
    <xf borderId="8" fillId="3" fontId="3" numFmtId="164" xfId="0" applyAlignment="1" applyBorder="1" applyFill="1" applyFont="1" applyNumberFormat="1">
      <alignment horizontal="center" vertical="center"/>
    </xf>
    <xf borderId="9" fillId="0" fontId="5" numFmtId="0" xfId="0" applyAlignment="1" applyBorder="1" applyFont="1">
      <alignment vertical="center"/>
    </xf>
    <xf borderId="10" fillId="0" fontId="8" numFmtId="0" xfId="0" applyAlignment="1" applyBorder="1" applyFont="1">
      <alignment horizontal="center" vertical="center"/>
    </xf>
    <xf borderId="11" fillId="0" fontId="5" numFmtId="0" xfId="0" applyAlignment="1" applyBorder="1" applyFont="1">
      <alignment vertical="center"/>
    </xf>
    <xf borderId="0" fillId="0" fontId="8" numFmtId="0" xfId="0" applyAlignment="1" applyFont="1">
      <alignment horizontal="center" vertical="center"/>
    </xf>
    <xf borderId="12" fillId="0" fontId="5" numFmtId="0" xfId="0" applyAlignment="1" applyBorder="1" applyFont="1">
      <alignment vertical="center"/>
    </xf>
    <xf borderId="13" fillId="0" fontId="5" numFmtId="0" xfId="0" applyAlignment="1" applyBorder="1" applyFont="1">
      <alignment vertical="center"/>
    </xf>
    <xf borderId="14" fillId="3" fontId="3" numFmtId="164" xfId="0" applyAlignment="1" applyBorder="1" applyFill="1" applyFont="1" applyNumberFormat="1">
      <alignment horizontal="center" vertical="center"/>
    </xf>
    <xf borderId="15" fillId="0" fontId="5" numFmtId="0" xfId="0" applyAlignment="1" applyBorder="1" applyFont="1">
      <alignment vertical="center"/>
    </xf>
    <xf borderId="1" fillId="3" fontId="3" numFmtId="164" xfId="0" applyAlignment="1" applyBorder="1" applyFill="1" applyFont="1" applyNumberFormat="1">
      <alignment horizontal="center" vertical="center"/>
    </xf>
    <xf borderId="16" fillId="0" fontId="5" numFmtId="0" xfId="0" applyAlignment="1" applyBorder="1" applyFont="1">
      <alignment vertical="center"/>
    </xf>
    <xf borderId="17" fillId="0" fontId="5" numFmtId="0" xfId="0" applyAlignment="1" applyBorder="1" applyFont="1">
      <alignment vertical="center"/>
    </xf>
    <xf borderId="18" fillId="0" fontId="5" numFmtId="0" xfId="0" applyAlignment="1" applyBorder="1" applyFont="1">
      <alignment vertical="center"/>
    </xf>
    <xf borderId="8" fillId="3" fontId="6" numFmtId="0" xfId="0" applyAlignment="1" applyBorder="1" applyFill="1" applyFont="1">
      <alignment horizontal="center" shrinkToFit="0" vertical="center" wrapText="1"/>
    </xf>
    <xf borderId="19" fillId="0" fontId="5" numFmtId="0" xfId="0" applyAlignment="1" applyBorder="1" applyFont="1">
      <alignment vertical="center"/>
    </xf>
    <xf borderId="20" fillId="4" fontId="9" numFmtId="0" xfId="0" applyAlignment="1" applyBorder="1" applyFill="1" applyFont="1">
      <alignment horizontal="center" shrinkToFit="0" vertical="center" wrapText="1"/>
    </xf>
    <xf borderId="14" fillId="3" fontId="6" numFmtId="0" xfId="0" applyAlignment="1" applyBorder="1" applyFill="1" applyFont="1">
      <alignment horizontal="center" shrinkToFit="0" vertical="center" wrapText="1"/>
    </xf>
    <xf borderId="21" fillId="0" fontId="5" numFmtId="0" xfId="0" applyAlignment="1" applyBorder="1" applyFont="1">
      <alignment vertical="center"/>
    </xf>
    <xf borderId="1" fillId="3" fontId="6" numFmtId="0" xfId="0" applyAlignment="1" applyBorder="1" applyFill="1" applyFont="1">
      <alignment horizontal="center" shrinkToFit="0" vertical="center" wrapText="1"/>
    </xf>
    <xf borderId="22" fillId="3" fontId="3" numFmtId="164" xfId="0" applyAlignment="1" applyBorder="1" applyFill="1" applyFont="1" applyNumberFormat="1">
      <alignment horizontal="center" vertical="center"/>
    </xf>
    <xf borderId="23" fillId="0" fontId="5" numFmtId="0" xfId="0" applyAlignment="1" applyBorder="1" applyFont="1">
      <alignment vertical="center"/>
    </xf>
    <xf borderId="24" fillId="5" fontId="10" numFmtId="0" xfId="0" applyAlignment="1" applyBorder="1" applyFill="1" applyFont="1">
      <alignment horizontal="center" vertical="bottom"/>
    </xf>
    <xf borderId="25" fillId="0" fontId="5" numFmtId="0" xfId="0" applyAlignment="1" applyBorder="1" applyFont="1">
      <alignment vertical="center"/>
    </xf>
    <xf borderId="26" fillId="3" fontId="3" numFmtId="164" xfId="0" applyAlignment="1" applyBorder="1" applyFill="1" applyFont="1" applyNumberFormat="1">
      <alignment horizontal="center" vertical="center"/>
    </xf>
    <xf borderId="27" fillId="0" fontId="5" numFmtId="0" xfId="0" applyAlignment="1" applyBorder="1" applyFont="1">
      <alignment vertical="center"/>
    </xf>
    <xf borderId="28" fillId="0" fontId="5" numFmtId="0" xfId="0" applyAlignment="1" applyBorder="1" applyFont="1">
      <alignment vertical="center"/>
    </xf>
    <xf borderId="29" fillId="3" fontId="3" numFmtId="164" xfId="0" applyAlignment="1" applyBorder="1" applyFill="1" applyFont="1" applyNumberFormat="1">
      <alignment horizontal="center" vertical="center"/>
    </xf>
    <xf borderId="10" fillId="6" fontId="9" numFmtId="0" xfId="0" applyAlignment="1" applyBorder="1" applyFill="1" applyFont="1">
      <alignment horizontal="center" shrinkToFit="0" vertical="center" wrapText="1"/>
    </xf>
    <xf borderId="22" fillId="3" fontId="6" numFmtId="0" xfId="0" applyAlignment="1" applyBorder="1" applyFill="1" applyFont="1">
      <alignment horizontal="center" shrinkToFit="0" vertical="center" wrapText="1"/>
    </xf>
    <xf borderId="10" fillId="6" fontId="9" numFmtId="0" xfId="0" applyAlignment="1" applyBorder="1" applyFill="1" applyFont="1">
      <alignment horizontal="center" readingOrder="0" shrinkToFit="0" vertical="center" wrapText="1"/>
    </xf>
    <xf borderId="26" fillId="3" fontId="6" numFmtId="0" xfId="0" applyAlignment="1" applyBorder="1" applyFill="1" applyFont="1">
      <alignment horizontal="center" shrinkToFit="0" vertical="center" wrapText="1"/>
    </xf>
    <xf borderId="29" fillId="3" fontId="6" numFmtId="0" xfId="0" applyAlignment="1" applyBorder="1" applyFill="1" applyFont="1">
      <alignment horizontal="center" shrinkToFit="0" vertical="center" wrapText="1"/>
    </xf>
    <xf borderId="10" fillId="6" fontId="9" numFmtId="0" xfId="0" applyAlignment="1" applyBorder="1" applyFill="1" applyFont="1">
      <alignment horizontal="left" shrinkToFit="0" vertical="center" wrapText="1"/>
    </xf>
    <xf borderId="30" fillId="3" fontId="3" numFmtId="164" xfId="0" applyAlignment="1" applyBorder="1" applyFill="1" applyFont="1" applyNumberFormat="1">
      <alignment horizontal="center" vertical="center"/>
    </xf>
    <xf borderId="30" fillId="3" fontId="6" numFmtId="0" xfId="0" applyAlignment="1" applyBorder="1" applyFill="1" applyFont="1">
      <alignment horizontal="center" shrinkToFit="0" vertical="center" wrapText="1"/>
    </xf>
    <xf borderId="20" fillId="4" fontId="8" numFmtId="0" xfId="0" applyAlignment="1" applyBorder="1" applyFill="1" applyFont="1">
      <alignment horizontal="center" vertical="center"/>
    </xf>
    <xf borderId="31" fillId="7" fontId="8" numFmtId="0" xfId="0" applyAlignment="1" applyBorder="1" applyFill="1" applyFont="1">
      <alignment horizontal="center" shrinkToFit="0" vertical="center" wrapText="1"/>
    </xf>
    <xf borderId="20" fillId="4" fontId="9" numFmtId="0" xfId="0" applyAlignment="1" applyBorder="1" applyFill="1" applyFont="1">
      <alignment horizontal="center" vertical="center"/>
    </xf>
    <xf borderId="10" fillId="0" fontId="8"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0" fillId="6" fontId="9" numFmtId="0" xfId="0" applyAlignment="1" applyBorder="1" applyFill="1" applyFont="1">
      <alignment horizontal="center" vertical="center"/>
    </xf>
    <xf borderId="31" fillId="0" fontId="8" numFmtId="0" xfId="0" applyAlignment="1" applyBorder="1" applyFont="1">
      <alignment horizontal="center" shrinkToFit="0" vertical="center" wrapText="1"/>
    </xf>
    <xf borderId="28" fillId="0" fontId="9" numFmtId="165" xfId="0" applyAlignment="1" applyBorder="1" applyFont="1" applyNumberFormat="1">
      <alignment horizontal="center" shrinkToFit="0" vertical="center" wrapText="1"/>
    </xf>
    <xf borderId="28" fillId="8" fontId="8" numFmtId="166" xfId="0" applyAlignment="1" applyBorder="1" applyFill="1" applyFont="1" applyNumberFormat="1">
      <alignment horizontal="center" readingOrder="0" shrinkToFit="0" vertical="center" wrapText="1"/>
    </xf>
    <xf borderId="32" fillId="8" fontId="8" numFmtId="0" xfId="0" applyAlignment="1" applyBorder="1" applyFill="1" applyFont="1">
      <alignment horizontal="center" shrinkToFit="0" vertical="center" wrapText="1"/>
    </xf>
    <xf borderId="10" fillId="8" fontId="8" numFmtId="0" xfId="0" applyAlignment="1" applyBorder="1" applyFill="1" applyFont="1">
      <alignment horizontal="center" shrinkToFit="0" vertical="center" wrapText="1"/>
    </xf>
    <xf borderId="10" fillId="6" fontId="8" numFmtId="0" xfId="0" applyAlignment="1" applyBorder="1" applyFill="1" applyFont="1">
      <alignment horizontal="left" shrinkToFit="0" vertical="center" wrapText="1"/>
    </xf>
    <xf borderId="31" fillId="7" fontId="8" numFmtId="0" xfId="0" applyAlignment="1" applyBorder="1" applyFill="1" applyFont="1">
      <alignment horizontal="center" vertical="center"/>
    </xf>
    <xf borderId="28" fillId="0" fontId="8" numFmtId="0" xfId="0" applyAlignment="1" applyBorder="1" applyFont="1">
      <alignment shrinkToFit="0" vertical="center" wrapText="1"/>
    </xf>
    <xf borderId="10" fillId="0" fontId="11" numFmtId="166" xfId="0" applyAlignment="1" applyBorder="1" applyFont="1" applyNumberFormat="1">
      <alignment horizontal="center" shrinkToFit="0" vertical="center" wrapText="1"/>
    </xf>
    <xf borderId="31" fillId="0" fontId="8" numFmtId="0" xfId="0" applyAlignment="1" applyBorder="1" applyFont="1">
      <alignment horizontal="center" vertical="center"/>
    </xf>
    <xf borderId="10" fillId="0" fontId="8" numFmtId="166" xfId="0" applyAlignment="1" applyBorder="1" applyFont="1" applyNumberFormat="1">
      <alignment horizontal="center" readingOrder="0" shrinkToFit="0" vertical="center" wrapText="1"/>
    </xf>
    <xf borderId="10" fillId="0" fontId="10" numFmtId="0" xfId="0" applyAlignment="1" applyBorder="1" applyFont="1">
      <alignment vertical="center"/>
    </xf>
    <xf borderId="0" fillId="0" fontId="9" numFmtId="0" xfId="0" applyAlignment="1" applyFont="1">
      <alignment horizontal="center" vertical="center"/>
    </xf>
    <xf borderId="10" fillId="0" fontId="8" numFmtId="165" xfId="0" applyAlignment="1" applyBorder="1" applyFont="1" applyNumberFormat="1">
      <alignment horizontal="center" vertical="center"/>
    </xf>
    <xf borderId="10" fillId="0" fontId="9" numFmtId="0" xfId="0" applyAlignment="1" applyBorder="1" applyFont="1">
      <alignment horizontal="left" shrinkToFit="0" vertical="center" wrapText="1"/>
    </xf>
    <xf borderId="10" fillId="0" fontId="8" numFmtId="165" xfId="0" applyAlignment="1" applyBorder="1" applyFont="1" applyNumberFormat="1">
      <alignment horizontal="center" readingOrder="0" vertical="center"/>
    </xf>
    <xf borderId="33" fillId="7" fontId="8" numFmtId="0" xfId="0" applyAlignment="1" applyBorder="1" applyFill="1" applyFont="1">
      <alignment horizontal="center" shrinkToFit="0" vertical="center" wrapText="1"/>
    </xf>
    <xf borderId="10" fillId="8" fontId="8" numFmtId="165" xfId="0" applyAlignment="1" applyBorder="1" applyFill="1" applyFont="1" applyNumberFormat="1">
      <alignment horizontal="center" readingOrder="0" vertical="center"/>
    </xf>
    <xf borderId="28" fillId="0" fontId="8" numFmtId="0" xfId="0" applyAlignment="1" applyBorder="1" applyFont="1">
      <alignment horizontal="center" vertical="center"/>
    </xf>
    <xf borderId="0" fillId="0" fontId="10" numFmtId="0" xfId="0" applyAlignment="1" applyFont="1">
      <alignment vertical="center"/>
    </xf>
    <xf borderId="10" fillId="8" fontId="8" numFmtId="0" xfId="0" applyAlignment="1" applyBorder="1" applyFill="1" applyFont="1">
      <alignment horizontal="left" shrinkToFit="0" vertical="center" wrapText="1"/>
    </xf>
    <xf borderId="31" fillId="6" fontId="8" numFmtId="0" xfId="0" applyAlignment="1" applyBorder="1" applyFill="1" applyFont="1">
      <alignment horizontal="center" shrinkToFit="0" vertical="center" wrapText="1"/>
    </xf>
    <xf borderId="10" fillId="8" fontId="8" numFmtId="0" xfId="0" applyAlignment="1" applyBorder="1" applyFill="1" applyFont="1">
      <alignment horizontal="center" vertical="center"/>
    </xf>
    <xf borderId="10" fillId="0" fontId="8" numFmtId="165" xfId="0" applyAlignment="1" applyBorder="1" applyFont="1" applyNumberFormat="1">
      <alignment horizontal="center" shrinkToFit="0" vertical="center" wrapText="1"/>
    </xf>
    <xf borderId="34" fillId="0" fontId="8" numFmtId="165" xfId="0" applyAlignment="1" applyBorder="1" applyFont="1" applyNumberFormat="1">
      <alignment horizontal="center" readingOrder="0" shrinkToFit="0" vertical="center" wrapText="1"/>
    </xf>
    <xf borderId="34" fillId="0" fontId="8" numFmtId="0" xfId="0" applyAlignment="1" applyBorder="1" applyFont="1">
      <alignment horizontal="center" shrinkToFit="0" vertical="center" wrapText="1"/>
    </xf>
    <xf borderId="10" fillId="0" fontId="12" numFmtId="0" xfId="0" applyAlignment="1" applyBorder="1" applyFont="1">
      <alignment horizontal="center" vertical="center"/>
    </xf>
    <xf borderId="10" fillId="0" fontId="8" numFmtId="0" xfId="0" applyAlignment="1" applyBorder="1" applyFont="1">
      <alignment horizontal="left" shrinkToFit="0" vertical="center" wrapText="1"/>
    </xf>
    <xf borderId="10" fillId="0" fontId="9" numFmtId="166" xfId="0" applyAlignment="1" applyBorder="1" applyFont="1" applyNumberFormat="1">
      <alignment horizontal="center" shrinkToFit="0" vertical="center" wrapText="1"/>
    </xf>
    <xf borderId="34" fillId="0" fontId="8" numFmtId="166" xfId="0" applyAlignment="1" applyBorder="1" applyFont="1" applyNumberFormat="1">
      <alignment horizontal="center" readingOrder="0" shrinkToFit="0" vertical="center" wrapText="1"/>
    </xf>
    <xf borderId="31" fillId="6" fontId="8" numFmtId="0" xfId="0" applyAlignment="1" applyBorder="1" applyFill="1" applyFont="1">
      <alignment horizontal="center" vertical="center"/>
    </xf>
    <xf borderId="10" fillId="0" fontId="13" numFmtId="0" xfId="0" applyAlignment="1" applyBorder="1" applyFont="1">
      <alignment horizontal="center" shrinkToFit="0" vertical="center" wrapText="1"/>
    </xf>
    <xf borderId="10" fillId="0" fontId="14" numFmtId="0" xfId="0" applyAlignment="1" applyBorder="1" applyFont="1">
      <alignment horizontal="center" readingOrder="0" shrinkToFit="0" vertical="center" wrapText="1"/>
    </xf>
    <xf borderId="34" fillId="8" fontId="8" numFmtId="165" xfId="0" applyAlignment="1" applyBorder="1" applyFill="1" applyFont="1" applyNumberFormat="1">
      <alignment horizontal="center" readingOrder="0" vertical="center"/>
    </xf>
    <xf borderId="33" fillId="6" fontId="8" numFmtId="0" xfId="0" applyAlignment="1" applyBorder="1" applyFill="1" applyFont="1">
      <alignment horizontal="center" shrinkToFit="0" vertical="center" wrapText="1"/>
    </xf>
    <xf borderId="35" fillId="8" fontId="8" numFmtId="0" xfId="0" applyAlignment="1" applyBorder="1" applyFill="1" applyFont="1">
      <alignment horizontal="center" vertical="center"/>
    </xf>
    <xf borderId="31" fillId="9" fontId="8" numFmtId="0" xfId="0" applyAlignment="1" applyBorder="1" applyFill="1" applyFont="1">
      <alignment horizontal="center" shrinkToFit="0" vertical="center" wrapText="1"/>
    </xf>
    <xf borderId="34" fillId="0" fontId="8" numFmtId="0" xfId="0" applyAlignment="1" applyBorder="1" applyFont="1">
      <alignment horizontal="center" vertical="center"/>
    </xf>
    <xf borderId="10" fillId="8" fontId="8" numFmtId="165" xfId="0" applyAlignment="1" applyBorder="1" applyFill="1" applyFont="1" applyNumberFormat="1">
      <alignment horizontal="center" shrinkToFit="0" vertical="center" wrapText="1"/>
    </xf>
    <xf borderId="33" fillId="10" fontId="8" numFmtId="0" xfId="0" applyAlignment="1" applyBorder="1" applyFill="1" applyFont="1">
      <alignment horizontal="center" vertical="center"/>
    </xf>
    <xf borderId="10" fillId="11" fontId="9" numFmtId="0" xfId="0" applyAlignment="1" applyBorder="1" applyFill="1" applyFont="1">
      <alignment horizontal="left" shrinkToFit="0" vertical="center" wrapText="1"/>
    </xf>
    <xf borderId="34" fillId="8" fontId="8" numFmtId="166" xfId="0" applyAlignment="1" applyBorder="1" applyFill="1" applyFont="1" applyNumberFormat="1">
      <alignment horizontal="center" readingOrder="0" shrinkToFit="0" vertical="center" wrapText="1"/>
    </xf>
    <xf borderId="35" fillId="8" fontId="8" numFmtId="0" xfId="0" applyAlignment="1" applyBorder="1" applyFill="1" applyFont="1">
      <alignment horizontal="center" shrinkToFit="0" vertical="center" wrapText="1"/>
    </xf>
    <xf borderId="34" fillId="0" fontId="8" numFmtId="165" xfId="0" applyAlignment="1" applyBorder="1" applyFont="1" applyNumberFormat="1">
      <alignment horizontal="center" readingOrder="0" vertical="center"/>
    </xf>
    <xf borderId="31" fillId="12" fontId="8" numFmtId="0" xfId="0" applyAlignment="1" applyBorder="1" applyFill="1" applyFont="1">
      <alignment horizontal="center" shrinkToFit="0" vertical="center" wrapText="1"/>
    </xf>
    <xf borderId="17" fillId="0" fontId="8" numFmtId="0" xfId="0" applyAlignment="1" applyBorder="1" applyFont="1">
      <alignment horizontal="center" vertical="center"/>
    </xf>
    <xf borderId="31" fillId="9" fontId="8" numFmtId="0" xfId="0" applyAlignment="1" applyBorder="1" applyFill="1" applyFont="1">
      <alignment horizontal="center" vertical="center"/>
    </xf>
    <xf borderId="1" fillId="13" fontId="8" numFmtId="0" xfId="0" applyAlignment="1" applyBorder="1" applyFill="1" applyFont="1">
      <alignment horizontal="center" vertical="center"/>
    </xf>
    <xf borderId="33" fillId="9" fontId="8" numFmtId="0" xfId="0" applyAlignment="1" applyBorder="1" applyFill="1" applyFont="1">
      <alignment horizontal="center" shrinkToFit="0" vertical="center" wrapText="1"/>
    </xf>
    <xf borderId="10" fillId="13" fontId="8" numFmtId="166" xfId="0" applyAlignment="1" applyBorder="1" applyFill="1" applyFont="1" applyNumberFormat="1">
      <alignment horizontal="center" readingOrder="0" shrinkToFit="0" vertical="center" wrapText="1"/>
    </xf>
    <xf borderId="10" fillId="13" fontId="8" numFmtId="0" xfId="0" applyAlignment="1" applyBorder="1" applyFill="1" applyFont="1">
      <alignment horizontal="center" shrinkToFit="0" vertical="center" wrapText="1"/>
    </xf>
    <xf borderId="34" fillId="8" fontId="8" numFmtId="166" xfId="0" applyAlignment="1" applyBorder="1" applyFill="1" applyFont="1" applyNumberFormat="1">
      <alignment horizontal="center" readingOrder="0" vertical="center"/>
    </xf>
    <xf borderId="10" fillId="13" fontId="15" numFmtId="0" xfId="0" applyAlignment="1" applyBorder="1" applyFill="1" applyFont="1">
      <alignment horizontal="center" shrinkToFit="0" vertical="center" wrapText="1"/>
    </xf>
    <xf borderId="33" fillId="6" fontId="8" numFmtId="0" xfId="0" applyAlignment="1" applyBorder="1" applyFill="1" applyFont="1">
      <alignment horizontal="center" vertical="center"/>
    </xf>
    <xf borderId="10" fillId="13" fontId="9" numFmtId="0" xfId="0" applyAlignment="1" applyBorder="1" applyFill="1" applyFont="1">
      <alignment horizontal="left" shrinkToFit="0" vertical="center" wrapText="1"/>
    </xf>
    <xf borderId="10" fillId="0" fontId="16" numFmtId="0" xfId="0" applyAlignment="1" applyBorder="1" applyFont="1">
      <alignment horizontal="center" vertical="center"/>
    </xf>
    <xf borderId="10" fillId="0" fontId="17" numFmtId="0" xfId="0" applyAlignment="1" applyBorder="1" applyFont="1">
      <alignment horizontal="center" shrinkToFit="0" vertical="center" wrapText="1"/>
    </xf>
    <xf borderId="10" fillId="13" fontId="8" numFmtId="0" xfId="0" applyAlignment="1" applyBorder="1" applyFill="1" applyFont="1">
      <alignment horizontal="center" vertical="center"/>
    </xf>
    <xf borderId="36" fillId="0" fontId="8" numFmtId="0" xfId="0" applyAlignment="1" applyBorder="1" applyFont="1">
      <alignment horizontal="center" shrinkToFit="0" vertical="center" wrapText="1"/>
    </xf>
    <xf borderId="31" fillId="12" fontId="8" numFmtId="0" xfId="0" applyAlignment="1" applyBorder="1" applyFill="1" applyFont="1">
      <alignment horizontal="center" vertical="center"/>
    </xf>
    <xf borderId="10" fillId="0" fontId="8" numFmtId="0" xfId="0" applyAlignment="1" applyBorder="1" applyFont="1">
      <alignment horizontal="center" readingOrder="0" shrinkToFit="0" vertical="center" wrapText="1"/>
    </xf>
    <xf borderId="34" fillId="13" fontId="8" numFmtId="0" xfId="0" applyAlignment="1" applyBorder="1" applyFill="1" applyFont="1">
      <alignment horizontal="center" readingOrder="0" vertical="center"/>
    </xf>
    <xf borderId="35" fillId="13" fontId="8" numFmtId="0" xfId="0" applyAlignment="1" applyBorder="1" applyFill="1" applyFont="1">
      <alignment horizontal="center" vertical="center"/>
    </xf>
    <xf borderId="30" fillId="13" fontId="8" numFmtId="0" xfId="0" applyAlignment="1" applyBorder="1" applyFill="1" applyFont="1">
      <alignment horizontal="center" vertical="center"/>
    </xf>
    <xf borderId="33" fillId="12" fontId="8" numFmtId="0" xfId="0" applyAlignment="1" applyBorder="1" applyFill="1" applyFont="1">
      <alignment horizontal="center" shrinkToFit="0" vertical="center" wrapText="1"/>
    </xf>
    <xf borderId="10" fillId="13" fontId="8" numFmtId="0" xfId="0" applyAlignment="1" applyBorder="1" applyFill="1" applyFont="1">
      <alignment horizontal="left" shrinkToFit="0" vertical="center" wrapText="1"/>
    </xf>
    <xf borderId="1" fillId="8" fontId="8" numFmtId="0" xfId="0" applyAlignment="1" applyBorder="1" applyFill="1" applyFont="1">
      <alignment horizontal="center" vertical="center"/>
    </xf>
    <xf borderId="10" fillId="8" fontId="8" numFmtId="165" xfId="0" applyAlignment="1" applyBorder="1" applyFill="1" applyFont="1" applyNumberFormat="1">
      <alignment horizontal="center" vertical="center"/>
    </xf>
    <xf borderId="10" fillId="13" fontId="8" numFmtId="166" xfId="0" applyAlignment="1" applyBorder="1" applyFill="1" applyFont="1" applyNumberFormat="1">
      <alignment horizontal="center" shrinkToFit="0" vertical="center" wrapText="1"/>
    </xf>
    <xf borderId="34" fillId="13" fontId="8" numFmtId="166" xfId="0" applyAlignment="1" applyBorder="1" applyFill="1" applyFont="1" applyNumberFormat="1">
      <alignment horizontal="center" readingOrder="0" shrinkToFit="0" vertical="center" wrapText="1"/>
    </xf>
    <xf borderId="10" fillId="8" fontId="9" numFmtId="0" xfId="0" applyAlignment="1" applyBorder="1" applyFill="1" applyFont="1">
      <alignment horizontal="left" shrinkToFit="0" vertical="center" wrapText="1"/>
    </xf>
    <xf borderId="35" fillId="13" fontId="8" numFmtId="0" xfId="0" applyAlignment="1" applyBorder="1" applyFill="1" applyFont="1">
      <alignment horizontal="center" shrinkToFit="0" vertical="center" wrapText="1"/>
    </xf>
    <xf borderId="10" fillId="13" fontId="10" numFmtId="0" xfId="0" applyAlignment="1" applyBorder="1" applyFill="1" applyFont="1">
      <alignment vertical="center"/>
    </xf>
    <xf borderId="37" fillId="0" fontId="8" numFmtId="0" xfId="0" applyAlignment="1" applyBorder="1" applyFont="1">
      <alignment horizontal="center" vertical="center"/>
    </xf>
    <xf borderId="33" fillId="13" fontId="8" numFmtId="0" xfId="0" applyAlignment="1" applyBorder="1" applyFill="1" applyFont="1">
      <alignment horizontal="center" vertical="center"/>
    </xf>
    <xf borderId="10" fillId="0" fontId="9" numFmtId="166" xfId="0" applyAlignment="1" applyBorder="1" applyFont="1" applyNumberFormat="1">
      <alignment horizontal="center" vertical="center"/>
    </xf>
    <xf borderId="38" fillId="0" fontId="8" numFmtId="0" xfId="0" applyAlignment="1" applyBorder="1" applyFont="1">
      <alignment horizontal="center" shrinkToFit="0" vertical="center" wrapText="1"/>
    </xf>
    <xf borderId="10" fillId="0" fontId="9" numFmtId="165" xfId="0" applyAlignment="1" applyBorder="1" applyFont="1" applyNumberFormat="1">
      <alignment horizontal="center" vertical="center"/>
    </xf>
    <xf borderId="10" fillId="0" fontId="8" numFmtId="166" xfId="0" applyAlignment="1" applyBorder="1" applyFont="1" applyNumberFormat="1">
      <alignment horizontal="center" readingOrder="0" vertical="center"/>
    </xf>
    <xf borderId="1" fillId="13" fontId="9" numFmtId="0" xfId="0" applyAlignment="1" applyBorder="1" applyFill="1" applyFont="1">
      <alignment horizontal="left" shrinkToFit="0" vertical="center" wrapText="1"/>
    </xf>
    <xf borderId="0" fillId="0" fontId="9" numFmtId="0" xfId="0" applyAlignment="1" applyFont="1">
      <alignment horizontal="left" shrinkToFit="0" vertical="center" wrapText="1"/>
    </xf>
    <xf borderId="31" fillId="13" fontId="8" numFmtId="0" xfId="0" applyAlignment="1" applyBorder="1" applyFill="1" applyFont="1">
      <alignment horizontal="center" vertical="center"/>
    </xf>
    <xf borderId="1" fillId="8" fontId="18" numFmtId="0" xfId="0" applyAlignment="1" applyBorder="1" applyFill="1" applyFont="1">
      <alignment horizontal="center" vertical="center"/>
    </xf>
    <xf borderId="10" fillId="0" fontId="8" numFmtId="0" xfId="0" applyAlignment="1" applyBorder="1" applyFont="1">
      <alignment horizontal="center" readingOrder="0" vertical="center"/>
    </xf>
    <xf borderId="34" fillId="0" fontId="8" numFmtId="166" xfId="0" applyAlignment="1" applyBorder="1" applyFont="1" applyNumberFormat="1">
      <alignment horizontal="center" readingOrder="0" vertical="center"/>
    </xf>
    <xf borderId="10" fillId="8" fontId="18" numFmtId="0" xfId="0" applyAlignment="1" applyBorder="1" applyFill="1" applyFont="1">
      <alignment horizontal="center" vertical="center"/>
    </xf>
    <xf borderId="10" fillId="0" fontId="9" numFmtId="0" xfId="0" applyAlignment="1" applyBorder="1" applyFont="1">
      <alignment horizontal="center" vertical="center"/>
    </xf>
    <xf borderId="36" fillId="0" fontId="8" numFmtId="0" xfId="0" applyAlignment="1" applyBorder="1" applyFont="1">
      <alignment horizontal="center" vertical="center"/>
    </xf>
    <xf borderId="10" fillId="8" fontId="8" numFmtId="166" xfId="0" applyAlignment="1" applyBorder="1" applyFill="1" applyFont="1" applyNumberFormat="1">
      <alignment horizontal="center" vertical="center"/>
    </xf>
    <xf borderId="10" fillId="0" fontId="8" numFmtId="165" xfId="0" applyAlignment="1" applyBorder="1" applyFont="1" applyNumberFormat="1">
      <alignment horizontal="center" readingOrder="0" shrinkToFit="0" vertical="center" wrapText="1"/>
    </xf>
    <xf borderId="34" fillId="0" fontId="9" numFmtId="0" xfId="0" applyAlignment="1" applyBorder="1" applyFont="1">
      <alignment horizontal="center" vertical="center"/>
    </xf>
    <xf borderId="33" fillId="12" fontId="8" numFmtId="0" xfId="0" applyAlignment="1" applyBorder="1" applyFill="1" applyFont="1">
      <alignment horizontal="center" vertical="center"/>
    </xf>
    <xf borderId="10" fillId="0" fontId="11" numFmtId="165" xfId="0" applyAlignment="1" applyBorder="1" applyFont="1" applyNumberFormat="1">
      <alignment horizontal="center" vertical="center"/>
    </xf>
    <xf borderId="10" fillId="8" fontId="9" numFmtId="166" xfId="0" applyAlignment="1" applyBorder="1" applyFill="1" applyFont="1" applyNumberFormat="1">
      <alignment horizontal="center" vertical="center"/>
    </xf>
    <xf borderId="0" fillId="0" fontId="8" numFmtId="165" xfId="0" applyAlignment="1" applyFont="1" applyNumberFormat="1">
      <alignment horizontal="center" readingOrder="0" vertical="center"/>
    </xf>
    <xf borderId="1" fillId="14" fontId="8" numFmtId="0" xfId="0" applyAlignment="1" applyBorder="1" applyFill="1" applyFont="1">
      <alignment horizontal="center" vertical="center"/>
    </xf>
    <xf borderId="10" fillId="0" fontId="8" numFmtId="167" xfId="0" applyAlignment="1" applyBorder="1" applyFont="1" applyNumberFormat="1">
      <alignment horizontal="center" shrinkToFit="0" vertical="center" wrapText="1"/>
    </xf>
    <xf borderId="1" fillId="8" fontId="8" numFmtId="0" xfId="0" applyAlignment="1" applyBorder="1" applyFill="1" applyFont="1">
      <alignment horizontal="center" shrinkToFit="0" vertical="center" wrapText="1"/>
    </xf>
    <xf borderId="35" fillId="15" fontId="8" numFmtId="0" xfId="0" applyAlignment="1" applyBorder="1" applyFill="1" applyFont="1">
      <alignment horizontal="center" vertical="bottom"/>
    </xf>
    <xf borderId="1" fillId="16" fontId="8" numFmtId="0" xfId="0" applyAlignment="1" applyBorder="1" applyFill="1" applyFont="1">
      <alignment horizontal="center" vertical="center"/>
    </xf>
    <xf borderId="0" fillId="0" fontId="8" numFmtId="0" xfId="0" applyAlignment="1" applyFont="1">
      <alignment vertical="center"/>
    </xf>
    <xf borderId="0" fillId="0" fontId="10" numFmtId="0" xfId="0" applyAlignment="1" applyFont="1">
      <alignment horizontal="center" vertical="center"/>
    </xf>
    <xf borderId="10" fillId="8" fontId="8" numFmtId="166" xfId="0" applyAlignment="1" applyBorder="1" applyFill="1" applyFont="1" applyNumberFormat="1">
      <alignment horizontal="center" readingOrder="0" shrinkToFit="0" vertical="center" wrapText="1"/>
    </xf>
    <xf borderId="10" fillId="0" fontId="19" numFmtId="0" xfId="0" applyAlignment="1" applyBorder="1" applyFont="1">
      <alignment horizontal="center" shrinkToFit="0" vertical="center" wrapText="1"/>
    </xf>
    <xf borderId="1" fillId="8" fontId="8" numFmtId="0" xfId="0" applyAlignment="1" applyBorder="1" applyFill="1" applyFont="1">
      <alignment horizontal="left" vertical="bottom"/>
    </xf>
    <xf borderId="10" fillId="0" fontId="10" numFmtId="0" xfId="0" applyAlignment="1" applyBorder="1" applyFont="1">
      <alignment horizontal="center" vertical="bottom"/>
    </xf>
    <xf borderId="0" fillId="0" fontId="20" numFmtId="0" xfId="0" applyAlignment="1" applyFont="1">
      <alignment vertical="bottom"/>
    </xf>
    <xf borderId="10" fillId="0" fontId="8" numFmtId="166" xfId="0" applyAlignment="1" applyBorder="1" applyFont="1" applyNumberFormat="1">
      <alignment horizontal="center" shrinkToFit="0" vertical="center" wrapText="1"/>
    </xf>
    <xf borderId="30" fillId="8" fontId="8" numFmtId="0" xfId="0" applyAlignment="1" applyBorder="1" applyFill="1" applyFont="1">
      <alignment horizontal="center" vertical="center"/>
    </xf>
    <xf borderId="35" fillId="15" fontId="8" numFmtId="0" xfId="0" applyAlignment="1" applyBorder="1" applyFill="1" applyFont="1">
      <alignment horizontal="center" vertical="center"/>
    </xf>
    <xf borderId="10" fillId="8" fontId="8" numFmtId="0" xfId="0" applyAlignment="1" applyBorder="1" applyFill="1" applyFont="1">
      <alignment horizontal="center" readingOrder="0" vertical="center"/>
    </xf>
    <xf borderId="10" fillId="0" fontId="9" numFmtId="165" xfId="0" applyAlignment="1" applyBorder="1" applyFont="1" applyNumberFormat="1">
      <alignment horizontal="center" shrinkToFit="0" vertical="center" wrapText="1"/>
    </xf>
    <xf borderId="10" fillId="0" fontId="18" numFmtId="0" xfId="0" applyAlignment="1" applyBorder="1" applyFont="1">
      <alignment horizontal="center" shrinkToFit="0" vertical="center" wrapText="1"/>
    </xf>
    <xf borderId="10" fillId="8" fontId="8" numFmtId="166" xfId="0" applyAlignment="1" applyBorder="1" applyFill="1" applyFont="1" applyNumberFormat="1">
      <alignment horizontal="center" shrinkToFit="0" vertical="center" wrapText="1"/>
    </xf>
    <xf borderId="10" fillId="8" fontId="8" numFmtId="166" xfId="0" applyAlignment="1" applyBorder="1" applyFill="1" applyFont="1" applyNumberFormat="1">
      <alignment horizontal="center" readingOrder="0" vertical="center"/>
    </xf>
    <xf borderId="10" fillId="0" fontId="8" numFmtId="0" xfId="0" applyAlignment="1" applyBorder="1" applyFont="1">
      <alignment horizontal="left" vertical="center"/>
    </xf>
    <xf borderId="10" fillId="0" fontId="15" numFmtId="0" xfId="0" applyAlignment="1" applyBorder="1" applyFont="1">
      <alignment horizontal="center" vertical="center"/>
    </xf>
    <xf borderId="10" fillId="8" fontId="18" numFmtId="0" xfId="0" applyAlignment="1" applyBorder="1" applyFill="1" applyFont="1">
      <alignment horizontal="center" shrinkToFit="0" vertical="center" wrapText="1"/>
    </xf>
    <xf borderId="0" fillId="0" fontId="8" numFmtId="0" xfId="0" applyAlignment="1" applyFont="1">
      <alignment horizontal="center" vertical="bottom"/>
    </xf>
    <xf quotePrefix="1" borderId="10" fillId="0" fontId="8" numFmtId="0" xfId="0" applyAlignment="1" applyBorder="1" applyFont="1">
      <alignment horizontal="center" shrinkToFit="0" vertical="center" wrapText="1"/>
    </xf>
    <xf borderId="10" fillId="8" fontId="8" numFmtId="0" xfId="0" applyAlignment="1" applyBorder="1" applyFill="1" applyFont="1">
      <alignment horizontal="center" vertical="bottom"/>
    </xf>
    <xf borderId="10" fillId="0" fontId="9" numFmtId="165" xfId="0" applyAlignment="1" applyBorder="1" applyFont="1" applyNumberFormat="1">
      <alignment horizontal="center" vertical="bottom"/>
    </xf>
    <xf borderId="10" fillId="0" fontId="8" numFmtId="166" xfId="0" applyAlignment="1" applyBorder="1" applyFont="1" applyNumberFormat="1">
      <alignment horizontal="center" vertical="center"/>
    </xf>
    <xf borderId="10" fillId="0" fontId="8" numFmtId="0" xfId="0" applyAlignment="1" applyBorder="1" applyFont="1">
      <alignment vertical="bottom"/>
    </xf>
    <xf borderId="17" fillId="0" fontId="9" numFmtId="0" xfId="0" applyAlignment="1" applyBorder="1" applyFont="1">
      <alignment horizontal="center" vertical="center"/>
    </xf>
    <xf borderId="10" fillId="0" fontId="8" numFmtId="0" xfId="0" applyAlignment="1" applyBorder="1" applyFont="1">
      <alignment horizontal="left" readingOrder="0" shrinkToFit="0" vertical="center" wrapText="1"/>
    </xf>
    <xf borderId="0" fillId="0" fontId="21" numFmtId="0" xfId="0" applyAlignment="1" applyFont="1">
      <alignment readingOrder="0" vertical="center"/>
    </xf>
    <xf borderId="10" fillId="0" fontId="9" numFmtId="0" xfId="0" applyAlignment="1" applyBorder="1" applyFont="1">
      <alignment shrinkToFit="0" vertical="center" wrapText="1"/>
    </xf>
    <xf borderId="0" fillId="0" fontId="21" numFmtId="0" xfId="0" applyAlignment="1" applyFont="1">
      <alignment vertical="center"/>
    </xf>
    <xf borderId="1" fillId="8" fontId="9" numFmtId="0" xfId="0" applyAlignment="1" applyBorder="1" applyFill="1" applyFont="1">
      <alignment horizontal="left" vertical="center"/>
    </xf>
    <xf borderId="10" fillId="8" fontId="9" numFmtId="165" xfId="0" applyAlignment="1" applyBorder="1" applyFill="1" applyFont="1" applyNumberFormat="1">
      <alignment horizontal="center" vertical="center"/>
    </xf>
    <xf borderId="32" fillId="8" fontId="8" numFmtId="0" xfId="0" applyAlignment="1" applyBorder="1" applyFill="1" applyFont="1">
      <alignment horizontal="center" vertical="center"/>
    </xf>
    <xf borderId="10" fillId="0" fontId="9" numFmtId="0" xfId="0" applyAlignment="1" applyBorder="1" applyFont="1">
      <alignment vertical="center"/>
    </xf>
    <xf borderId="0" fillId="0" fontId="9" numFmtId="166" xfId="0" applyAlignment="1" applyFont="1" applyNumberFormat="1">
      <alignment horizontal="center" vertical="bottom"/>
    </xf>
    <xf borderId="0" fillId="0" fontId="8" numFmtId="166" xfId="0" applyAlignment="1" applyFont="1" applyNumberFormat="1">
      <alignment horizontal="center" readingOrder="0" vertical="center"/>
    </xf>
    <xf borderId="10" fillId="6" fontId="8" numFmtId="0" xfId="0" applyAlignment="1" applyBorder="1" applyFill="1" applyFont="1">
      <alignment horizontal="center" vertical="center"/>
    </xf>
    <xf borderId="35" fillId="17" fontId="8" numFmtId="0" xfId="0" applyAlignment="1" applyBorder="1" applyFill="1" applyFont="1">
      <alignment horizontal="center" vertical="center"/>
    </xf>
    <xf borderId="1" fillId="17" fontId="8" numFmtId="0" xfId="0" applyAlignment="1" applyBorder="1" applyFill="1" applyFont="1">
      <alignment horizontal="center" vertical="center"/>
    </xf>
    <xf borderId="10" fillId="6" fontId="8" numFmtId="0" xfId="0" applyAlignment="1" applyBorder="1" applyFill="1" applyFont="1">
      <alignment horizontal="center" shrinkToFit="0" vertical="center" wrapText="1"/>
    </xf>
    <xf borderId="28" fillId="0" fontId="9" numFmtId="166" xfId="0" applyAlignment="1" applyBorder="1" applyFont="1" applyNumberFormat="1">
      <alignment horizontal="center" vertical="center"/>
    </xf>
    <xf borderId="28" fillId="0" fontId="8" numFmtId="166" xfId="0" applyAlignment="1" applyBorder="1" applyFont="1" applyNumberFormat="1">
      <alignment horizontal="center" readingOrder="0" vertical="center"/>
    </xf>
    <xf borderId="28" fillId="0" fontId="8" numFmtId="0" xfId="0" applyAlignment="1" applyBorder="1" applyFont="1">
      <alignment horizontal="left" shrinkToFit="0" vertical="center" wrapText="1"/>
    </xf>
    <xf borderId="0" fillId="0" fontId="8" numFmtId="0" xfId="0" applyAlignment="1" applyFont="1">
      <alignment horizontal="left" shrinkToFit="0" vertical="center" wrapText="1"/>
    </xf>
    <xf borderId="10" fillId="0" fontId="22" numFmtId="0" xfId="0" applyAlignment="1" applyBorder="1" applyFont="1">
      <alignment horizontal="center" shrinkToFit="0" vertical="center" wrapText="1"/>
    </xf>
    <xf borderId="10" fillId="0" fontId="8" numFmtId="0" xfId="0" applyAlignment="1" applyBorder="1" applyFont="1">
      <alignment horizontal="center" vertical="bottom"/>
    </xf>
    <xf borderId="0" fillId="0" fontId="8" numFmtId="0" xfId="0" applyAlignment="1" applyFont="1">
      <alignment vertical="bottom"/>
    </xf>
    <xf borderId="0" fillId="0" fontId="8" numFmtId="0" xfId="0" applyAlignment="1" applyFont="1">
      <alignment horizontal="left" vertical="center"/>
    </xf>
    <xf borderId="10" fillId="0" fontId="11" numFmtId="166" xfId="0" applyAlignment="1" applyBorder="1" applyFont="1" applyNumberFormat="1">
      <alignment horizontal="center" vertical="center"/>
    </xf>
    <xf borderId="0" fillId="0" fontId="18" numFmtId="0" xfId="0" applyAlignment="1" applyFont="1">
      <alignment horizontal="center" vertical="center"/>
    </xf>
    <xf borderId="10" fillId="0" fontId="18" numFmtId="0" xfId="0" applyAlignment="1" applyBorder="1" applyFont="1">
      <alignment horizontal="center" vertical="center"/>
    </xf>
    <xf borderId="0" fillId="0" fontId="8" numFmtId="0" xfId="0" applyAlignment="1" applyFont="1">
      <alignment horizontal="center" readingOrder="0" vertical="center"/>
    </xf>
    <xf borderId="10" fillId="8" fontId="9" numFmtId="0" xfId="0" applyAlignment="1" applyBorder="1" applyFill="1" applyFont="1">
      <alignment horizontal="left" vertical="center"/>
    </xf>
    <xf borderId="10" fillId="8" fontId="9" numFmtId="166" xfId="0" applyAlignment="1" applyBorder="1" applyFill="1" applyFont="1" applyNumberFormat="1">
      <alignment horizontal="center" shrinkToFit="0" vertical="center" wrapText="1"/>
    </xf>
    <xf borderId="10" fillId="0" fontId="9" numFmtId="0" xfId="0" applyAlignment="1" applyBorder="1" applyFont="1">
      <alignment horizontal="left" vertical="center"/>
    </xf>
    <xf borderId="10" fillId="6" fontId="9" numFmtId="166" xfId="0" applyAlignment="1" applyBorder="1" applyFill="1" applyFont="1" applyNumberFormat="1">
      <alignment horizontal="center" vertical="center"/>
    </xf>
    <xf borderId="10" fillId="6" fontId="8" numFmtId="166" xfId="0" applyAlignment="1" applyBorder="1" applyFill="1" applyFont="1" applyNumberFormat="1">
      <alignment horizontal="center" readingOrder="0" vertical="center"/>
    </xf>
    <xf borderId="10" fillId="6" fontId="9" numFmtId="0" xfId="0" applyAlignment="1" applyBorder="1" applyFill="1" applyFont="1">
      <alignment shrinkToFit="0" vertical="center" wrapText="1"/>
    </xf>
    <xf borderId="10" fillId="8" fontId="8" numFmtId="0" xfId="0" applyAlignment="1" applyBorder="1" applyFill="1" applyFont="1">
      <alignment horizontal="left" readingOrder="0" shrinkToFit="0" vertical="center" wrapText="1"/>
    </xf>
    <xf borderId="0" fillId="0" fontId="9" numFmtId="0" xfId="0" applyAlignment="1" applyFont="1">
      <alignment vertical="center"/>
    </xf>
    <xf borderId="10" fillId="8" fontId="9" numFmtId="165" xfId="0" applyAlignment="1" applyBorder="1" applyFill="1" applyFont="1" applyNumberFormat="1">
      <alignment horizontal="center" shrinkToFit="0" vertical="center" wrapText="1"/>
    </xf>
    <xf quotePrefix="1" borderId="10" fillId="0" fontId="8" numFmtId="0" xfId="0" applyAlignment="1" applyBorder="1" applyFont="1">
      <alignment horizontal="center" vertical="center"/>
    </xf>
    <xf borderId="0" fillId="0" fontId="13" numFmtId="0" xfId="0" applyAlignment="1" applyFont="1">
      <alignment horizontal="center" shrinkToFit="0" vertical="center" wrapText="1"/>
    </xf>
    <xf borderId="10" fillId="0" fontId="18" numFmtId="0" xfId="0" applyAlignment="1" applyBorder="1" applyFont="1">
      <alignment vertical="center"/>
    </xf>
    <xf borderId="0" fillId="0" fontId="20" numFmtId="0" xfId="0" applyAlignment="1" applyFont="1">
      <alignment horizontal="center" vertical="center"/>
    </xf>
    <xf borderId="0" fillId="0" fontId="10" numFmtId="0" xfId="0" applyAlignment="1" applyFont="1">
      <alignment horizontal="center" vertical="bottom"/>
    </xf>
    <xf borderId="10" fillId="0" fontId="8" numFmtId="0" xfId="0" applyAlignment="1" applyBorder="1" applyFont="1">
      <alignment horizontal="center" shrinkToFit="0" vertical="bottom" wrapText="1"/>
    </xf>
    <xf borderId="10" fillId="0" fontId="23" numFmtId="0" xfId="0" applyAlignment="1" applyBorder="1" applyFont="1">
      <alignment vertical="bottom"/>
    </xf>
    <xf borderId="34" fillId="10" fontId="8" numFmtId="166" xfId="0" applyAlignment="1" applyBorder="1" applyFill="1" applyFont="1" applyNumberFormat="1">
      <alignment horizontal="center" readingOrder="0" vertical="center"/>
    </xf>
    <xf borderId="35" fillId="10" fontId="8" numFmtId="0" xfId="0" applyAlignment="1" applyBorder="1" applyFill="1" applyFont="1">
      <alignment horizontal="center" vertical="center"/>
    </xf>
    <xf borderId="30" fillId="10" fontId="8" numFmtId="0" xfId="0" applyAlignment="1" applyBorder="1" applyFill="1" applyFont="1">
      <alignment horizontal="center" vertical="center"/>
    </xf>
    <xf borderId="10" fillId="0" fontId="20" numFmtId="0" xfId="0" applyAlignment="1" applyBorder="1" applyFont="1">
      <alignment vertical="bottom"/>
    </xf>
    <xf borderId="10" fillId="0" fontId="10" numFmtId="0" xfId="0" applyAlignment="1" applyBorder="1" applyFont="1">
      <alignment vertical="bottom"/>
    </xf>
    <xf borderId="0" fillId="0" fontId="8" numFmtId="0" xfId="0" applyAlignment="1" applyFont="1">
      <alignment horizontal="center" readingOrder="0" shrinkToFit="0" vertical="center" wrapText="1"/>
    </xf>
    <xf borderId="10" fillId="0" fontId="10" numFmtId="0" xfId="0" applyAlignment="1" applyBorder="1" applyFont="1">
      <alignment shrinkToFit="0" vertical="bottom" wrapText="1"/>
    </xf>
    <xf borderId="10" fillId="0" fontId="8" numFmtId="0" xfId="0" applyAlignment="1" applyBorder="1" applyFont="1">
      <alignment vertical="center"/>
    </xf>
    <xf borderId="10" fillId="0" fontId="20" numFmtId="0" xfId="0" applyAlignment="1" applyBorder="1" applyFont="1">
      <alignment horizontal="center" shrinkToFit="0" vertical="center" wrapText="1"/>
    </xf>
    <xf borderId="10" fillId="13" fontId="9" numFmtId="166" xfId="0" applyAlignment="1" applyBorder="1" applyFill="1" applyFont="1" applyNumberFormat="1">
      <alignment horizontal="center" vertical="center"/>
    </xf>
    <xf borderId="34" fillId="13" fontId="8" numFmtId="166" xfId="0" applyAlignment="1" applyBorder="1" applyFill="1" applyFont="1" applyNumberFormat="1">
      <alignment horizontal="center" readingOrder="0" vertical="center"/>
    </xf>
    <xf borderId="32" fillId="13" fontId="8" numFmtId="0" xfId="0" applyAlignment="1" applyBorder="1" applyFill="1" applyFont="1">
      <alignment horizontal="center" vertical="center"/>
    </xf>
    <xf borderId="1" fillId="13" fontId="8" numFmtId="0" xfId="0" applyAlignment="1" applyBorder="1" applyFill="1" applyFont="1">
      <alignment horizontal="left" shrinkToFit="0" vertical="center" wrapText="1"/>
    </xf>
    <xf borderId="10" fillId="0" fontId="24" numFmtId="0" xfId="0" applyAlignment="1" applyBorder="1" applyFont="1">
      <alignment vertical="bottom"/>
    </xf>
    <xf borderId="10" fillId="13" fontId="8" numFmtId="165" xfId="0" applyAlignment="1" applyBorder="1" applyFill="1" applyFont="1" applyNumberFormat="1">
      <alignment horizontal="center" shrinkToFit="0" vertical="center" wrapText="1"/>
    </xf>
    <xf borderId="10" fillId="13" fontId="10" numFmtId="0" xfId="0" applyAlignment="1" applyBorder="1" applyFill="1" applyFont="1">
      <alignment vertical="bottom"/>
    </xf>
    <xf borderId="1" fillId="13" fontId="8" numFmtId="0" xfId="0" applyAlignment="1" applyBorder="1" applyFill="1" applyFont="1">
      <alignment horizontal="center" shrinkToFit="0" vertical="center" wrapText="1"/>
    </xf>
    <xf borderId="10" fillId="8" fontId="8" numFmtId="167" xfId="0" applyAlignment="1" applyBorder="1" applyFill="1" applyFont="1" applyNumberFormat="1">
      <alignment horizontal="center" vertical="center"/>
    </xf>
    <xf borderId="10" fillId="8" fontId="8" numFmtId="0" xfId="0" applyAlignment="1" applyBorder="1" applyFill="1" applyFont="1">
      <alignment horizontal="left" vertical="center"/>
    </xf>
    <xf borderId="10" fillId="8" fontId="9" numFmtId="0" xfId="0" applyAlignment="1" applyBorder="1" applyFill="1" applyFont="1">
      <alignment horizontal="center" vertical="center"/>
    </xf>
    <xf borderId="0" fillId="0" fontId="10" numFmtId="0" xfId="0" applyAlignment="1" applyFont="1">
      <alignment vertical="bottom"/>
    </xf>
    <xf borderId="0" fillId="0" fontId="8" numFmtId="0" xfId="0" applyAlignment="1" applyFont="1">
      <alignment horizontal="left" vertical="bottom"/>
    </xf>
    <xf borderId="10" fillId="10" fontId="8" numFmtId="166" xfId="0" applyAlignment="1" applyBorder="1" applyFill="1" applyFont="1" applyNumberFormat="1">
      <alignment horizontal="center" readingOrder="0" vertical="center"/>
    </xf>
    <xf borderId="10" fillId="10" fontId="8" numFmtId="0" xfId="0" applyAlignment="1" applyBorder="1" applyFill="1" applyFont="1">
      <alignment horizontal="center" vertical="center"/>
    </xf>
    <xf borderId="0" fillId="0" fontId="8" numFmtId="166" xfId="0" applyAlignment="1" applyFont="1" applyNumberFormat="1">
      <alignment horizontal="center" readingOrder="0" vertical="bottom"/>
    </xf>
    <xf borderId="10" fillId="0" fontId="9" numFmtId="0" xfId="0" applyAlignment="1" applyBorder="1" applyFont="1">
      <alignment horizontal="center" shrinkToFit="0" vertical="center" wrapText="1"/>
    </xf>
    <xf borderId="10" fillId="0" fontId="10" numFmtId="0" xfId="0" applyAlignment="1" applyBorder="1" applyFont="1">
      <alignment readingOrder="0" vertical="bottom"/>
    </xf>
    <xf borderId="0" fillId="0" fontId="25" numFmtId="0" xfId="0" applyAlignment="1" applyFont="1">
      <alignment horizontal="center" readingOrder="0" vertical="center"/>
    </xf>
    <xf borderId="10" fillId="13" fontId="8" numFmtId="0" xfId="0" applyAlignment="1" applyBorder="1" applyFill="1" applyFont="1">
      <alignment horizontal="left" vertical="center"/>
    </xf>
    <xf borderId="10" fillId="13" fontId="8" numFmtId="0" xfId="0" applyAlignment="1" applyBorder="1" applyFill="1" applyFont="1">
      <alignment horizontal="center" readingOrder="0" vertical="center"/>
    </xf>
    <xf borderId="0" fillId="0" fontId="26" numFmtId="0" xfId="0" applyAlignment="1" applyFont="1">
      <alignment readingOrder="0" vertical="center"/>
    </xf>
    <xf borderId="10" fillId="0" fontId="25" numFmtId="0" xfId="0" applyAlignment="1" applyBorder="1" applyFont="1">
      <alignment horizontal="center" readingOrder="0" vertical="center"/>
    </xf>
    <xf borderId="10" fillId="0" fontId="21" numFmtId="0" xfId="0" applyAlignment="1" applyBorder="1" applyFont="1">
      <alignment readingOrder="0" vertical="center"/>
    </xf>
    <xf borderId="10" fillId="0" fontId="25" numFmtId="0" xfId="0" applyAlignment="1" applyBorder="1" applyFont="1">
      <alignment horizontal="center" readingOrder="0" shrinkToFit="0" vertical="center" wrapText="0"/>
    </xf>
    <xf borderId="10" fillId="13" fontId="13" numFmtId="0" xfId="0" applyAlignment="1" applyBorder="1" applyFill="1" applyFont="1">
      <alignment horizontal="left" shrinkToFit="0" vertical="center" wrapText="1"/>
    </xf>
    <xf borderId="10" fillId="0" fontId="25" numFmtId="0" xfId="0" applyAlignment="1" applyBorder="1" applyFont="1">
      <alignment horizontal="center" vertical="center"/>
    </xf>
    <xf borderId="0" fillId="0" fontId="25" numFmtId="0" xfId="0" applyAlignment="1" applyFont="1">
      <alignment horizontal="center" vertical="center"/>
    </xf>
    <xf borderId="10" fillId="10" fontId="8" numFmtId="0" xfId="0" applyAlignment="1" applyBorder="1" applyFill="1" applyFont="1">
      <alignment horizontal="left" shrinkToFit="0" vertical="center" wrapText="1"/>
    </xf>
    <xf borderId="1" fillId="8" fontId="23" numFmtId="0" xfId="0" applyAlignment="1" applyBorder="1" applyFill="1" applyFont="1">
      <alignment horizontal="center" vertical="center"/>
    </xf>
    <xf borderId="0" fillId="0" fontId="27" numFmtId="0" xfId="0" applyAlignment="1" applyFont="1">
      <alignment horizontal="center" readingOrder="0" vertical="top"/>
    </xf>
    <xf borderId="0" fillId="0" fontId="28" numFmtId="0" xfId="0" applyAlignment="1" applyFont="1">
      <alignment readingOrder="0" vertical="center"/>
    </xf>
    <xf borderId="10" fillId="0" fontId="10" numFmtId="0" xfId="0" applyAlignment="1" applyBorder="1" applyFont="1">
      <alignment horizontal="center" vertical="center"/>
    </xf>
    <xf borderId="32" fillId="8" fontId="8" numFmtId="0" xfId="0" applyAlignment="1" applyBorder="1" applyFill="1" applyFont="1">
      <alignment horizontal="left" shrinkToFit="0" vertical="center" wrapText="1"/>
    </xf>
    <xf borderId="17" fillId="0" fontId="8" numFmtId="166" xfId="0" applyAlignment="1" applyBorder="1" applyFont="1" applyNumberFormat="1">
      <alignment horizontal="center" readingOrder="0" vertical="center"/>
    </xf>
    <xf borderId="17" fillId="0" fontId="8" numFmtId="0" xfId="0" applyAlignment="1" applyBorder="1" applyFont="1">
      <alignment horizontal="left" shrinkToFit="0" vertical="center" wrapText="1"/>
    </xf>
    <xf borderId="17" fillId="0" fontId="8" numFmtId="0" xfId="0" applyAlignment="1" applyBorder="1" applyFont="1">
      <alignment horizontal="center" shrinkToFit="0" vertical="center" wrapText="1"/>
    </xf>
    <xf borderId="10" fillId="13" fontId="8" numFmtId="166" xfId="0" applyAlignment="1" applyBorder="1" applyFill="1" applyFont="1" applyNumberFormat="1">
      <alignment horizontal="center" readingOrder="0" vertical="center"/>
    </xf>
    <xf borderId="1" fillId="13" fontId="8" numFmtId="0" xfId="0" applyAlignment="1" applyBorder="1" applyFill="1" applyFont="1">
      <alignment horizontal="left" vertical="center"/>
    </xf>
    <xf borderId="10" fillId="13" fontId="20" numFmtId="0" xfId="0" applyAlignment="1" applyBorder="1" applyFill="1" applyFont="1">
      <alignment horizontal="center" vertical="center"/>
    </xf>
    <xf borderId="10" fillId="0" fontId="9" numFmtId="167" xfId="0" applyAlignment="1" applyBorder="1" applyFont="1" applyNumberFormat="1">
      <alignment horizontal="center" vertical="center"/>
    </xf>
    <xf borderId="10" fillId="8" fontId="8" numFmtId="0" xfId="0" applyAlignment="1" applyBorder="1" applyFill="1" applyFont="1">
      <alignment vertical="center"/>
    </xf>
    <xf borderId="10" fillId="8" fontId="8" numFmtId="0" xfId="0" applyAlignment="1" applyBorder="1" applyFill="1" applyFont="1">
      <alignment shrinkToFit="0" vertical="center" wrapText="1"/>
    </xf>
    <xf borderId="1" fillId="8" fontId="9" numFmtId="166" xfId="0" applyAlignment="1" applyBorder="1" applyFill="1" applyFont="1" applyNumberFormat="1">
      <alignment horizontal="center" vertical="bottom"/>
    </xf>
    <xf borderId="0" fillId="8" fontId="8" numFmtId="166" xfId="0" applyAlignment="1" applyFill="1" applyFont="1" applyNumberFormat="1">
      <alignment horizontal="center" readingOrder="0" vertical="center"/>
    </xf>
    <xf borderId="20" fillId="0" fontId="8" numFmtId="0" xfId="0" applyAlignment="1" applyBorder="1" applyFont="1">
      <alignment horizontal="center" vertical="center"/>
    </xf>
    <xf borderId="10" fillId="0" fontId="9" numFmtId="166" xfId="0" applyAlignment="1" applyBorder="1" applyFont="1" applyNumberFormat="1">
      <alignment horizontal="center" vertical="bottom"/>
    </xf>
    <xf borderId="39" fillId="0" fontId="8" numFmtId="0" xfId="0" applyAlignment="1" applyBorder="1" applyFont="1">
      <alignment horizontal="center" shrinkToFit="0" vertical="center" wrapText="1"/>
    </xf>
    <xf borderId="3" fillId="3" fontId="29" numFmtId="0" xfId="0" applyAlignment="1" applyBorder="1" applyFill="1" applyFont="1">
      <alignment horizontal="center" shrinkToFit="0" vertical="center" wrapText="1"/>
    </xf>
    <xf borderId="20" fillId="4" fontId="9" numFmtId="0" xfId="0" applyAlignment="1" applyBorder="1" applyFill="1" applyFont="1">
      <alignment horizontal="center" shrinkToFit="0" vertical="bottom" wrapText="1"/>
    </xf>
    <xf borderId="10" fillId="6" fontId="9" numFmtId="0" xfId="0" applyAlignment="1" applyBorder="1" applyFill="1" applyFont="1">
      <alignment horizontal="left" vertical="center"/>
    </xf>
    <xf borderId="31" fillId="7" fontId="10" numFmtId="0" xfId="0" applyAlignment="1" applyBorder="1" applyFill="1" applyFont="1">
      <alignment horizontal="center" vertical="bottom"/>
    </xf>
    <xf borderId="31" fillId="0" fontId="10" numFmtId="0" xfId="0" applyAlignment="1" applyBorder="1" applyFont="1">
      <alignment horizontal="center" vertical="bottom"/>
    </xf>
    <xf borderId="31" fillId="6" fontId="10" numFmtId="0" xfId="0" applyAlignment="1" applyBorder="1" applyFill="1" applyFont="1">
      <alignment horizontal="center" vertical="bottom"/>
    </xf>
    <xf borderId="31" fillId="9" fontId="10" numFmtId="0" xfId="0" applyAlignment="1" applyBorder="1" applyFill="1" applyFont="1">
      <alignment horizontal="center" vertical="bottom"/>
    </xf>
    <xf borderId="31" fillId="12" fontId="10" numFmtId="0" xfId="0" applyAlignment="1" applyBorder="1" applyFill="1" applyFont="1">
      <alignment horizontal="center" vertical="bottom"/>
    </xf>
    <xf borderId="10" fillId="0" fontId="8" numFmtId="0" xfId="0" applyAlignment="1" applyBorder="1" applyFont="1">
      <alignment shrinkToFit="0" vertical="center" wrapText="1"/>
    </xf>
    <xf borderId="0" fillId="0" fontId="8" numFmtId="165" xfId="0" applyAlignment="1" applyFont="1" applyNumberFormat="1">
      <alignment vertical="bottom"/>
    </xf>
    <xf borderId="0" fillId="0" fontId="10" numFmtId="0" xfId="0" applyAlignment="1" applyFont="1">
      <alignment horizontal="left" vertical="bottom"/>
    </xf>
    <xf borderId="10" fillId="13" fontId="8" numFmtId="165" xfId="0" applyAlignment="1" applyBorder="1" applyFill="1" applyFont="1" applyNumberFormat="1">
      <alignment horizontal="center" vertical="center"/>
    </xf>
    <xf borderId="10" fillId="13" fontId="8" numFmtId="165" xfId="0" applyAlignment="1" applyBorder="1" applyFill="1" applyFont="1" applyNumberFormat="1">
      <alignment horizontal="center" readingOrder="0" vertical="center"/>
    </xf>
    <xf borderId="10" fillId="10" fontId="8" numFmtId="0" xfId="0" applyAlignment="1" applyBorder="1" applyFill="1" applyFont="1">
      <alignment horizontal="center" readingOrder="0" vertical="center"/>
    </xf>
    <xf borderId="1" fillId="13" fontId="8" numFmtId="0" xfId="0" applyAlignment="1" applyBorder="1" applyFill="1" applyFont="1">
      <alignment shrinkToFit="0" vertical="center" wrapText="1"/>
    </xf>
    <xf borderId="10" fillId="18" fontId="8" numFmtId="0" xfId="0" applyAlignment="1" applyBorder="1" applyFill="1" applyFont="1">
      <alignment horizontal="center" vertical="center"/>
    </xf>
    <xf borderId="0" fillId="0" fontId="30" numFmtId="0" xfId="0" applyAlignment="1" applyFont="1">
      <alignment horizontal="center" vertical="center"/>
    </xf>
    <xf borderId="10" fillId="0" fontId="9" numFmtId="166" xfId="0" applyAlignment="1" applyBorder="1" applyFont="1" applyNumberFormat="1">
      <alignment horizontal="center" readingOrder="0" vertical="center"/>
    </xf>
    <xf borderId="24" fillId="19" fontId="31" numFmtId="0" xfId="0" applyAlignment="1" applyBorder="1" applyFill="1" applyFont="1">
      <alignment horizontal="center" vertical="center"/>
    </xf>
    <xf borderId="0" fillId="0" fontId="10" numFmtId="0" xfId="0" applyAlignment="1" applyFont="1">
      <alignment shrinkToFit="0" vertical="center" wrapText="1"/>
    </xf>
    <xf borderId="0" fillId="0" fontId="10" numFmtId="0" xfId="0" applyAlignment="1" applyFont="1">
      <alignment horizontal="center" shrinkToFit="0" vertical="bottom" wrapText="1"/>
    </xf>
    <xf borderId="0" fillId="0" fontId="10" numFmtId="0" xfId="0" applyAlignment="1" applyFont="1">
      <alignment shrinkToFit="0" vertical="bottom" wrapText="1"/>
    </xf>
    <xf borderId="0" fillId="0" fontId="32" numFmtId="0" xfId="0" applyAlignment="1" applyFont="1">
      <alignment shrinkToFit="0" vertical="bottom" wrapText="1"/>
    </xf>
    <xf borderId="1" fillId="20" fontId="8" numFmtId="0" xfId="0" applyAlignment="1" applyBorder="1" applyFill="1" applyFont="1">
      <alignment vertical="bottom"/>
    </xf>
    <xf borderId="10" fillId="4" fontId="9" numFmtId="0" xfId="0" applyAlignment="1" applyBorder="1" applyFill="1" applyFont="1">
      <alignment horizontal="center" vertical="bottom"/>
    </xf>
    <xf borderId="32" fillId="4" fontId="9" numFmtId="0" xfId="0" applyAlignment="1" applyBorder="1" applyFill="1" applyFont="1">
      <alignment horizontal="center" vertical="bottom"/>
    </xf>
    <xf borderId="32" fillId="4" fontId="9" numFmtId="0" xfId="0" applyAlignment="1" applyBorder="1" applyFill="1" applyFont="1">
      <alignment horizontal="center" shrinkToFit="0" vertical="center" wrapText="1"/>
    </xf>
    <xf borderId="32" fillId="4" fontId="9" numFmtId="0" xfId="0" applyAlignment="1" applyBorder="1" applyFill="1" applyFont="1">
      <alignment horizontal="center" shrinkToFit="0" vertical="bottom" wrapText="1"/>
    </xf>
    <xf borderId="32" fillId="4" fontId="33" numFmtId="0" xfId="0" applyAlignment="1" applyBorder="1" applyFill="1" applyFont="1">
      <alignment horizontal="center" shrinkToFit="0" vertical="bottom" wrapText="1"/>
    </xf>
    <xf borderId="1" fillId="4" fontId="9" numFmtId="0" xfId="0" applyAlignment="1" applyBorder="1" applyFill="1" applyFont="1">
      <alignment shrinkToFit="0" vertical="bottom" wrapText="1"/>
    </xf>
    <xf borderId="30" fillId="8" fontId="8" numFmtId="0" xfId="0" applyAlignment="1" applyBorder="1" applyFill="1" applyFont="1">
      <alignment horizontal="center" vertical="bottom"/>
    </xf>
    <xf borderId="30" fillId="8" fontId="8" numFmtId="165" xfId="0" applyAlignment="1" applyBorder="1" applyFill="1" applyFont="1" applyNumberFormat="1">
      <alignment horizontal="center" shrinkToFit="0" vertical="center" wrapText="1"/>
    </xf>
    <xf borderId="17" fillId="0" fontId="8" numFmtId="0" xfId="0" applyAlignment="1" applyBorder="1" applyFont="1">
      <alignment horizontal="center" shrinkToFit="0" vertical="bottom" wrapText="1"/>
    </xf>
    <xf borderId="30" fillId="8" fontId="8" numFmtId="0" xfId="0" applyAlignment="1" applyBorder="1" applyFill="1" applyFont="1">
      <alignment horizontal="center" shrinkToFit="0" vertical="bottom" wrapText="1"/>
    </xf>
    <xf borderId="4" fillId="0" fontId="8" numFmtId="0" xfId="0" applyAlignment="1" applyBorder="1" applyFont="1">
      <alignment horizontal="center" vertical="center"/>
    </xf>
    <xf borderId="30" fillId="8" fontId="15" numFmtId="0" xfId="0" applyAlignment="1" applyBorder="1" applyFill="1" applyFont="1">
      <alignment shrinkToFit="0" vertical="bottom" wrapText="1"/>
    </xf>
    <xf borderId="10" fillId="8" fontId="8" numFmtId="0" xfId="0" applyAlignment="1" applyBorder="1" applyFill="1" applyFont="1">
      <alignment horizontal="center" shrinkToFit="0" vertical="bottom" wrapText="1"/>
    </xf>
    <xf borderId="26" fillId="8" fontId="34" numFmtId="0" xfId="0" applyAlignment="1" applyBorder="1" applyFill="1" applyFont="1">
      <alignment horizontal="left" shrinkToFit="0" vertical="bottom" wrapText="1"/>
    </xf>
    <xf borderId="10" fillId="8" fontId="8" numFmtId="0" xfId="0" applyAlignment="1" applyBorder="1" applyFill="1" applyFont="1">
      <alignment shrinkToFit="0" vertical="bottom" wrapText="1"/>
    </xf>
    <xf borderId="35" fillId="8" fontId="8" numFmtId="0" xfId="0" applyAlignment="1" applyBorder="1" applyFill="1" applyFont="1">
      <alignment horizontal="center" vertical="bottom"/>
    </xf>
    <xf borderId="30" fillId="8" fontId="8" numFmtId="166" xfId="0" applyAlignment="1" applyBorder="1" applyFill="1" applyFont="1" applyNumberFormat="1">
      <alignment horizontal="center" vertical="bottom"/>
    </xf>
    <xf borderId="30" fillId="8" fontId="35" numFmtId="0" xfId="0" applyAlignment="1" applyBorder="1" applyFill="1" applyFont="1">
      <alignment horizontal="center" shrinkToFit="0" vertical="bottom" wrapText="1"/>
    </xf>
    <xf borderId="1" fillId="8" fontId="10" numFmtId="0" xfId="0" applyAlignment="1" applyBorder="1" applyFill="1" applyFont="1">
      <alignment vertical="bottom"/>
    </xf>
    <xf borderId="26" fillId="8" fontId="8" numFmtId="0" xfId="0" applyAlignment="1" applyBorder="1" applyFill="1" applyFont="1">
      <alignment shrinkToFit="0" vertical="bottom" wrapText="1"/>
    </xf>
    <xf borderId="35" fillId="8" fontId="8" numFmtId="0" xfId="0" applyAlignment="1" applyBorder="1" applyFill="1" applyFont="1">
      <alignment shrinkToFit="0" vertical="bottom" wrapText="1"/>
    </xf>
    <xf borderId="1" fillId="15" fontId="36" numFmtId="0" xfId="0" applyAlignment="1" applyBorder="1" applyFill="1" applyFont="1">
      <alignment horizontal="center" vertical="bottom"/>
    </xf>
    <xf borderId="30" fillId="8" fontId="8" numFmtId="166" xfId="0" applyAlignment="1" applyBorder="1" applyFill="1" applyFont="1" applyNumberFormat="1">
      <alignment horizontal="center" shrinkToFit="0" vertical="center" wrapText="1"/>
    </xf>
    <xf borderId="24" fillId="15" fontId="36" numFmtId="0" xfId="0" applyAlignment="1" applyBorder="1" applyFill="1" applyFont="1">
      <alignment horizontal="center" vertical="bottom"/>
    </xf>
    <xf borderId="0" fillId="0" fontId="37" numFmtId="0" xfId="0" applyAlignment="1" applyFont="1">
      <alignment horizontal="center" vertical="bottom"/>
    </xf>
    <xf borderId="30" fillId="8" fontId="8" numFmtId="0" xfId="0" applyAlignment="1" applyBorder="1" applyFill="1" applyFont="1">
      <alignment horizontal="center" shrinkToFit="0" vertical="center" wrapText="1"/>
    </xf>
    <xf borderId="10" fillId="8" fontId="10" numFmtId="0" xfId="0" applyAlignment="1" applyBorder="1" applyFill="1" applyFont="1">
      <alignment shrinkToFit="0" vertical="bottom" wrapText="1"/>
    </xf>
    <xf borderId="29" fillId="8" fontId="8" numFmtId="0" xfId="0" applyAlignment="1" applyBorder="1" applyFill="1" applyFont="1">
      <alignment shrinkToFit="0" vertical="bottom" wrapText="1"/>
    </xf>
    <xf borderId="24" fillId="21" fontId="1" numFmtId="0" xfId="0" applyAlignment="1" applyBorder="1" applyFill="1" applyFont="1">
      <alignment horizontal="center" vertical="bottom"/>
    </xf>
    <xf borderId="1" fillId="8" fontId="8" numFmtId="0" xfId="0" applyAlignment="1" applyBorder="1" applyFill="1" applyFont="1">
      <alignment horizontal="left" shrinkToFit="0" vertical="bottom" wrapText="1"/>
    </xf>
    <xf borderId="24" fillId="22" fontId="1" numFmtId="0" xfId="0" applyAlignment="1" applyBorder="1" applyFill="1" applyFont="1">
      <alignment horizontal="center" vertical="bottom"/>
    </xf>
    <xf borderId="30" fillId="8" fontId="9" numFmtId="0" xfId="0" applyAlignment="1" applyBorder="1" applyFill="1" applyFont="1">
      <alignment horizontal="center" vertical="bottom"/>
    </xf>
    <xf borderId="30" fillId="6" fontId="8" numFmtId="0" xfId="0" applyAlignment="1" applyBorder="1" applyFill="1" applyFont="1">
      <alignment horizontal="center" vertical="bottom"/>
    </xf>
    <xf borderId="30" fillId="6" fontId="20" numFmtId="0" xfId="0" applyAlignment="1" applyBorder="1" applyFill="1" applyFont="1">
      <alignment horizontal="center" shrinkToFit="0" vertical="bottom" wrapText="1"/>
    </xf>
    <xf borderId="40" fillId="8" fontId="8" numFmtId="0" xfId="0" applyAlignment="1" applyBorder="1" applyFill="1" applyFont="1">
      <alignment horizontal="left" shrinkToFit="0" vertical="bottom" wrapText="1"/>
    </xf>
    <xf borderId="0" fillId="0" fontId="1" numFmtId="0" xfId="0" applyAlignment="1" applyFont="1">
      <alignment horizontal="center" shrinkToFit="0" vertical="center" wrapText="1"/>
    </xf>
    <xf borderId="0" fillId="0" fontId="38" numFmtId="49" xfId="0" applyAlignment="1" applyFont="1" applyNumberFormat="1">
      <alignment horizontal="center" shrinkToFit="0" vertical="center" wrapText="1"/>
    </xf>
    <xf borderId="0" fillId="0" fontId="1" numFmtId="0" xfId="0" applyAlignment="1" applyFont="1">
      <alignment horizontal="center" vertical="center"/>
    </xf>
    <xf borderId="0" fillId="0" fontId="1" numFmtId="49" xfId="0" applyAlignment="1" applyFont="1" applyNumberFormat="1">
      <alignment horizontal="center" shrinkToFit="0" vertical="center" wrapText="1"/>
    </xf>
    <xf borderId="30" fillId="23" fontId="8" numFmtId="0" xfId="0" applyAlignment="1" applyBorder="1" applyFill="1" applyFont="1">
      <alignment horizontal="center" shrinkToFit="0" vertical="bottom" wrapText="1"/>
    </xf>
    <xf borderId="1" fillId="21" fontId="1" numFmtId="0" xfId="0" applyAlignment="1" applyBorder="1" applyFill="1" applyFont="1">
      <alignment horizontal="center" vertical="center"/>
    </xf>
    <xf borderId="26" fillId="8" fontId="8" numFmtId="0" xfId="0" applyAlignment="1" applyBorder="1" applyFill="1" applyFont="1">
      <alignment horizontal="left" shrinkToFit="0" vertical="bottom" wrapText="1"/>
    </xf>
    <xf borderId="1" fillId="21" fontId="1" numFmtId="49" xfId="0" applyAlignment="1" applyBorder="1" applyFill="1" applyFont="1" applyNumberFormat="1">
      <alignment horizontal="center" vertical="center"/>
    </xf>
    <xf borderId="1" fillId="22" fontId="1" numFmtId="0" xfId="0" applyAlignment="1" applyBorder="1" applyFill="1" applyFont="1">
      <alignment horizontal="center" vertical="center"/>
    </xf>
    <xf borderId="1" fillId="22" fontId="1" numFmtId="49" xfId="0" applyAlignment="1" applyBorder="1" applyFill="1" applyFont="1" applyNumberFormat="1">
      <alignment horizontal="center" vertical="center"/>
    </xf>
    <xf borderId="1" fillId="24" fontId="1" numFmtId="0" xfId="0" applyAlignment="1" applyBorder="1" applyFill="1" applyFont="1">
      <alignment horizontal="center" vertical="center"/>
    </xf>
    <xf borderId="22" fillId="8" fontId="8" numFmtId="0" xfId="0" applyAlignment="1" applyBorder="1" applyFill="1" applyFont="1">
      <alignment horizontal="center" vertical="bottom"/>
    </xf>
    <xf borderId="22" fillId="8" fontId="8" numFmtId="166" xfId="0" applyAlignment="1" applyBorder="1" applyFill="1" applyFont="1" applyNumberFormat="1">
      <alignment horizontal="center" shrinkToFit="0" vertical="center" wrapText="1"/>
    </xf>
    <xf borderId="22" fillId="8" fontId="8" numFmtId="166" xfId="0" applyAlignment="1" applyBorder="1" applyFill="1" applyFont="1" applyNumberFormat="1">
      <alignment horizontal="center" vertical="bottom"/>
    </xf>
    <xf borderId="22" fillId="23" fontId="8" numFmtId="0" xfId="0" applyAlignment="1" applyBorder="1" applyFill="1" applyFont="1">
      <alignment horizontal="center" shrinkToFit="0" vertical="bottom" wrapText="1"/>
    </xf>
    <xf borderId="22" fillId="8" fontId="8" numFmtId="0" xfId="0" applyAlignment="1" applyBorder="1" applyFill="1" applyFont="1">
      <alignment horizontal="center" shrinkToFit="0" vertical="bottom" wrapText="1"/>
    </xf>
    <xf borderId="1" fillId="25" fontId="10" numFmtId="0" xfId="0" applyAlignment="1" applyBorder="1" applyFill="1" applyFont="1">
      <alignment horizontal="center" vertical="center"/>
    </xf>
    <xf borderId="22" fillId="8" fontId="15" numFmtId="0" xfId="0" applyAlignment="1" applyBorder="1" applyFill="1" applyFont="1">
      <alignment shrinkToFit="0" vertical="bottom" wrapText="1"/>
    </xf>
    <xf borderId="10" fillId="13" fontId="9" numFmtId="0" xfId="0" applyAlignment="1" applyBorder="1" applyFill="1" applyFont="1">
      <alignment horizontal="center" readingOrder="0" shrinkToFit="0" vertical="center" wrapText="1"/>
    </xf>
    <xf borderId="1" fillId="25" fontId="35" numFmtId="0" xfId="0" applyAlignment="1" applyBorder="1" applyFill="1" applyFont="1">
      <alignment horizontal="center" vertical="center"/>
    </xf>
    <xf borderId="41" fillId="8" fontId="8" numFmtId="0" xfId="0" applyAlignment="1" applyBorder="1" applyFill="1" applyFont="1">
      <alignment shrinkToFit="0" vertical="bottom" wrapText="1"/>
    </xf>
    <xf borderId="1" fillId="25" fontId="10" numFmtId="166" xfId="0" applyAlignment="1" applyBorder="1" applyFill="1" applyFont="1" applyNumberFormat="1">
      <alignment horizontal="center" vertical="center"/>
    </xf>
    <xf borderId="28" fillId="0" fontId="8" numFmtId="0" xfId="0" applyAlignment="1" applyBorder="1" applyFont="1">
      <alignment horizontal="center" vertical="bottom"/>
    </xf>
    <xf borderId="1" fillId="13" fontId="10" numFmtId="0" xfId="0" applyAlignment="1" applyBorder="1" applyFill="1" applyFont="1">
      <alignment vertical="bottom"/>
    </xf>
    <xf borderId="1" fillId="25" fontId="10" numFmtId="0" xfId="0" applyAlignment="1" applyBorder="1" applyFill="1" applyFont="1">
      <alignment horizontal="left" vertical="center"/>
    </xf>
    <xf borderId="28" fillId="0" fontId="8" numFmtId="166" xfId="0" applyAlignment="1" applyBorder="1" applyFont="1" applyNumberFormat="1">
      <alignment horizontal="center" shrinkToFit="0" vertical="center" wrapText="1"/>
    </xf>
    <xf borderId="1" fillId="25" fontId="10" numFmtId="0" xfId="0" applyAlignment="1" applyBorder="1" applyFill="1" applyFont="1">
      <alignment horizontal="left" shrinkToFit="0" vertical="center" wrapText="1"/>
    </xf>
    <xf borderId="1" fillId="13" fontId="10" numFmtId="0" xfId="0" applyAlignment="1" applyBorder="1" applyFill="1" applyFont="1">
      <alignment horizontal="center" vertical="bottom"/>
    </xf>
    <xf borderId="28" fillId="0" fontId="8" numFmtId="166" xfId="0" applyAlignment="1" applyBorder="1" applyFont="1" applyNumberFormat="1">
      <alignment horizontal="center" vertical="bottom"/>
    </xf>
    <xf borderId="10" fillId="25" fontId="10" numFmtId="0" xfId="0" applyAlignment="1" applyBorder="1" applyFill="1" applyFont="1">
      <alignment horizontal="center" vertical="center"/>
    </xf>
    <xf borderId="32" fillId="23" fontId="8" numFmtId="0" xfId="0" applyAlignment="1" applyBorder="1" applyFill="1" applyFont="1">
      <alignment horizontal="center" shrinkToFit="0" vertical="bottom" wrapText="1"/>
    </xf>
    <xf borderId="28" fillId="0" fontId="8" numFmtId="0" xfId="0" applyAlignment="1" applyBorder="1" applyFont="1">
      <alignment horizontal="center" shrinkToFit="0" vertical="bottom" wrapText="1"/>
    </xf>
    <xf borderId="32" fillId="8" fontId="15" numFmtId="0" xfId="0" applyAlignment="1" applyBorder="1" applyFill="1" applyFont="1">
      <alignment shrinkToFit="0" vertical="bottom" wrapText="1"/>
    </xf>
    <xf borderId="10" fillId="8" fontId="10" numFmtId="0" xfId="0" applyAlignment="1" applyBorder="1" applyFill="1" applyFont="1">
      <alignment horizontal="center" vertical="center"/>
    </xf>
    <xf borderId="23" fillId="0" fontId="8" numFmtId="0" xfId="0" applyAlignment="1" applyBorder="1" applyFont="1">
      <alignment horizontal="center" shrinkToFit="0" vertical="bottom" wrapText="1"/>
    </xf>
    <xf borderId="10" fillId="6" fontId="10" numFmtId="0" xfId="0" applyAlignment="1" applyBorder="1" applyFill="1" applyFont="1">
      <alignment horizontal="center" vertical="center"/>
    </xf>
    <xf borderId="34" fillId="0" fontId="8" numFmtId="0" xfId="0" applyAlignment="1" applyBorder="1" applyFont="1">
      <alignment shrinkToFit="0" vertical="bottom" wrapText="1"/>
    </xf>
    <xf borderId="1" fillId="8" fontId="10" numFmtId="0" xfId="0" applyAlignment="1" applyBorder="1" applyFill="1" applyFont="1">
      <alignment horizontal="center" vertical="center"/>
    </xf>
    <xf borderId="17" fillId="0" fontId="8" numFmtId="0" xfId="0" applyAlignment="1" applyBorder="1" applyFont="1">
      <alignment horizontal="center" vertical="bottom"/>
    </xf>
    <xf borderId="17" fillId="0" fontId="8" numFmtId="166" xfId="0" applyAlignment="1" applyBorder="1" applyFont="1" applyNumberFormat="1">
      <alignment horizontal="center" shrinkToFit="0" vertical="center" wrapText="1"/>
    </xf>
    <xf borderId="17" fillId="0" fontId="8" numFmtId="166" xfId="0" applyAlignment="1" applyBorder="1" applyFont="1" applyNumberFormat="1">
      <alignment horizontal="center" vertical="bottom"/>
    </xf>
    <xf borderId="15" fillId="0" fontId="8" numFmtId="0" xfId="0" applyAlignment="1" applyBorder="1" applyFont="1">
      <alignment horizontal="center" shrinkToFit="0" vertical="bottom" wrapText="1"/>
    </xf>
    <xf borderId="29" fillId="8" fontId="35" numFmtId="0" xfId="0" applyAlignment="1" applyBorder="1" applyFill="1" applyFont="1">
      <alignment horizontal="center" shrinkToFit="0" vertical="bottom" wrapText="1"/>
    </xf>
    <xf borderId="1" fillId="25" fontId="10" numFmtId="166" xfId="0" applyAlignment="1" applyBorder="1" applyFill="1" applyFont="1" applyNumberFormat="1">
      <alignment vertical="center"/>
    </xf>
    <xf borderId="1" fillId="25" fontId="10" numFmtId="0" xfId="0" applyAlignment="1" applyBorder="1" applyFill="1" applyFont="1">
      <alignment vertical="center"/>
    </xf>
    <xf borderId="1" fillId="25" fontId="10" numFmtId="0" xfId="0" applyAlignment="1" applyBorder="1" applyFill="1" applyFont="1">
      <alignment shrinkToFit="0" vertical="center" wrapText="1"/>
    </xf>
    <xf borderId="10" fillId="25" fontId="10" numFmtId="0" xfId="0" applyAlignment="1" applyBorder="1" applyFill="1" applyFont="1">
      <alignment vertical="center"/>
    </xf>
    <xf borderId="29" fillId="8" fontId="8" numFmtId="0" xfId="0" applyAlignment="1" applyBorder="1" applyFill="1" applyFont="1">
      <alignment horizontal="center" shrinkToFit="0" vertical="bottom" wrapText="1"/>
    </xf>
    <xf borderId="10" fillId="8" fontId="10" numFmtId="0" xfId="0" applyAlignment="1" applyBorder="1" applyFill="1" applyFont="1">
      <alignment vertical="center"/>
    </xf>
    <xf borderId="29" fillId="8" fontId="34" numFmtId="0" xfId="0" applyAlignment="1" applyBorder="1" applyFill="1" applyFont="1">
      <alignment horizontal="center" shrinkToFit="0" vertical="bottom" wrapText="1"/>
    </xf>
    <xf borderId="1" fillId="8" fontId="10" numFmtId="0" xfId="0" applyAlignment="1" applyBorder="1" applyFill="1" applyFont="1">
      <alignment vertical="center"/>
    </xf>
    <xf borderId="17" fillId="0" fontId="15" numFmtId="0" xfId="0" applyAlignment="1" applyBorder="1" applyFont="1">
      <alignment shrinkToFit="0" vertical="bottom" wrapText="1"/>
    </xf>
    <xf borderId="1" fillId="21" fontId="10" numFmtId="0" xfId="0" applyAlignment="1" applyBorder="1" applyFill="1" applyFont="1">
      <alignment horizontal="center" vertical="center"/>
    </xf>
    <xf borderId="1" fillId="21" fontId="35" numFmtId="0" xfId="0" applyAlignment="1" applyBorder="1" applyFill="1" applyFont="1">
      <alignment horizontal="center" vertical="center"/>
    </xf>
    <xf borderId="1" fillId="21" fontId="10" numFmtId="166" xfId="0" applyAlignment="1" applyBorder="1" applyFill="1" applyFont="1" applyNumberFormat="1">
      <alignment horizontal="center" vertical="center"/>
    </xf>
    <xf borderId="1" fillId="21" fontId="10" numFmtId="0" xfId="0" applyAlignment="1" applyBorder="1" applyFill="1" applyFont="1">
      <alignment vertical="center"/>
    </xf>
    <xf borderId="1" fillId="21" fontId="10" numFmtId="0" xfId="0" applyAlignment="1" applyBorder="1" applyFill="1" applyFont="1">
      <alignment shrinkToFit="0" vertical="center" wrapText="1"/>
    </xf>
    <xf borderId="30" fillId="10" fontId="8" numFmtId="0" xfId="0" applyAlignment="1" applyBorder="1" applyFill="1" applyFont="1">
      <alignment horizontal="center" shrinkToFit="0" vertical="bottom" wrapText="1"/>
    </xf>
    <xf borderId="10" fillId="21" fontId="10" numFmtId="0" xfId="0" applyAlignment="1" applyBorder="1" applyFill="1" applyFont="1">
      <alignment vertical="center"/>
    </xf>
    <xf borderId="10" fillId="0" fontId="10" numFmtId="165" xfId="0" applyAlignment="1" applyBorder="1" applyFont="1" applyNumberFormat="1">
      <alignment vertical="bottom"/>
    </xf>
    <xf borderId="30" fillId="8" fontId="39" numFmtId="0" xfId="0" applyAlignment="1" applyBorder="1" applyFill="1" applyFont="1">
      <alignment horizontal="center" shrinkToFit="0" vertical="bottom" wrapText="1"/>
    </xf>
    <xf borderId="30" fillId="8" fontId="8" numFmtId="165" xfId="0" applyAlignment="1" applyBorder="1" applyFill="1" applyFont="1" applyNumberFormat="1">
      <alignment horizontal="center" vertical="bottom"/>
    </xf>
    <xf borderId="30" fillId="8" fontId="10" numFmtId="0" xfId="0" applyAlignment="1" applyBorder="1" applyFill="1" applyFont="1">
      <alignment horizontal="center" shrinkToFit="0" vertical="bottom" wrapText="1"/>
    </xf>
    <xf borderId="32" fillId="8" fontId="8" numFmtId="166" xfId="0" applyAlignment="1" applyBorder="1" applyFill="1" applyFont="1" applyNumberFormat="1">
      <alignment horizontal="center" vertical="bottom"/>
    </xf>
    <xf borderId="1" fillId="25" fontId="10" numFmtId="0" xfId="0" applyAlignment="1" applyBorder="1" applyFill="1" applyFont="1">
      <alignment vertical="bottom"/>
    </xf>
    <xf borderId="30" fillId="6" fontId="10" numFmtId="0" xfId="0" applyAlignment="1" applyBorder="1" applyFill="1" applyFont="1">
      <alignment horizontal="center" shrinkToFit="0" vertical="bottom" wrapText="1"/>
    </xf>
    <xf borderId="10" fillId="0" fontId="40" numFmtId="0" xfId="0" applyAlignment="1" applyBorder="1" applyFont="1">
      <alignment horizontal="center" vertical="bottom"/>
    </xf>
    <xf borderId="1" fillId="25" fontId="10" numFmtId="167" xfId="0" applyAlignment="1" applyBorder="1" applyFill="1" applyFont="1" applyNumberFormat="1">
      <alignment vertical="center"/>
    </xf>
    <xf borderId="30" fillId="8" fontId="18" numFmtId="0" xfId="0" applyAlignment="1" applyBorder="1" applyFill="1" applyFont="1">
      <alignment horizontal="center" vertical="bottom"/>
    </xf>
    <xf borderId="1" fillId="25" fontId="41" numFmtId="0" xfId="0" applyAlignment="1" applyBorder="1" applyFill="1" applyFont="1">
      <alignment horizontal="center" vertical="center"/>
    </xf>
    <xf borderId="10" fillId="6" fontId="10" numFmtId="0" xfId="0" applyAlignment="1" applyBorder="1" applyFill="1" applyFont="1">
      <alignment vertical="center"/>
    </xf>
    <xf borderId="35" fillId="26" fontId="8" numFmtId="0" xfId="0" applyAlignment="1" applyBorder="1" applyFill="1" applyFont="1">
      <alignment shrinkToFit="0" vertical="bottom" wrapText="1"/>
    </xf>
    <xf borderId="0" fillId="0" fontId="10" numFmtId="0" xfId="0" applyAlignment="1" applyFont="1">
      <alignment horizontal="center" readingOrder="0" vertical="bottom"/>
    </xf>
    <xf borderId="0" fillId="0" fontId="20" numFmtId="0" xfId="0" applyAlignment="1" applyFont="1">
      <alignment horizontal="center" vertical="bottom"/>
    </xf>
    <xf borderId="1" fillId="25" fontId="1" numFmtId="166" xfId="0" applyAlignment="1" applyBorder="1" applyFill="1" applyFont="1" applyNumberFormat="1">
      <alignment horizontal="center" vertical="center"/>
    </xf>
    <xf borderId="1" fillId="25" fontId="1" numFmtId="0" xfId="0" applyAlignment="1" applyBorder="1" applyFill="1" applyFont="1">
      <alignment vertical="center"/>
    </xf>
    <xf borderId="1" fillId="25" fontId="1" numFmtId="0" xfId="0" applyAlignment="1" applyBorder="1" applyFill="1" applyFont="1">
      <alignment shrinkToFit="0" vertical="center" wrapText="1"/>
    </xf>
    <xf borderId="17" fillId="0" fontId="10" numFmtId="0" xfId="0" applyAlignment="1" applyBorder="1" applyFont="1">
      <alignment horizontal="center" vertical="bottom"/>
    </xf>
    <xf borderId="0" fillId="0" fontId="8" numFmtId="0" xfId="0" applyAlignment="1" applyFont="1">
      <alignment horizontal="center" shrinkToFit="0" vertical="bottom" wrapText="1"/>
    </xf>
    <xf borderId="30" fillId="8" fontId="39" numFmtId="0" xfId="0" applyAlignment="1" applyBorder="1" applyFill="1" applyFont="1">
      <alignment horizontal="center" vertical="bottom"/>
    </xf>
    <xf borderId="10" fillId="0" fontId="34" numFmtId="0" xfId="0" applyAlignment="1" applyBorder="1" applyFont="1">
      <alignment horizontal="center" shrinkToFit="0" vertical="bottom" wrapText="1"/>
    </xf>
    <xf borderId="17" fillId="0" fontId="8" numFmtId="0" xfId="0" applyAlignment="1" applyBorder="1" applyFont="1">
      <alignment shrinkToFit="0" vertical="bottom" wrapText="1"/>
    </xf>
    <xf borderId="30" fillId="8" fontId="34" numFmtId="0" xfId="0" applyAlignment="1" applyBorder="1" applyFill="1" applyFont="1">
      <alignment horizontal="center" vertical="bottom"/>
    </xf>
    <xf borderId="30" fillId="8" fontId="42" numFmtId="0" xfId="0" applyAlignment="1" applyBorder="1" applyFill="1" applyFont="1">
      <alignment horizontal="center" shrinkToFit="0" vertical="bottom" wrapText="1"/>
    </xf>
    <xf borderId="2" fillId="8" fontId="8" numFmtId="0" xfId="0" applyAlignment="1" applyBorder="1" applyFill="1" applyFont="1">
      <alignment horizontal="center" shrinkToFit="0" vertical="bottom" wrapText="1"/>
    </xf>
    <xf borderId="29" fillId="8" fontId="15" numFmtId="0" xfId="0" applyAlignment="1" applyBorder="1" applyFill="1" applyFont="1">
      <alignment shrinkToFit="0" vertical="bottom" wrapText="1"/>
    </xf>
    <xf borderId="10" fillId="8" fontId="10" numFmtId="0" xfId="0" applyAlignment="1" applyBorder="1" applyFill="1" applyFont="1">
      <alignment horizontal="center" shrinkToFit="0" vertical="bottom" wrapText="1"/>
    </xf>
    <xf borderId="20" fillId="27" fontId="43" numFmtId="0" xfId="0" applyAlignment="1" applyBorder="1" applyFill="1" applyFont="1">
      <alignment horizontal="center" shrinkToFit="0" vertical="center" wrapText="1"/>
    </xf>
    <xf borderId="32" fillId="8" fontId="34" numFmtId="0" xfId="0" applyAlignment="1" applyBorder="1" applyFill="1" applyFont="1">
      <alignment horizontal="center" shrinkToFit="0" vertical="bottom" wrapText="1"/>
    </xf>
    <xf borderId="32" fillId="8" fontId="8" numFmtId="0" xfId="0" applyAlignment="1" applyBorder="1" applyFill="1" applyFont="1">
      <alignment shrinkToFit="0" vertical="bottom" wrapText="1"/>
    </xf>
    <xf borderId="10" fillId="13" fontId="9" numFmtId="165" xfId="0" applyAlignment="1" applyBorder="1" applyFill="1" applyFont="1" applyNumberFormat="1">
      <alignment horizontal="center" vertical="center"/>
    </xf>
    <xf borderId="10" fillId="0" fontId="8" numFmtId="166" xfId="0" applyAlignment="1" applyBorder="1" applyFont="1" applyNumberFormat="1">
      <alignment shrinkToFit="0" vertical="center" wrapText="1"/>
    </xf>
    <xf borderId="39" fillId="27" fontId="43" numFmtId="0" xfId="0" applyAlignment="1" applyBorder="1" applyFill="1" applyFont="1">
      <alignment horizontal="center" shrinkToFit="0" vertical="center" wrapText="1"/>
    </xf>
    <xf borderId="10" fillId="0" fontId="8" numFmtId="0" xfId="0" applyAlignment="1" applyBorder="1" applyFont="1">
      <alignment shrinkToFit="0" vertical="bottom" wrapText="1"/>
    </xf>
    <xf borderId="20" fillId="28" fontId="44" numFmtId="0" xfId="0" applyAlignment="1" applyBorder="1" applyFill="1" applyFont="1">
      <alignment horizontal="center" shrinkToFit="0" vertical="center" wrapText="1"/>
    </xf>
    <xf borderId="39" fillId="28" fontId="44" numFmtId="0" xfId="0" applyAlignment="1" applyBorder="1" applyFill="1" applyFont="1">
      <alignment horizontal="center" shrinkToFit="0" vertical="center" wrapText="1"/>
    </xf>
    <xf borderId="23" fillId="0" fontId="8" numFmtId="0" xfId="0" applyAlignment="1" applyBorder="1" applyFont="1">
      <alignment horizontal="left" vertical="bottom"/>
    </xf>
    <xf borderId="34" fillId="0" fontId="5" numFmtId="0" xfId="0" applyAlignment="1" applyBorder="1" applyFont="1">
      <alignment vertical="center"/>
    </xf>
    <xf borderId="10" fillId="28" fontId="44" numFmtId="0" xfId="0" applyAlignment="1" applyBorder="1" applyFill="1" applyFont="1">
      <alignment horizontal="center" shrinkToFit="0" vertical="center" wrapText="1"/>
    </xf>
    <xf borderId="10" fillId="19" fontId="44" numFmtId="0" xfId="0" applyAlignment="1" applyBorder="1" applyFill="1" applyFont="1">
      <alignment horizontal="center" shrinkToFit="0" vertical="center" wrapText="1"/>
    </xf>
    <xf borderId="10" fillId="10" fontId="8" numFmtId="165" xfId="0" applyAlignment="1" applyBorder="1" applyFill="1" applyFont="1" applyNumberFormat="1">
      <alignment horizontal="center" readingOrder="0" vertical="center"/>
    </xf>
    <xf borderId="10" fillId="0" fontId="45" numFmtId="0" xfId="0" applyAlignment="1" applyBorder="1" applyFont="1">
      <alignment horizontal="center" shrinkToFit="0" vertical="bottom" wrapText="1"/>
    </xf>
    <xf borderId="10" fillId="0" fontId="44" numFmtId="0" xfId="0" applyAlignment="1" applyBorder="1" applyFont="1">
      <alignment horizontal="center" shrinkToFit="0" vertical="center" wrapText="1"/>
    </xf>
    <xf borderId="10" fillId="0" fontId="20" numFmtId="166" xfId="0" applyAlignment="1" applyBorder="1" applyFont="1" applyNumberFormat="1">
      <alignment shrinkToFit="0" vertical="center" wrapText="1"/>
    </xf>
    <xf borderId="10" fillId="0" fontId="20" numFmtId="0" xfId="0" applyAlignment="1" applyBorder="1" applyFont="1">
      <alignment horizontal="center" vertical="bottom"/>
    </xf>
    <xf borderId="10" fillId="0" fontId="20" numFmtId="0" xfId="0" applyAlignment="1" applyBorder="1" applyFont="1">
      <alignment shrinkToFit="0" vertical="bottom" wrapText="1"/>
    </xf>
    <xf borderId="10" fillId="0" fontId="23" numFmtId="0" xfId="0" applyAlignment="1" applyBorder="1" applyFont="1">
      <alignment shrinkToFit="0" vertical="bottom" wrapText="1"/>
    </xf>
    <xf borderId="10" fillId="10" fontId="8" numFmtId="0" xfId="0" applyAlignment="1" applyBorder="1" applyFill="1" applyFont="1">
      <alignment horizontal="center" shrinkToFit="0" vertical="center" wrapText="1"/>
    </xf>
    <xf borderId="10" fillId="8" fontId="8" numFmtId="165" xfId="0" applyAlignment="1" applyBorder="1" applyFill="1" applyFont="1" applyNumberFormat="1">
      <alignment horizontal="left" vertical="center"/>
    </xf>
    <xf borderId="10" fillId="8" fontId="10" numFmtId="0" xfId="0" applyAlignment="1" applyBorder="1" applyFill="1" applyFont="1">
      <alignment horizontal="left" vertical="bottom"/>
    </xf>
    <xf borderId="30" fillId="8" fontId="46" numFmtId="0" xfId="0" applyAlignment="1" applyBorder="1" applyFill="1" applyFont="1">
      <alignment horizontal="center" shrinkToFit="0" vertical="bottom" wrapText="1"/>
    </xf>
    <xf borderId="10" fillId="8" fontId="44" numFmtId="0" xfId="0" applyAlignment="1" applyBorder="1" applyFill="1" applyFont="1">
      <alignment horizontal="center" shrinkToFit="0" vertical="center" wrapText="1"/>
    </xf>
    <xf borderId="1" fillId="25" fontId="41" numFmtId="166" xfId="0" applyAlignment="1" applyBorder="1" applyFill="1" applyFont="1" applyNumberFormat="1">
      <alignment horizontal="center" vertical="center"/>
    </xf>
    <xf borderId="10" fillId="0" fontId="23" numFmtId="0" xfId="0" applyAlignment="1" applyBorder="1" applyFont="1">
      <alignment horizontal="center" shrinkToFit="0" vertical="bottom" wrapText="1"/>
    </xf>
    <xf borderId="1" fillId="25" fontId="10" numFmtId="168" xfId="0" applyAlignment="1" applyBorder="1" applyFill="1" applyFont="1" applyNumberFormat="1">
      <alignment vertical="center"/>
    </xf>
    <xf borderId="10" fillId="0" fontId="10" numFmtId="0" xfId="0" applyAlignment="1" applyBorder="1" applyFont="1">
      <alignment shrinkToFit="0" vertical="center" wrapText="1"/>
    </xf>
    <xf borderId="0" fillId="0" fontId="8" numFmtId="0" xfId="0" applyAlignment="1" applyFont="1">
      <alignment shrinkToFit="0" vertical="bottom" wrapText="1"/>
    </xf>
    <xf borderId="10" fillId="26" fontId="23" numFmtId="0" xfId="0" applyAlignment="1" applyBorder="1" applyFill="1" applyFont="1">
      <alignment shrinkToFit="0" vertical="bottom" wrapText="1"/>
    </xf>
    <xf borderId="1" fillId="8" fontId="18" numFmtId="0" xfId="0" applyAlignment="1" applyBorder="1" applyFill="1" applyFont="1">
      <alignment horizontal="center" readingOrder="0" shrinkToFit="0" vertical="center" wrapText="1"/>
    </xf>
    <xf borderId="10" fillId="0" fontId="23" numFmtId="0" xfId="0" applyAlignment="1" applyBorder="1" applyFont="1">
      <alignment horizontal="center" vertical="bottom"/>
    </xf>
    <xf borderId="10" fillId="0" fontId="20" numFmtId="166" xfId="0" applyAlignment="1" applyBorder="1" applyFont="1" applyNumberFormat="1">
      <alignment horizontal="center" shrinkToFit="0" vertical="center" wrapText="1"/>
    </xf>
    <xf borderId="10" fillId="0" fontId="46" numFmtId="0" xfId="0" applyAlignment="1" applyBorder="1" applyFont="1">
      <alignment horizontal="center" shrinkToFit="0" vertical="bottom" wrapText="1"/>
    </xf>
    <xf borderId="10" fillId="0" fontId="20" numFmtId="0" xfId="0" applyAlignment="1" applyBorder="1" applyFont="1">
      <alignment horizontal="center" shrinkToFit="0" vertical="bottom" wrapText="1"/>
    </xf>
    <xf borderId="10" fillId="0" fontId="47" numFmtId="0" xfId="0" applyAlignment="1" applyBorder="1" applyFont="1">
      <alignment horizontal="center" shrinkToFit="0" vertical="bottom" wrapText="1"/>
    </xf>
    <xf borderId="10" fillId="26" fontId="20" numFmtId="0" xfId="0" applyAlignment="1" applyBorder="1" applyFill="1" applyFont="1">
      <alignment shrinkToFit="0" vertical="bottom" wrapText="1"/>
    </xf>
    <xf borderId="10" fillId="0" fontId="15" numFmtId="0" xfId="0" applyAlignment="1" applyBorder="1" applyFont="1">
      <alignment horizontal="center" shrinkToFit="0" vertical="bottom" wrapText="1"/>
    </xf>
    <xf borderId="10" fillId="0" fontId="48" numFmtId="0" xfId="0" applyAlignment="1" applyBorder="1" applyFont="1">
      <alignment horizontal="center" shrinkToFit="0" vertical="bottom" wrapText="1"/>
    </xf>
    <xf borderId="10" fillId="27" fontId="43" numFmtId="0" xfId="0" applyAlignment="1" applyBorder="1" applyFill="1" applyFont="1">
      <alignment horizontal="center" shrinkToFit="0" vertical="center" wrapText="1"/>
    </xf>
    <xf borderId="10" fillId="0" fontId="8" numFmtId="168" xfId="0" applyAlignment="1" applyBorder="1" applyFont="1" applyNumberFormat="1">
      <alignment shrinkToFit="0" vertical="center" wrapText="1"/>
    </xf>
    <xf borderId="10" fillId="0" fontId="15" numFmtId="0" xfId="0" applyAlignment="1" applyBorder="1" applyFont="1">
      <alignment shrinkToFit="0" vertical="bottom" wrapText="1"/>
    </xf>
    <xf borderId="0" fillId="0" fontId="38" numFmtId="0" xfId="0" applyAlignment="1" applyFont="1">
      <alignment vertical="center"/>
    </xf>
    <xf borderId="0" fillId="0" fontId="1" numFmtId="0" xfId="0" applyAlignment="1" applyFont="1">
      <alignment vertical="center"/>
    </xf>
    <xf borderId="10" fillId="0" fontId="10" numFmtId="0" xfId="0" applyAlignment="1" applyBorder="1" applyFont="1">
      <alignment horizontal="center" shrinkToFit="0" vertical="bottom" wrapText="1"/>
    </xf>
    <xf borderId="10" fillId="0" fontId="32" numFmtId="0" xfId="0" applyAlignment="1" applyBorder="1" applyFont="1">
      <alignment shrinkToFit="0" vertical="bottom" wrapText="1"/>
    </xf>
    <xf borderId="10" fillId="25" fontId="10" numFmtId="166" xfId="0" applyAlignment="1" applyBorder="1" applyFill="1" applyFont="1" applyNumberFormat="1">
      <alignment vertical="center"/>
    </xf>
    <xf borderId="10" fillId="25" fontId="10" numFmtId="0" xfId="0" applyAlignment="1" applyBorder="1" applyFill="1" applyFont="1">
      <alignment shrinkToFit="0" vertical="center" wrapText="1"/>
    </xf>
    <xf borderId="0" fillId="0" fontId="32" numFmtId="0" xfId="0" applyAlignment="1" applyFont="1">
      <alignment vertical="bottom"/>
    </xf>
    <xf borderId="10" fillId="13" fontId="10" numFmtId="0" xfId="0" applyAlignment="1" applyBorder="1" applyFill="1" applyFont="1">
      <alignment vertical="center"/>
    </xf>
    <xf borderId="10" fillId="0" fontId="20" numFmtId="166" xfId="0" applyAlignment="1" applyBorder="1" applyFont="1" applyNumberFormat="1">
      <alignment horizontal="center" readingOrder="0" vertical="bottom"/>
    </xf>
    <xf borderId="0" fillId="0" fontId="8" numFmtId="0" xfId="0" applyAlignment="1" applyFont="1">
      <alignment horizontal="left" shrinkToFit="0" vertical="bottom" wrapText="1"/>
    </xf>
    <xf borderId="10" fillId="8" fontId="10" numFmtId="166" xfId="0" applyAlignment="1" applyBorder="1" applyFill="1" applyFont="1" applyNumberFormat="1">
      <alignment horizontal="center" vertical="center"/>
    </xf>
    <xf borderId="10" fillId="8" fontId="10" numFmtId="166" xfId="0" applyAlignment="1" applyBorder="1" applyFill="1" applyFont="1" applyNumberFormat="1">
      <alignment vertical="center"/>
    </xf>
    <xf borderId="10" fillId="8" fontId="10" numFmtId="0" xfId="0" applyAlignment="1" applyBorder="1" applyFill="1" applyFont="1">
      <alignment shrinkToFit="0" vertical="center" wrapText="1"/>
    </xf>
    <xf borderId="0" fillId="0" fontId="23" numFmtId="0" xfId="0" applyAlignment="1" applyFont="1">
      <alignment vertical="bottom"/>
    </xf>
    <xf borderId="39" fillId="27" fontId="49" numFmtId="0" xfId="0" applyAlignment="1" applyBorder="1" applyFill="1" applyFont="1">
      <alignment horizontal="center" shrinkToFit="0" vertical="center" wrapText="1"/>
    </xf>
    <xf borderId="10" fillId="25" fontId="10" numFmtId="166" xfId="0" applyAlignment="1" applyBorder="1" applyFill="1" applyFont="1" applyNumberFormat="1">
      <alignment horizontal="center" vertical="center"/>
    </xf>
    <xf borderId="39" fillId="28" fontId="50" numFmtId="0" xfId="0" applyAlignment="1" applyBorder="1" applyFill="1" applyFont="1">
      <alignment horizontal="center" shrinkToFit="0" vertical="center" wrapText="1"/>
    </xf>
    <xf borderId="20" fillId="28" fontId="50" numFmtId="0" xfId="0" applyAlignment="1" applyBorder="1" applyFill="1" applyFont="1">
      <alignment horizontal="center" shrinkToFit="0" vertical="center" wrapText="1"/>
    </xf>
    <xf borderId="42" fillId="0" fontId="5" numFmtId="0" xfId="0" applyAlignment="1" applyBorder="1" applyFont="1">
      <alignment vertical="center"/>
    </xf>
    <xf borderId="10" fillId="28" fontId="50" numFmtId="0" xfId="0" applyAlignment="1" applyBorder="1" applyFill="1" applyFont="1">
      <alignment horizontal="center" shrinkToFit="0" vertical="center" wrapText="1"/>
    </xf>
    <xf borderId="43" fillId="28" fontId="50" numFmtId="0" xfId="0" applyAlignment="1" applyBorder="1" applyFill="1" applyFont="1">
      <alignment horizontal="center" shrinkToFit="0" vertical="center" wrapText="1"/>
    </xf>
    <xf borderId="44" fillId="0" fontId="5" numFmtId="0" xfId="0" applyAlignment="1" applyBorder="1" applyFont="1">
      <alignment vertical="center"/>
    </xf>
    <xf borderId="40" fillId="28" fontId="51" numFmtId="0" xfId="0" applyAlignment="1" applyBorder="1" applyFill="1" applyFont="1">
      <alignment horizontal="center" shrinkToFit="0" vertical="center" wrapText="1"/>
    </xf>
    <xf borderId="10" fillId="28" fontId="51" numFmtId="0" xfId="0" applyAlignment="1" applyBorder="1" applyFill="1" applyFont="1">
      <alignment horizontal="center" shrinkToFit="0" vertical="center" wrapText="1"/>
    </xf>
    <xf borderId="10" fillId="28" fontId="51" numFmtId="0" xfId="0" applyAlignment="1" applyBorder="1" applyFill="1" applyFont="1">
      <alignment horizontal="center" vertical="center"/>
    </xf>
    <xf borderId="10" fillId="28" fontId="23" numFmtId="0" xfId="0" applyAlignment="1" applyBorder="1" applyFill="1" applyFont="1">
      <alignment horizontal="center" shrinkToFit="0" vertical="center" wrapText="1"/>
    </xf>
    <xf borderId="10" fillId="0" fontId="20" numFmtId="0" xfId="0" applyAlignment="1" applyBorder="1" applyFont="1">
      <alignment horizontal="center" vertical="center"/>
    </xf>
    <xf borderId="1" fillId="8" fontId="20" numFmtId="0" xfId="0" applyAlignment="1" applyBorder="1" applyFill="1" applyFont="1">
      <alignment horizontal="center" shrinkToFit="0" vertical="center" wrapText="1"/>
    </xf>
    <xf borderId="1" fillId="8" fontId="20" numFmtId="0" xfId="0" applyAlignment="1" applyBorder="1" applyFill="1" applyFont="1">
      <alignment horizontal="center" vertical="center"/>
    </xf>
    <xf borderId="10" fillId="6" fontId="10" numFmtId="166" xfId="0" applyAlignment="1" applyBorder="1" applyFill="1" applyFont="1" applyNumberFormat="1">
      <alignment horizontal="center" vertical="center"/>
    </xf>
    <xf borderId="10" fillId="6" fontId="10" numFmtId="0" xfId="0" applyAlignment="1" applyBorder="1" applyFill="1" applyFont="1">
      <alignment shrinkToFit="0" vertical="center" wrapText="1"/>
    </xf>
    <xf borderId="1" fillId="6" fontId="10" numFmtId="0" xfId="0" applyAlignment="1" applyBorder="1" applyFill="1" applyFont="1">
      <alignment vertical="center"/>
    </xf>
    <xf borderId="10" fillId="8" fontId="20" numFmtId="0" xfId="0" applyAlignment="1" applyBorder="1" applyFill="1" applyFont="1">
      <alignment horizontal="center" vertical="center"/>
    </xf>
    <xf borderId="1" fillId="6" fontId="10" numFmtId="0" xfId="0" applyAlignment="1" applyBorder="1" applyFill="1" applyFont="1">
      <alignment vertical="bottom"/>
    </xf>
    <xf borderId="10" fillId="0" fontId="8" numFmtId="0" xfId="0" applyAlignment="1" applyBorder="1" applyFont="1">
      <alignment horizontal="left" vertical="bottom"/>
    </xf>
    <xf borderId="10" fillId="8" fontId="9" numFmtId="0" xfId="0" applyAlignment="1" applyBorder="1" applyFill="1" applyFont="1">
      <alignment horizontal="center" shrinkToFit="0" vertical="center" wrapText="1"/>
    </xf>
    <xf borderId="10" fillId="6" fontId="10" numFmtId="0" xfId="0" applyAlignment="1" applyBorder="1" applyFill="1" applyFont="1">
      <alignment horizontal="center" vertical="center"/>
    </xf>
    <xf borderId="10" fillId="6" fontId="10" numFmtId="166" xfId="0" applyAlignment="1" applyBorder="1" applyFill="1" applyFont="1" applyNumberFormat="1">
      <alignment horizontal="center" vertical="center"/>
    </xf>
    <xf borderId="10" fillId="6" fontId="10" numFmtId="0" xfId="0" applyAlignment="1" applyBorder="1" applyFill="1" applyFont="1">
      <alignment vertical="center"/>
    </xf>
    <xf borderId="10" fillId="6" fontId="10" numFmtId="0" xfId="0" applyAlignment="1" applyBorder="1" applyFill="1" applyFont="1">
      <alignment shrinkToFit="0" vertical="center" wrapText="1"/>
    </xf>
    <xf borderId="0" fillId="25" fontId="52" numFmtId="0" xfId="0" applyAlignment="1" applyFill="1" applyFont="1">
      <alignment horizontal="center" shrinkToFit="0" vertical="center" wrapText="1"/>
    </xf>
    <xf borderId="0" fillId="25" fontId="52" numFmtId="49" xfId="0" applyAlignment="1" applyFill="1" applyFont="1" applyNumberFormat="1">
      <alignment horizontal="center" shrinkToFit="0" vertical="center" wrapText="1"/>
    </xf>
    <xf borderId="0" fillId="25" fontId="52" numFmtId="166" xfId="0" applyAlignment="1" applyFill="1" applyFont="1" applyNumberFormat="1">
      <alignment horizontal="center" shrinkToFit="0" vertical="center" wrapText="1"/>
    </xf>
    <xf borderId="0" fillId="25" fontId="52" numFmtId="0" xfId="0" applyAlignment="1" applyFill="1" applyFont="1">
      <alignment horizontal="center" vertical="center"/>
    </xf>
    <xf borderId="1" fillId="25" fontId="52" numFmtId="0" xfId="0" applyAlignment="1" applyBorder="1" applyFill="1" applyFont="1">
      <alignment horizontal="center" vertical="center"/>
    </xf>
    <xf borderId="1" fillId="25" fontId="52" numFmtId="49" xfId="0" applyAlignment="1" applyBorder="1" applyFill="1" applyFont="1" applyNumberFormat="1">
      <alignment horizontal="center" vertical="center"/>
    </xf>
    <xf borderId="0" fillId="0" fontId="10" numFmtId="166" xfId="0" applyAlignment="1" applyFont="1" applyNumberFormat="1">
      <alignment horizontal="center" readingOrder="0" vertical="bottom"/>
    </xf>
    <xf borderId="0" fillId="0" fontId="53" numFmtId="0" xfId="0" applyAlignment="1" applyFont="1">
      <alignment vertical="center"/>
    </xf>
    <xf borderId="1" fillId="29" fontId="52" numFmtId="49" xfId="0" applyAlignment="1" applyBorder="1" applyFill="1" applyFont="1" applyNumberFormat="1">
      <alignment horizontal="center" vertical="center"/>
    </xf>
    <xf borderId="0" fillId="0" fontId="54" numFmtId="0" xfId="0" applyAlignment="1" applyFont="1">
      <alignment vertical="bottom"/>
    </xf>
    <xf borderId="1" fillId="6" fontId="8" numFmtId="0" xfId="0" applyAlignment="1" applyBorder="1" applyFill="1" applyFont="1">
      <alignment vertical="bottom"/>
    </xf>
    <xf borderId="1" fillId="6" fontId="55" numFmtId="0" xfId="0" applyAlignment="1" applyBorder="1" applyFill="1" applyFont="1">
      <alignment horizontal="center" vertical="bottom"/>
    </xf>
    <xf borderId="1" fillId="29" fontId="56" numFmtId="0" xfId="0" applyAlignment="1" applyBorder="1" applyFill="1" applyFont="1">
      <alignment horizontal="center" vertical="center"/>
    </xf>
    <xf borderId="10" fillId="4" fontId="9" numFmtId="0" xfId="0" applyAlignment="1" applyBorder="1" applyFill="1" applyFont="1">
      <alignment horizontal="center" shrinkToFit="0" vertical="center" wrapText="1"/>
    </xf>
    <xf borderId="45" fillId="0" fontId="8" numFmtId="0" xfId="0" applyAlignment="1" applyBorder="1" applyFont="1">
      <alignment horizontal="center" shrinkToFit="0" vertical="center" wrapText="1"/>
    </xf>
    <xf borderId="45" fillId="0" fontId="8" numFmtId="165" xfId="0" applyAlignment="1" applyBorder="1" applyFont="1" applyNumberFormat="1">
      <alignment horizontal="center" shrinkToFit="0" vertical="center" wrapText="1"/>
    </xf>
    <xf borderId="10" fillId="25" fontId="10" numFmtId="0" xfId="0" applyAlignment="1" applyBorder="1" applyFill="1" applyFont="1">
      <alignment horizontal="center" readingOrder="0" vertical="center"/>
    </xf>
    <xf borderId="10" fillId="25" fontId="10" numFmtId="166" xfId="0" applyAlignment="1" applyBorder="1" applyFill="1" applyFont="1" applyNumberFormat="1">
      <alignment horizontal="center" readingOrder="0" vertical="center"/>
    </xf>
    <xf borderId="10" fillId="25" fontId="8" numFmtId="0" xfId="0" applyAlignment="1" applyBorder="1" applyFill="1" applyFont="1">
      <alignment horizontal="center" readingOrder="0" shrinkToFit="0" vertical="center" wrapText="1"/>
    </xf>
    <xf borderId="10" fillId="25" fontId="10" numFmtId="0" xfId="0" applyAlignment="1" applyBorder="1" applyFill="1" applyFont="1">
      <alignment readingOrder="0" vertical="center"/>
    </xf>
    <xf borderId="10" fillId="25" fontId="10" numFmtId="0" xfId="0" applyAlignment="1" applyBorder="1" applyFill="1" applyFont="1">
      <alignment readingOrder="0" shrinkToFit="0" vertical="center" wrapText="1"/>
    </xf>
    <xf borderId="45" fillId="0" fontId="5" numFmtId="0" xfId="0" applyAlignment="1" applyBorder="1" applyFont="1">
      <alignment vertical="center"/>
    </xf>
    <xf borderId="11" fillId="0" fontId="8" numFmtId="165" xfId="0" applyAlignment="1" applyBorder="1" applyFont="1" applyNumberFormat="1">
      <alignment horizontal="center" shrinkToFit="0" vertical="center" wrapText="1"/>
    </xf>
    <xf borderId="11" fillId="0" fontId="8" numFmtId="0" xfId="0" applyAlignment="1" applyBorder="1" applyFont="1">
      <alignment horizontal="center" shrinkToFit="0" vertical="center" wrapText="1"/>
    </xf>
    <xf borderId="39" fillId="0" fontId="8" numFmtId="165" xfId="0" applyAlignment="1" applyBorder="1" applyFont="1" applyNumberFormat="1">
      <alignment horizontal="center" shrinkToFit="0" vertical="center" wrapText="1"/>
    </xf>
    <xf borderId="10" fillId="25" fontId="8" numFmtId="0" xfId="0" applyAlignment="1" applyBorder="1" applyFill="1" applyFont="1">
      <alignment horizontal="center" shrinkToFit="0" vertical="center" wrapText="1"/>
    </xf>
    <xf borderId="10" fillId="0" fontId="8" numFmtId="169" xfId="0" applyAlignment="1" applyBorder="1" applyFont="1" applyNumberFormat="1">
      <alignment horizontal="center" shrinkToFit="0" vertical="center" wrapText="1"/>
    </xf>
    <xf borderId="10" fillId="10" fontId="9" numFmtId="0" xfId="0" applyAlignment="1" applyBorder="1" applyFill="1" applyFont="1">
      <alignment horizontal="center" vertical="center"/>
    </xf>
    <xf borderId="0" fillId="6" fontId="30" numFmtId="0" xfId="0" applyAlignment="1" applyFill="1" applyFont="1">
      <alignment readingOrder="0" vertical="center"/>
    </xf>
    <xf borderId="20" fillId="4" fontId="57" numFmtId="0" xfId="0" applyAlignment="1" applyBorder="1" applyFill="1" applyFont="1">
      <alignment horizontal="center" vertical="bottom"/>
    </xf>
    <xf borderId="10" fillId="4" fontId="8" numFmtId="0" xfId="0" applyAlignment="1" applyBorder="1" applyFill="1" applyFont="1">
      <alignment vertical="bottom"/>
    </xf>
    <xf borderId="10" fillId="21" fontId="10" numFmtId="0" xfId="0" applyAlignment="1" applyBorder="1" applyFill="1" applyFont="1">
      <alignment vertical="bottom"/>
    </xf>
    <xf borderId="10" fillId="30" fontId="9" numFmtId="0" xfId="0" applyAlignment="1" applyBorder="1" applyFill="1" applyFont="1">
      <alignment horizontal="center" vertical="bottom"/>
    </xf>
    <xf borderId="34" fillId="0" fontId="8" numFmtId="0" xfId="0" applyAlignment="1" applyBorder="1" applyFont="1">
      <alignment horizontal="center" readingOrder="0" shrinkToFit="0" vertical="center" wrapText="1"/>
    </xf>
    <xf borderId="10" fillId="30" fontId="10" numFmtId="0" xfId="0" applyAlignment="1" applyBorder="1" applyFill="1" applyFont="1">
      <alignment vertical="bottom"/>
    </xf>
    <xf borderId="0" fillId="0" fontId="30" numFmtId="0" xfId="0" applyAlignment="1" applyFont="1">
      <alignment horizontal="center" readingOrder="0" shrinkToFit="0" vertical="center" wrapText="1"/>
    </xf>
    <xf borderId="10" fillId="0" fontId="20" numFmtId="165" xfId="0" applyAlignment="1" applyBorder="1" applyFont="1" applyNumberFormat="1">
      <alignment horizontal="center" readingOrder="0" vertical="bottom"/>
    </xf>
    <xf borderId="10" fillId="0" fontId="8" numFmtId="166" xfId="0" applyAlignment="1" applyBorder="1" applyFont="1" applyNumberFormat="1">
      <alignment horizontal="center" vertical="bottom"/>
    </xf>
    <xf borderId="10" fillId="0" fontId="23" numFmtId="0" xfId="0" applyAlignment="1" applyBorder="1" applyFont="1">
      <alignment horizontal="left" vertical="bottom"/>
    </xf>
    <xf borderId="10" fillId="0" fontId="8" numFmtId="165" xfId="0" applyAlignment="1" applyBorder="1" applyFont="1" applyNumberFormat="1">
      <alignment horizontal="center" vertical="bottom"/>
    </xf>
    <xf borderId="10" fillId="0" fontId="8" numFmtId="165" xfId="0" applyAlignment="1" applyBorder="1" applyFont="1" applyNumberFormat="1">
      <alignment horizontal="center" readingOrder="0" vertical="bottom"/>
    </xf>
    <xf borderId="10" fillId="8" fontId="8" numFmtId="0" xfId="0" applyAlignment="1" applyBorder="1" applyFill="1" applyFont="1">
      <alignment vertical="bottom"/>
    </xf>
    <xf borderId="34" fillId="0" fontId="8" numFmtId="165" xfId="0" applyAlignment="1" applyBorder="1" applyFont="1" applyNumberFormat="1">
      <alignment horizontal="center" shrinkToFit="0" vertical="center" wrapText="1"/>
    </xf>
    <xf borderId="10" fillId="0" fontId="8" numFmtId="0" xfId="0" applyAlignment="1" applyBorder="1" applyFont="1">
      <alignment horizontal="center" readingOrder="0" vertical="bottom"/>
    </xf>
    <xf borderId="10" fillId="0" fontId="8" numFmtId="166" xfId="0" applyAlignment="1" applyBorder="1" applyFont="1" applyNumberFormat="1">
      <alignment horizontal="center" readingOrder="0" vertical="bottom"/>
    </xf>
    <xf borderId="0" fillId="8" fontId="58" numFmtId="166" xfId="0" applyAlignment="1" applyFill="1" applyFont="1" applyNumberFormat="1">
      <alignment horizontal="center" readingOrder="0" vertical="bottom"/>
    </xf>
    <xf borderId="1" fillId="8" fontId="58" numFmtId="0" xfId="0" applyAlignment="1" applyBorder="1" applyFill="1" applyFont="1">
      <alignment horizontal="center" vertical="bottom"/>
    </xf>
    <xf borderId="10" fillId="0" fontId="8" numFmtId="167" xfId="0" applyAlignment="1" applyBorder="1" applyFont="1" applyNumberFormat="1">
      <alignment horizontal="center" readingOrder="0" vertical="bottom"/>
    </xf>
    <xf borderId="10" fillId="0" fontId="59" numFmtId="0" xfId="0" applyAlignment="1" applyBorder="1" applyFont="1">
      <alignment horizontal="center" readingOrder="0" vertical="center"/>
    </xf>
    <xf borderId="10" fillId="0" fontId="60" numFmtId="166" xfId="0" applyAlignment="1" applyBorder="1" applyFont="1" applyNumberFormat="1">
      <alignment horizontal="center" readingOrder="0" vertical="center"/>
    </xf>
    <xf borderId="10" fillId="0" fontId="61" numFmtId="166" xfId="0" applyAlignment="1" applyBorder="1" applyFont="1" applyNumberFormat="1">
      <alignment horizontal="center" readingOrder="0" vertical="center"/>
    </xf>
    <xf borderId="10" fillId="0" fontId="61" numFmtId="0" xfId="0" applyAlignment="1" applyBorder="1" applyFont="1">
      <alignment horizontal="center" readingOrder="0" vertical="center"/>
    </xf>
    <xf borderId="10" fillId="0" fontId="61" numFmtId="0" xfId="0" applyAlignment="1" applyBorder="1" applyFont="1">
      <alignment readingOrder="0" shrinkToFit="0" vertical="center" wrapText="1"/>
    </xf>
    <xf borderId="10" fillId="0" fontId="61" numFmtId="0" xfId="0" applyAlignment="1" applyBorder="1" applyFont="1">
      <alignment horizontal="center" readingOrder="0" shrinkToFit="0" vertical="center" wrapText="1"/>
    </xf>
    <xf borderId="10" fillId="0" fontId="61" numFmtId="0" xfId="0" applyAlignment="1" applyBorder="1" applyFont="1">
      <alignment horizontal="center" shrinkToFit="0" vertical="center" wrapText="1"/>
    </xf>
    <xf borderId="10" fillId="0" fontId="60" numFmtId="0" xfId="0" applyAlignment="1" applyBorder="1" applyFont="1">
      <alignment readingOrder="0" vertical="center"/>
    </xf>
    <xf borderId="10" fillId="0" fontId="61" numFmtId="0" xfId="0" applyAlignment="1" applyBorder="1" applyFont="1">
      <alignment horizontal="center" vertical="center"/>
    </xf>
    <xf borderId="0" fillId="0" fontId="61" numFmtId="0" xfId="0" applyAlignment="1" applyFont="1">
      <alignment horizontal="center" vertical="center"/>
    </xf>
    <xf borderId="0" fillId="0" fontId="60" numFmtId="0" xfId="0" applyAlignment="1" applyFont="1">
      <alignment vertical="center"/>
    </xf>
    <xf borderId="0" fillId="0" fontId="30" numFmtId="0" xfId="0" applyAlignment="1" applyFont="1">
      <alignment readingOrder="0" vertical="center"/>
    </xf>
    <xf borderId="10" fillId="0" fontId="30" numFmtId="0" xfId="0" applyAlignment="1" applyBorder="1" applyFont="1">
      <alignment readingOrder="0" shrinkToFit="0" vertical="center" wrapText="1"/>
    </xf>
    <xf borderId="0" fillId="0" fontId="21" numFmtId="166" xfId="0" applyAlignment="1" applyFont="1" applyNumberFormat="1">
      <alignment horizontal="center" readingOrder="0" vertical="center"/>
    </xf>
    <xf borderId="0" fillId="0" fontId="21" numFmtId="0" xfId="0" applyAlignment="1" applyFont="1">
      <alignment horizontal="center" readingOrder="0" vertical="center"/>
    </xf>
    <xf borderId="0" fillId="0" fontId="62" numFmtId="0" xfId="0" applyAlignment="1" applyFont="1">
      <alignment readingOrder="0" vertical="center"/>
    </xf>
    <xf borderId="10" fillId="0" fontId="25" numFmtId="0" xfId="0" applyAlignment="1" applyBorder="1" applyFont="1">
      <alignment readingOrder="0" vertical="center"/>
    </xf>
    <xf borderId="0" fillId="0" fontId="63" numFmtId="0" xfId="0" applyAlignment="1" applyFont="1">
      <alignment readingOrder="0" vertical="center"/>
    </xf>
    <xf borderId="10" fillId="0" fontId="9" numFmtId="0" xfId="0" applyAlignment="1" applyBorder="1" applyFont="1">
      <alignment horizontal="left" readingOrder="0" shrinkToFit="0" vertical="center" wrapText="1"/>
    </xf>
    <xf borderId="10" fillId="25" fontId="8" numFmtId="0" xfId="0" applyAlignment="1" applyBorder="1" applyFill="1" applyFont="1">
      <alignment horizontal="center" readingOrder="0" vertical="center"/>
    </xf>
    <xf borderId="0" fillId="0" fontId="61" numFmtId="0" xfId="0" applyAlignment="1" applyFont="1">
      <alignment horizontal="center" readingOrder="0" vertical="center"/>
    </xf>
    <xf borderId="10" fillId="25" fontId="8" numFmtId="0" xfId="0" applyAlignment="1" applyBorder="1" applyFill="1" applyFont="1">
      <alignment horizontal="center" vertical="center"/>
    </xf>
    <xf borderId="10" fillId="0" fontId="30" numFmtId="0" xfId="0" applyAlignment="1" applyBorder="1" applyFont="1">
      <alignment readingOrder="0" vertical="center"/>
    </xf>
    <xf borderId="0" fillId="8" fontId="58" numFmtId="0" xfId="0" applyAlignment="1" applyFill="1" applyFont="1">
      <alignment horizontal="center" readingOrder="0" vertical="center"/>
    </xf>
    <xf borderId="1" fillId="8" fontId="64" numFmtId="0" xfId="0" applyAlignment="1" applyBorder="1" applyFill="1" applyFont="1">
      <alignment horizontal="left" vertical="bottom"/>
    </xf>
    <xf borderId="34" fillId="0" fontId="8" numFmtId="166" xfId="0" applyAlignment="1" applyBorder="1" applyFont="1" applyNumberFormat="1">
      <alignment horizontal="center" shrinkToFit="0" vertical="center" wrapText="1"/>
    </xf>
    <xf borderId="10" fillId="0" fontId="8" numFmtId="170" xfId="0" applyAlignment="1" applyBorder="1" applyFont="1" applyNumberFormat="1">
      <alignment horizontal="center" shrinkToFit="0" vertical="center" wrapText="1"/>
    </xf>
    <xf borderId="10" fillId="0" fontId="8" numFmtId="170" xfId="0" applyAlignment="1" applyBorder="1" applyFont="1" applyNumberFormat="1">
      <alignment horizontal="center" readingOrder="0" shrinkToFit="0" vertical="center" wrapText="1"/>
    </xf>
    <xf borderId="10" fillId="0" fontId="8" numFmtId="171" xfId="0" applyAlignment="1" applyBorder="1" applyFont="1" applyNumberFormat="1">
      <alignment horizontal="center" shrinkToFit="0" vertical="center" wrapText="1"/>
    </xf>
    <xf borderId="10" fillId="0" fontId="8" numFmtId="167" xfId="0" applyAlignment="1" applyBorder="1" applyFont="1" applyNumberFormat="1">
      <alignment horizontal="center" readingOrder="0" shrinkToFit="0" vertical="center" wrapText="1"/>
    </xf>
    <xf borderId="10" fillId="0" fontId="9" numFmtId="0" xfId="0" applyAlignment="1" applyBorder="1" applyFont="1">
      <alignment horizontal="center" vertical="bottom"/>
    </xf>
    <xf borderId="10" fillId="0" fontId="9" numFmtId="0" xfId="0" applyAlignment="1" applyBorder="1" applyFont="1">
      <alignment vertical="bottom"/>
    </xf>
    <xf borderId="10" fillId="13" fontId="8" numFmtId="0" xfId="0" applyAlignment="1" applyBorder="1" applyFill="1" applyFont="1">
      <alignment vertical="bottom"/>
    </xf>
    <xf borderId="10" fillId="31" fontId="8" numFmtId="0" xfId="0" applyAlignment="1" applyBorder="1" applyFill="1" applyFont="1">
      <alignment vertical="bottom"/>
    </xf>
  </cellXfs>
  <cellStyles count="1">
    <cellStyle xfId="0" name="Normal" builtinId="0"/>
  </cellStyles>
  <dxfs count="5">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E1CD"/>
          <bgColor rgb="FFB7E1CD"/>
        </patternFill>
      </fill>
      <border/>
    </dxf>
  </dxfs>
  <tableStyles count="1">
    <tableStyle count="3" pivot="0" name="CORREO AREA LEGAL-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523875</xdr:colOff>
      <xdr:row>22</xdr:row>
      <xdr:rowOff>142875</xdr:rowOff>
    </xdr:from>
    <xdr:ext cx="12449175" cy="374332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Q63" displayName="Table_1" name="Table_1" id="1">
  <tableColumns count="17">
    <tableColumn name="#" id="1"/>
    <tableColumn name="AREA LEGAL " id="2"/>
    <tableColumn name="FECHA  ENVIO" id="3"/>
    <tableColumn name="FECHA RESP." id="4"/>
    <tableColumn name="PROFESIONAL" id="5"/>
    <tableColumn name="MEDIO" id="6"/>
    <tableColumn name="ASUNTO " id="7"/>
    <tableColumn name="IPRESS" id="8"/>
    <tableColumn name="1RA" id="9"/>
    <tableColumn name="2DO" id="10"/>
    <tableColumn name="3ER" id="11"/>
    <tableColumn name="4TO" id="12"/>
    <tableColumn name="1RA 2" id="13"/>
    <tableColumn name="2DO 2" id="14"/>
    <tableColumn name="3ER 2" id="15"/>
    <tableColumn name="4TO 2" id="16"/>
    <tableColumn name="OBSERVACION " id="17"/>
  </tableColumns>
  <tableStyleInfo name="CORREO AREA LEG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oscaralvarado44@yahoo.es" TargetMode="External"/><Relationship Id="rId2" Type="http://schemas.openxmlformats.org/officeDocument/2006/relationships/hyperlink" Target="mailto:novaclinicarequipa@gmail.com" TargetMode="External"/><Relationship Id="rId3" Type="http://schemas.openxmlformats.org/officeDocument/2006/relationships/hyperlink" Target="http://clinica.sanlorenzogmail.com" TargetMode="External"/><Relationship Id="rId4" Type="http://schemas.openxmlformats.org/officeDocument/2006/relationships/hyperlink" Target="http://guadalupeclinica.hotmail.com/" TargetMode="External"/><Relationship Id="rId5" Type="http://schemas.openxmlformats.org/officeDocument/2006/relationships/hyperlink" Target="http://gob.pe/" TargetMode="External"/><Relationship Id="rId6" Type="http://schemas.openxmlformats.org/officeDocument/2006/relationships/hyperlink" Target="http://com.pe/"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julio.azana@essalud.gob.p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tezza.com.pe/" TargetMode="External"/><Relationship Id="rId2" Type="http://schemas.openxmlformats.org/officeDocument/2006/relationships/hyperlink" Target="http://lic.t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4.75"/>
    <col customWidth="1" min="2" max="2" width="20.25"/>
    <col customWidth="1" min="3" max="3" width="26.38"/>
    <col customWidth="1" min="4" max="4" width="18.25"/>
    <col customWidth="1" min="5" max="5" width="14.63"/>
    <col customWidth="1" min="6" max="6" width="11.25"/>
    <col customWidth="1" min="7" max="7" width="10.5"/>
    <col customWidth="1" min="8" max="8" width="19.0"/>
    <col customWidth="1" min="9" max="9" width="62.0"/>
    <col customWidth="1" min="10" max="10" width="15.75"/>
    <col customWidth="1" min="11" max="11" width="16.63"/>
    <col customWidth="1" min="12" max="12" width="11.5"/>
    <col customWidth="1" min="13" max="13" width="30.75"/>
    <col customWidth="1" min="14" max="14" width="11.25"/>
    <col customWidth="1" min="15" max="15" width="27.5"/>
    <col customWidth="1" min="16" max="16" width="19.5"/>
    <col customWidth="1" min="17" max="17" width="45.5"/>
    <col customWidth="1" min="18" max="18" width="31.88"/>
    <col customWidth="1" min="19" max="19" width="161.13"/>
    <col customWidth="1" min="20" max="20" width="10.0"/>
    <col customWidth="1" min="21" max="21" width="8.63"/>
    <col customWidth="1" min="22" max="22" width="7.13"/>
    <col customWidth="1" min="23" max="23" width="6.38"/>
    <col customWidth="1" min="24" max="24" width="74.0"/>
    <col customWidth="1" min="25" max="25" width="47.38"/>
    <col customWidth="1" min="26" max="26" width="50.25"/>
    <col customWidth="1" min="27" max="31" width="10.5"/>
  </cols>
  <sheetData>
    <row r="1">
      <c r="A1" s="2" t="s">
        <v>0</v>
      </c>
      <c r="B1" s="3"/>
      <c r="C1" s="4"/>
      <c r="D1" s="3"/>
      <c r="E1" s="3"/>
      <c r="F1" s="3"/>
      <c r="G1" s="3"/>
      <c r="H1" s="3"/>
      <c r="I1" s="3"/>
      <c r="J1" s="3"/>
      <c r="K1" s="3"/>
      <c r="L1" s="3"/>
      <c r="M1" s="3"/>
      <c r="N1" s="3"/>
      <c r="O1" s="3"/>
      <c r="P1" s="3"/>
      <c r="Q1" s="3"/>
      <c r="R1" s="3"/>
      <c r="S1" s="3"/>
      <c r="T1" s="3"/>
      <c r="U1" s="3"/>
      <c r="V1" s="3"/>
      <c r="W1" s="3"/>
      <c r="X1" s="3"/>
      <c r="Y1" s="12"/>
      <c r="Z1" s="14"/>
      <c r="AA1" s="16"/>
      <c r="AB1" s="16"/>
      <c r="AC1" s="16"/>
      <c r="AD1" s="16"/>
      <c r="AE1" s="16"/>
    </row>
    <row r="2">
      <c r="A2" s="19"/>
      <c r="B2" s="21"/>
      <c r="C2" s="21"/>
      <c r="D2" s="21"/>
      <c r="E2" s="21"/>
      <c r="F2" s="21"/>
      <c r="G2" s="21"/>
      <c r="H2" s="21"/>
      <c r="I2" s="21"/>
      <c r="J2" s="21"/>
      <c r="K2" s="21"/>
      <c r="L2" s="21"/>
      <c r="M2" s="21"/>
      <c r="N2" s="21"/>
      <c r="O2" s="21"/>
      <c r="P2" s="21"/>
      <c r="Q2" s="21"/>
      <c r="R2" s="21"/>
      <c r="S2" s="21"/>
      <c r="T2" s="21"/>
      <c r="U2" s="21"/>
      <c r="V2" s="21"/>
      <c r="W2" s="21"/>
      <c r="X2" s="21"/>
      <c r="Y2" s="31"/>
      <c r="Z2" s="14"/>
      <c r="AA2" s="16"/>
      <c r="AB2" s="16"/>
      <c r="AC2" s="16"/>
      <c r="AD2" s="16"/>
      <c r="AE2" s="16"/>
    </row>
    <row r="3" ht="1.5" customHeight="1">
      <c r="A3" s="35"/>
      <c r="B3" s="38"/>
      <c r="C3" s="38"/>
      <c r="D3" s="38"/>
      <c r="E3" s="38"/>
      <c r="F3" s="38"/>
      <c r="G3" s="38"/>
      <c r="H3" s="38"/>
      <c r="I3" s="38"/>
      <c r="J3" s="38"/>
      <c r="K3" s="38"/>
      <c r="L3" s="38"/>
      <c r="M3" s="38"/>
      <c r="N3" s="38"/>
      <c r="O3" s="38"/>
      <c r="P3" s="38"/>
      <c r="Q3" s="38"/>
      <c r="R3" s="38"/>
      <c r="S3" s="38"/>
      <c r="T3" s="38"/>
      <c r="U3" s="38"/>
      <c r="V3" s="38"/>
      <c r="W3" s="38"/>
      <c r="X3" s="38"/>
      <c r="Y3" s="45"/>
      <c r="Z3" s="14"/>
      <c r="AA3" s="16"/>
      <c r="AB3" s="16"/>
      <c r="AC3" s="16"/>
      <c r="AD3" s="16"/>
      <c r="AE3" s="16"/>
    </row>
    <row r="4" ht="15.0" customHeight="1">
      <c r="A4" s="47"/>
      <c r="B4" s="32"/>
      <c r="C4" s="32"/>
      <c r="D4" s="32"/>
      <c r="E4" s="32"/>
      <c r="F4" s="32"/>
      <c r="G4" s="32"/>
      <c r="H4" s="32"/>
      <c r="I4" s="32"/>
      <c r="J4" s="32"/>
      <c r="K4" s="32"/>
      <c r="L4" s="32"/>
      <c r="M4" s="32"/>
      <c r="N4" s="32"/>
      <c r="O4" s="32"/>
      <c r="P4" s="32"/>
      <c r="Q4" s="32"/>
      <c r="R4" s="32"/>
      <c r="S4" s="32"/>
      <c r="T4" s="32"/>
      <c r="U4" s="32"/>
      <c r="V4" s="32"/>
      <c r="W4" s="32"/>
      <c r="X4" s="32"/>
      <c r="Y4" s="37"/>
      <c r="Z4" s="14"/>
      <c r="AA4" s="16"/>
      <c r="AB4" s="16"/>
      <c r="AC4" s="16"/>
      <c r="AD4" s="16"/>
      <c r="AE4" s="16"/>
    </row>
    <row r="5">
      <c r="A5" s="52" t="s">
        <v>5</v>
      </c>
      <c r="B5" s="52" t="s">
        <v>6</v>
      </c>
      <c r="C5" s="52" t="s">
        <v>7</v>
      </c>
      <c r="D5" s="39" t="s">
        <v>38</v>
      </c>
      <c r="E5" s="41" t="s">
        <v>9</v>
      </c>
      <c r="F5" s="52" t="s">
        <v>10</v>
      </c>
      <c r="G5" s="52" t="s">
        <v>12</v>
      </c>
      <c r="H5" s="52" t="s">
        <v>39</v>
      </c>
      <c r="I5" s="58" t="s">
        <v>14</v>
      </c>
      <c r="J5" s="39" t="s">
        <v>15</v>
      </c>
      <c r="K5" s="52" t="s">
        <v>16</v>
      </c>
      <c r="L5" s="52" t="s">
        <v>17</v>
      </c>
      <c r="M5" s="39" t="s">
        <v>23</v>
      </c>
      <c r="N5" s="52" t="s">
        <v>18</v>
      </c>
      <c r="O5" s="39" t="s">
        <v>19</v>
      </c>
      <c r="P5" s="39" t="s">
        <v>20</v>
      </c>
      <c r="Q5" s="52" t="s">
        <v>21</v>
      </c>
      <c r="R5" s="52" t="s">
        <v>20</v>
      </c>
      <c r="S5" s="39" t="s">
        <v>48</v>
      </c>
      <c r="T5" s="39" t="s">
        <v>24</v>
      </c>
      <c r="U5" s="39" t="s">
        <v>52</v>
      </c>
      <c r="V5" s="52" t="s">
        <v>27</v>
      </c>
      <c r="W5" s="52" t="s">
        <v>54</v>
      </c>
      <c r="X5" s="52" t="s">
        <v>56</v>
      </c>
      <c r="Y5" s="52" t="s">
        <v>31</v>
      </c>
      <c r="Z5" s="39" t="s">
        <v>59</v>
      </c>
      <c r="AA5" s="65"/>
      <c r="AB5" s="65"/>
      <c r="AC5" s="65"/>
      <c r="AD5" s="65"/>
      <c r="AE5" s="65"/>
    </row>
    <row r="6" ht="20.25" customHeight="1">
      <c r="A6" s="14">
        <v>1.0</v>
      </c>
      <c r="B6" s="14" t="s">
        <v>65</v>
      </c>
      <c r="C6" s="14" t="s">
        <v>66</v>
      </c>
      <c r="D6" s="66">
        <v>44874.0</v>
      </c>
      <c r="E6" s="68">
        <v>44909.0</v>
      </c>
      <c r="F6" s="14">
        <v>22113.0</v>
      </c>
      <c r="G6" s="71" t="s">
        <v>70</v>
      </c>
      <c r="H6" s="71" t="s">
        <v>76</v>
      </c>
      <c r="I6" s="73" t="s">
        <v>77</v>
      </c>
      <c r="J6" s="50" t="s">
        <v>79</v>
      </c>
      <c r="K6" s="14" t="s">
        <v>47</v>
      </c>
      <c r="L6" s="14" t="s">
        <v>47</v>
      </c>
      <c r="M6" s="50" t="s">
        <v>81</v>
      </c>
      <c r="N6" s="14" t="s">
        <v>32</v>
      </c>
      <c r="O6" s="50" t="s">
        <v>82</v>
      </c>
      <c r="P6" s="85" t="s">
        <v>83</v>
      </c>
      <c r="Q6" s="14" t="s">
        <v>112</v>
      </c>
      <c r="R6" s="14" t="s">
        <v>114</v>
      </c>
      <c r="S6" s="50" t="s">
        <v>115</v>
      </c>
      <c r="T6" s="50">
        <v>1.0</v>
      </c>
      <c r="U6" s="50">
        <v>0.0</v>
      </c>
      <c r="V6" s="50">
        <v>2.0</v>
      </c>
      <c r="W6" s="50">
        <v>0.0</v>
      </c>
      <c r="X6" s="50" t="s">
        <v>117</v>
      </c>
      <c r="Y6" s="14" t="s">
        <v>61</v>
      </c>
      <c r="Z6" s="14"/>
      <c r="AA6" s="16"/>
      <c r="AB6" s="92" t="s">
        <v>32</v>
      </c>
      <c r="AC6" s="62">
        <f>COUNTIF($N$6:$N$595,"PRIVADO")</f>
        <v>236</v>
      </c>
      <c r="AD6" s="16"/>
      <c r="AE6" s="16"/>
    </row>
    <row r="7" ht="14.25" customHeight="1">
      <c r="A7" s="14">
        <v>2.0</v>
      </c>
      <c r="B7" s="14" t="s">
        <v>130</v>
      </c>
      <c r="C7" s="14" t="s">
        <v>135</v>
      </c>
      <c r="D7" s="66">
        <v>44874.0</v>
      </c>
      <c r="E7" s="96">
        <v>44909.0</v>
      </c>
      <c r="F7" s="90">
        <v>9641.0</v>
      </c>
      <c r="G7" s="98" t="s">
        <v>70</v>
      </c>
      <c r="H7" s="98" t="s">
        <v>153</v>
      </c>
      <c r="I7" s="73" t="s">
        <v>155</v>
      </c>
      <c r="J7" s="50" t="s">
        <v>156</v>
      </c>
      <c r="K7" s="14" t="s">
        <v>47</v>
      </c>
      <c r="L7" s="14" t="s">
        <v>47</v>
      </c>
      <c r="M7" s="50" t="s">
        <v>157</v>
      </c>
      <c r="N7" s="14" t="s">
        <v>32</v>
      </c>
      <c r="O7" s="50" t="s">
        <v>158</v>
      </c>
      <c r="P7" s="50" t="s">
        <v>160</v>
      </c>
      <c r="Q7" s="14" t="s">
        <v>162</v>
      </c>
      <c r="R7" s="14" t="s">
        <v>163</v>
      </c>
      <c r="S7" s="50" t="s">
        <v>164</v>
      </c>
      <c r="T7" s="50">
        <v>1.0</v>
      </c>
      <c r="U7" s="50">
        <v>0.0</v>
      </c>
      <c r="V7" s="50">
        <v>3.0</v>
      </c>
      <c r="W7" s="50">
        <v>0.0</v>
      </c>
      <c r="X7" s="50" t="s">
        <v>167</v>
      </c>
      <c r="Y7" s="14" t="s">
        <v>61</v>
      </c>
      <c r="Z7" s="14" t="s">
        <v>168</v>
      </c>
      <c r="AA7" s="16"/>
      <c r="AB7" s="106" t="s">
        <v>50</v>
      </c>
      <c r="AC7" s="62">
        <f>COUNTIF($N$6:$N$596,"MINSA")</f>
        <v>48</v>
      </c>
      <c r="AD7" s="16"/>
      <c r="AE7" s="16"/>
    </row>
    <row r="8" ht="33.75" customHeight="1">
      <c r="A8" s="110">
        <v>3.0</v>
      </c>
      <c r="B8" s="110" t="s">
        <v>198</v>
      </c>
      <c r="C8" s="103" t="s">
        <v>199</v>
      </c>
      <c r="D8" s="103" t="s">
        <v>200</v>
      </c>
      <c r="E8" s="114" t="s">
        <v>201</v>
      </c>
      <c r="F8" s="115">
        <v>33189.0</v>
      </c>
      <c r="G8" s="116"/>
      <c r="H8" s="116" t="s">
        <v>43</v>
      </c>
      <c r="I8" s="118" t="s">
        <v>218</v>
      </c>
      <c r="J8" s="103" t="s">
        <v>46</v>
      </c>
      <c r="K8" s="110" t="s">
        <v>47</v>
      </c>
      <c r="L8" s="110"/>
      <c r="M8" s="103" t="s">
        <v>222</v>
      </c>
      <c r="N8" s="110"/>
      <c r="O8" s="103" t="s">
        <v>225</v>
      </c>
      <c r="P8" s="103" t="s">
        <v>227</v>
      </c>
      <c r="Q8" s="103" t="s">
        <v>228</v>
      </c>
      <c r="R8" s="110" t="s">
        <v>229</v>
      </c>
      <c r="S8" s="103" t="s">
        <v>231</v>
      </c>
      <c r="T8" s="103">
        <v>0.0</v>
      </c>
      <c r="U8" s="103">
        <v>2.0</v>
      </c>
      <c r="V8" s="103">
        <v>3.0</v>
      </c>
      <c r="W8" s="103">
        <v>0.0</v>
      </c>
      <c r="X8" s="103" t="s">
        <v>234</v>
      </c>
      <c r="Y8" s="110" t="s">
        <v>61</v>
      </c>
      <c r="Z8" s="125"/>
      <c r="AA8" s="100"/>
      <c r="AB8" s="127" t="s">
        <v>69</v>
      </c>
      <c r="AC8" s="134">
        <f>COUNTIF($N$6:$N$597,"ESSALUD")</f>
        <v>22</v>
      </c>
      <c r="AD8" s="100"/>
      <c r="AE8" s="100"/>
    </row>
    <row r="9">
      <c r="A9" s="14">
        <v>4.0</v>
      </c>
      <c r="B9" s="14" t="s">
        <v>284</v>
      </c>
      <c r="C9" s="14" t="s">
        <v>286</v>
      </c>
      <c r="D9" s="66">
        <v>44874.0</v>
      </c>
      <c r="E9" s="137">
        <v>44999.0</v>
      </c>
      <c r="F9" s="90">
        <v>24554.0</v>
      </c>
      <c r="G9" s="98" t="s">
        <v>170</v>
      </c>
      <c r="H9" s="98" t="s">
        <v>140</v>
      </c>
      <c r="I9" s="73" t="s">
        <v>298</v>
      </c>
      <c r="J9" s="50" t="s">
        <v>299</v>
      </c>
      <c r="K9" s="14" t="s">
        <v>142</v>
      </c>
      <c r="L9" s="139" t="s">
        <v>142</v>
      </c>
      <c r="M9" s="50" t="s">
        <v>303</v>
      </c>
      <c r="N9" s="14" t="s">
        <v>32</v>
      </c>
      <c r="O9" s="50" t="s">
        <v>304</v>
      </c>
      <c r="P9" s="50" t="s">
        <v>305</v>
      </c>
      <c r="Q9" s="14" t="s">
        <v>306</v>
      </c>
      <c r="R9" s="14" t="s">
        <v>307</v>
      </c>
      <c r="S9" s="50" t="s">
        <v>310</v>
      </c>
      <c r="T9" s="50">
        <v>1.0</v>
      </c>
      <c r="U9" s="50">
        <v>0.0</v>
      </c>
      <c r="V9" s="50">
        <v>2.0</v>
      </c>
      <c r="W9" s="50">
        <v>1.0</v>
      </c>
      <c r="X9" s="50" t="s">
        <v>313</v>
      </c>
      <c r="Y9" s="14" t="s">
        <v>61</v>
      </c>
      <c r="Z9" s="14"/>
      <c r="AA9" s="16"/>
      <c r="AB9" s="144" t="s">
        <v>146</v>
      </c>
      <c r="AC9" s="62">
        <f>COUNTIF(N6:N598,"FFAA")</f>
        <v>3</v>
      </c>
      <c r="AD9" s="16"/>
      <c r="AE9" s="16"/>
    </row>
    <row r="10" ht="16.5" customHeight="1">
      <c r="A10" s="14">
        <v>5.0</v>
      </c>
      <c r="B10" s="14" t="s">
        <v>335</v>
      </c>
      <c r="C10" s="14" t="s">
        <v>336</v>
      </c>
      <c r="D10" s="66">
        <v>44874.0</v>
      </c>
      <c r="E10" s="96">
        <v>44909.0</v>
      </c>
      <c r="F10" s="90">
        <v>31854.0</v>
      </c>
      <c r="G10" s="98" t="s">
        <v>170</v>
      </c>
      <c r="H10" s="98" t="s">
        <v>140</v>
      </c>
      <c r="I10" s="73" t="s">
        <v>343</v>
      </c>
      <c r="J10" s="50"/>
      <c r="K10" s="14" t="s">
        <v>142</v>
      </c>
      <c r="L10" s="14" t="s">
        <v>142</v>
      </c>
      <c r="M10" s="50" t="s">
        <v>349</v>
      </c>
      <c r="N10" s="14" t="s">
        <v>32</v>
      </c>
      <c r="O10" s="50" t="s">
        <v>350</v>
      </c>
      <c r="P10" s="50" t="s">
        <v>352</v>
      </c>
      <c r="Q10" s="50" t="s">
        <v>354</v>
      </c>
      <c r="R10" s="14" t="s">
        <v>355</v>
      </c>
      <c r="S10" s="50" t="s">
        <v>356</v>
      </c>
      <c r="T10" s="50">
        <v>0.0</v>
      </c>
      <c r="U10" s="50">
        <v>1.0</v>
      </c>
      <c r="V10" s="50">
        <v>1.0</v>
      </c>
      <c r="W10" s="50">
        <v>3.0</v>
      </c>
      <c r="X10" s="50" t="s">
        <v>362</v>
      </c>
      <c r="Y10" s="14" t="s">
        <v>61</v>
      </c>
      <c r="Z10" s="14"/>
      <c r="AA10" s="16"/>
      <c r="AB10" s="140" t="s">
        <v>221</v>
      </c>
      <c r="AC10" s="62">
        <f>COUNTIF(N6:N599,"PNP")</f>
        <v>0</v>
      </c>
      <c r="AD10" s="16"/>
      <c r="AE10" s="16"/>
    </row>
    <row r="11" ht="15.75" customHeight="1">
      <c r="A11" s="14">
        <v>6.0</v>
      </c>
      <c r="B11" s="14" t="s">
        <v>378</v>
      </c>
      <c r="C11" s="14" t="s">
        <v>380</v>
      </c>
      <c r="D11" s="66">
        <v>44880.0</v>
      </c>
      <c r="E11" s="147">
        <v>44909.0</v>
      </c>
      <c r="F11" s="16">
        <v>17588.0</v>
      </c>
      <c r="G11" s="98" t="s">
        <v>170</v>
      </c>
      <c r="H11" s="90" t="s">
        <v>140</v>
      </c>
      <c r="I11" s="73" t="s">
        <v>388</v>
      </c>
      <c r="J11" s="50" t="s">
        <v>390</v>
      </c>
      <c r="K11" s="14" t="s">
        <v>142</v>
      </c>
      <c r="L11" s="14" t="s">
        <v>142</v>
      </c>
      <c r="M11" s="50" t="s">
        <v>397</v>
      </c>
      <c r="N11" s="14" t="s">
        <v>32</v>
      </c>
      <c r="O11" s="50" t="s">
        <v>401</v>
      </c>
      <c r="P11" s="50" t="s">
        <v>227</v>
      </c>
      <c r="Q11" s="14" t="s">
        <v>403</v>
      </c>
      <c r="R11" s="14" t="s">
        <v>404</v>
      </c>
      <c r="S11" s="50" t="s">
        <v>405</v>
      </c>
      <c r="T11" s="50">
        <v>1.0</v>
      </c>
      <c r="U11" s="50">
        <v>0.0</v>
      </c>
      <c r="V11" s="50">
        <v>1.0</v>
      </c>
      <c r="W11" s="50">
        <v>1.0</v>
      </c>
      <c r="X11" s="50" t="s">
        <v>411</v>
      </c>
      <c r="Y11" s="14" t="s">
        <v>61</v>
      </c>
      <c r="Z11" s="14"/>
      <c r="AA11" s="16"/>
      <c r="AB11" s="16" t="s">
        <v>195</v>
      </c>
      <c r="AC11" s="62">
        <f>COUNTIF(N6:N600,"APP")</f>
        <v>0</v>
      </c>
      <c r="AD11" s="16"/>
      <c r="AE11" s="16"/>
    </row>
    <row r="12" ht="16.5" customHeight="1">
      <c r="A12" s="14">
        <v>7.0</v>
      </c>
      <c r="B12" s="14" t="s">
        <v>422</v>
      </c>
      <c r="C12" s="14" t="s">
        <v>426</v>
      </c>
      <c r="D12" s="66">
        <v>44874.0</v>
      </c>
      <c r="E12" s="68">
        <v>44909.0</v>
      </c>
      <c r="F12" s="14">
        <v>15077.0</v>
      </c>
      <c r="G12" s="98" t="s">
        <v>170</v>
      </c>
      <c r="H12" s="98" t="s">
        <v>43</v>
      </c>
      <c r="I12" s="73" t="s">
        <v>434</v>
      </c>
      <c r="J12" s="50" t="s">
        <v>437</v>
      </c>
      <c r="K12" s="14" t="s">
        <v>47</v>
      </c>
      <c r="L12" s="14" t="s">
        <v>47</v>
      </c>
      <c r="M12" s="50" t="s">
        <v>440</v>
      </c>
      <c r="N12" s="14" t="s">
        <v>32</v>
      </c>
      <c r="O12" s="50" t="s">
        <v>443</v>
      </c>
      <c r="P12" s="50" t="s">
        <v>444</v>
      </c>
      <c r="Q12" s="14" t="s">
        <v>447</v>
      </c>
      <c r="R12" s="14" t="s">
        <v>449</v>
      </c>
      <c r="S12" s="50" t="s">
        <v>450</v>
      </c>
      <c r="T12" s="14">
        <v>1.0</v>
      </c>
      <c r="U12" s="14">
        <v>0.0</v>
      </c>
      <c r="V12" s="14">
        <v>1.0</v>
      </c>
      <c r="W12" s="14">
        <v>0.0</v>
      </c>
      <c r="X12" s="50" t="s">
        <v>455</v>
      </c>
      <c r="Y12" s="14" t="s">
        <v>61</v>
      </c>
      <c r="Z12" s="14"/>
      <c r="AA12" s="16"/>
      <c r="AB12" s="16"/>
      <c r="AC12" s="16">
        <f>SUM(AC6:AC11)</f>
        <v>309</v>
      </c>
      <c r="AD12" s="16"/>
      <c r="AE12" s="16"/>
    </row>
    <row r="13" ht="18.0" customHeight="1">
      <c r="A13" s="14">
        <v>8.0</v>
      </c>
      <c r="B13" s="14" t="s">
        <v>464</v>
      </c>
      <c r="C13" s="14" t="s">
        <v>466</v>
      </c>
      <c r="D13" s="66">
        <v>44893.0</v>
      </c>
      <c r="E13" s="96">
        <v>44907.0</v>
      </c>
      <c r="F13" s="90">
        <v>25732.0</v>
      </c>
      <c r="G13" s="98" t="s">
        <v>170</v>
      </c>
      <c r="H13" s="98" t="s">
        <v>140</v>
      </c>
      <c r="I13" s="73" t="s">
        <v>474</v>
      </c>
      <c r="J13" s="50" t="s">
        <v>477</v>
      </c>
      <c r="K13" s="14" t="s">
        <v>142</v>
      </c>
      <c r="L13" s="14" t="s">
        <v>142</v>
      </c>
      <c r="M13" s="50" t="s">
        <v>482</v>
      </c>
      <c r="N13" s="14" t="s">
        <v>32</v>
      </c>
      <c r="O13" s="50" t="s">
        <v>485</v>
      </c>
      <c r="P13" s="156" t="s">
        <v>488</v>
      </c>
      <c r="Q13" s="14" t="s">
        <v>511</v>
      </c>
      <c r="R13" s="14" t="s">
        <v>512</v>
      </c>
      <c r="S13" s="50" t="s">
        <v>515</v>
      </c>
      <c r="T13" s="14">
        <v>1.0</v>
      </c>
      <c r="U13" s="14">
        <v>0.0</v>
      </c>
      <c r="V13" s="14">
        <v>3.0</v>
      </c>
      <c r="W13" s="14">
        <v>1.0</v>
      </c>
      <c r="X13" s="50" t="s">
        <v>523</v>
      </c>
      <c r="Y13" s="14" t="s">
        <v>61</v>
      </c>
      <c r="Z13" s="14"/>
      <c r="AA13" s="16"/>
      <c r="AB13" s="16"/>
      <c r="AC13" s="16"/>
      <c r="AD13" s="16"/>
      <c r="AE13" s="16"/>
    </row>
    <row r="14" ht="15.75" customHeight="1">
      <c r="A14" s="14">
        <v>9.0</v>
      </c>
      <c r="B14" s="14" t="s">
        <v>533</v>
      </c>
      <c r="C14" s="139" t="s">
        <v>534</v>
      </c>
      <c r="D14" s="66">
        <v>44895.0</v>
      </c>
      <c r="E14" s="137">
        <v>44999.0</v>
      </c>
      <c r="F14" s="90">
        <v>8564.0</v>
      </c>
      <c r="G14" s="98" t="s">
        <v>84</v>
      </c>
      <c r="H14" s="98" t="s">
        <v>43</v>
      </c>
      <c r="I14" s="73" t="s">
        <v>539</v>
      </c>
      <c r="J14" s="50" t="s">
        <v>540</v>
      </c>
      <c r="K14" s="14" t="s">
        <v>47</v>
      </c>
      <c r="L14" s="14" t="s">
        <v>47</v>
      </c>
      <c r="M14" s="50" t="s">
        <v>545</v>
      </c>
      <c r="N14" s="14" t="s">
        <v>69</v>
      </c>
      <c r="O14" s="50" t="s">
        <v>546</v>
      </c>
      <c r="P14" s="57" t="s">
        <v>547</v>
      </c>
      <c r="Q14" s="14" t="s">
        <v>548</v>
      </c>
      <c r="R14" s="14" t="s">
        <v>550</v>
      </c>
      <c r="S14" s="50" t="s">
        <v>553</v>
      </c>
      <c r="T14" s="14">
        <v>1.0</v>
      </c>
      <c r="U14" s="14">
        <v>0.0</v>
      </c>
      <c r="V14" s="14">
        <v>5.0</v>
      </c>
      <c r="W14" s="14">
        <v>0.0</v>
      </c>
      <c r="X14" s="14" t="s">
        <v>558</v>
      </c>
      <c r="Y14" s="14" t="s">
        <v>61</v>
      </c>
      <c r="Z14" s="14"/>
      <c r="AA14" s="16"/>
      <c r="AB14" s="16"/>
      <c r="AC14" s="16"/>
      <c r="AD14" s="16"/>
      <c r="AE14" s="16"/>
    </row>
    <row r="15">
      <c r="A15" s="75">
        <v>10.0</v>
      </c>
      <c r="B15" s="75" t="s">
        <v>567</v>
      </c>
      <c r="C15" s="75" t="s">
        <v>570</v>
      </c>
      <c r="D15" s="120">
        <v>44895.0</v>
      </c>
      <c r="E15" s="86">
        <v>44909.0</v>
      </c>
      <c r="F15" s="88">
        <v>33905.0</v>
      </c>
      <c r="G15" s="161" t="s">
        <v>170</v>
      </c>
      <c r="H15" s="161" t="s">
        <v>85</v>
      </c>
      <c r="I15" s="73" t="s">
        <v>579</v>
      </c>
      <c r="J15" s="57" t="s">
        <v>125</v>
      </c>
      <c r="K15" s="14" t="s">
        <v>125</v>
      </c>
      <c r="L15" s="14" t="s">
        <v>88</v>
      </c>
      <c r="M15" s="50" t="s">
        <v>582</v>
      </c>
      <c r="N15" s="14" t="s">
        <v>32</v>
      </c>
      <c r="O15" s="50" t="s">
        <v>584</v>
      </c>
      <c r="P15" s="50" t="s">
        <v>585</v>
      </c>
      <c r="Q15" s="14" t="s">
        <v>587</v>
      </c>
      <c r="R15" s="14" t="s">
        <v>588</v>
      </c>
      <c r="S15" s="50" t="s">
        <v>590</v>
      </c>
      <c r="T15" s="14">
        <v>1.0</v>
      </c>
      <c r="U15" s="14">
        <v>0.0</v>
      </c>
      <c r="V15" s="14">
        <v>2.0</v>
      </c>
      <c r="W15" s="14">
        <v>0.0</v>
      </c>
      <c r="X15" s="50" t="s">
        <v>598</v>
      </c>
      <c r="Y15" s="14" t="s">
        <v>599</v>
      </c>
      <c r="Z15" s="14"/>
      <c r="AA15" s="16"/>
      <c r="AB15" s="148" t="s">
        <v>385</v>
      </c>
      <c r="AC15" s="148" t="s">
        <v>391</v>
      </c>
      <c r="AD15" s="16"/>
      <c r="AE15" s="16"/>
    </row>
    <row r="16">
      <c r="A16" s="75">
        <v>11.0</v>
      </c>
      <c r="B16" s="75" t="s">
        <v>611</v>
      </c>
      <c r="C16" s="75" t="s">
        <v>613</v>
      </c>
      <c r="D16" s="120">
        <v>44897.0</v>
      </c>
      <c r="E16" s="86">
        <v>44908.0</v>
      </c>
      <c r="F16" s="88">
        <v>519.0</v>
      </c>
      <c r="G16" s="161" t="s">
        <v>84</v>
      </c>
      <c r="H16" s="161" t="s">
        <v>173</v>
      </c>
      <c r="I16" s="73" t="s">
        <v>623</v>
      </c>
      <c r="J16" s="57" t="s">
        <v>179</v>
      </c>
      <c r="K16" s="14" t="s">
        <v>179</v>
      </c>
      <c r="L16" s="14" t="s">
        <v>179</v>
      </c>
      <c r="M16" s="50" t="s">
        <v>626</v>
      </c>
      <c r="N16" s="14" t="s">
        <v>50</v>
      </c>
      <c r="O16" s="113" t="s">
        <v>629</v>
      </c>
      <c r="P16" s="50" t="s">
        <v>630</v>
      </c>
      <c r="Q16" s="14" t="s">
        <v>631</v>
      </c>
      <c r="R16" s="75" t="s">
        <v>633</v>
      </c>
      <c r="S16" s="113" t="s">
        <v>638</v>
      </c>
      <c r="T16" s="14">
        <v>0.0</v>
      </c>
      <c r="U16" s="14">
        <v>1.0</v>
      </c>
      <c r="V16" s="14">
        <v>1.0</v>
      </c>
      <c r="W16" s="14">
        <v>1.0</v>
      </c>
      <c r="X16" s="50" t="s">
        <v>640</v>
      </c>
      <c r="Y16" s="14" t="s">
        <v>61</v>
      </c>
      <c r="Z16" s="14"/>
      <c r="AA16" s="16"/>
      <c r="AB16" s="162" t="s">
        <v>142</v>
      </c>
      <c r="AC16" s="152">
        <f t="shared" ref="AC16:AC25" si="1">COUNTIF($L$6:$L$595,AB16)</f>
        <v>27</v>
      </c>
      <c r="AD16" s="16"/>
      <c r="AE16" s="16"/>
    </row>
    <row r="17" ht="15.75" customHeight="1">
      <c r="A17" s="14">
        <v>12.0</v>
      </c>
      <c r="B17" s="14" t="s">
        <v>652</v>
      </c>
      <c r="C17" s="14" t="s">
        <v>654</v>
      </c>
      <c r="D17" s="66">
        <v>44897.0</v>
      </c>
      <c r="E17" s="96">
        <v>44926.0</v>
      </c>
      <c r="F17" s="90">
        <v>25973.0</v>
      </c>
      <c r="G17" s="98" t="s">
        <v>170</v>
      </c>
      <c r="H17" s="98" t="s">
        <v>173</v>
      </c>
      <c r="I17" s="73" t="s">
        <v>662</v>
      </c>
      <c r="J17" s="50" t="s">
        <v>666</v>
      </c>
      <c r="K17" s="14" t="s">
        <v>666</v>
      </c>
      <c r="L17" s="14" t="s">
        <v>179</v>
      </c>
      <c r="M17" s="50" t="s">
        <v>671</v>
      </c>
      <c r="N17" s="14" t="s">
        <v>32</v>
      </c>
      <c r="O17" s="57" t="s">
        <v>675</v>
      </c>
      <c r="P17" s="57" t="s">
        <v>677</v>
      </c>
      <c r="Q17" s="14" t="s">
        <v>681</v>
      </c>
      <c r="R17" s="14" t="s">
        <v>682</v>
      </c>
      <c r="S17" s="50" t="s">
        <v>684</v>
      </c>
      <c r="T17" s="14">
        <v>0.0</v>
      </c>
      <c r="U17" s="14">
        <v>1.0</v>
      </c>
      <c r="V17" s="14">
        <v>2.0</v>
      </c>
      <c r="W17" s="14">
        <v>0.0</v>
      </c>
      <c r="X17" s="75" t="s">
        <v>687</v>
      </c>
      <c r="Y17" s="14" t="s">
        <v>61</v>
      </c>
      <c r="Z17" s="14"/>
      <c r="AA17" s="16"/>
      <c r="AB17" s="162" t="s">
        <v>496</v>
      </c>
      <c r="AC17" s="152">
        <f t="shared" si="1"/>
        <v>17</v>
      </c>
      <c r="AD17" s="16"/>
      <c r="AE17" s="16"/>
    </row>
    <row r="18" ht="26.25" customHeight="1">
      <c r="A18" s="14">
        <v>13.0</v>
      </c>
      <c r="B18" s="14" t="s">
        <v>692</v>
      </c>
      <c r="C18" s="14" t="s">
        <v>694</v>
      </c>
      <c r="D18" s="66">
        <v>44900.0</v>
      </c>
      <c r="E18" s="137">
        <v>44999.0</v>
      </c>
      <c r="F18" s="90">
        <v>29024.0</v>
      </c>
      <c r="G18" s="98" t="s">
        <v>170</v>
      </c>
      <c r="H18" s="98" t="s">
        <v>698</v>
      </c>
      <c r="I18" s="73" t="s">
        <v>700</v>
      </c>
      <c r="J18" s="50" t="s">
        <v>701</v>
      </c>
      <c r="K18" s="14" t="s">
        <v>702</v>
      </c>
      <c r="L18" s="14" t="s">
        <v>47</v>
      </c>
      <c r="M18" s="50" t="s">
        <v>703</v>
      </c>
      <c r="N18" s="14" t="s">
        <v>32</v>
      </c>
      <c r="O18" s="50" t="s">
        <v>706</v>
      </c>
      <c r="P18" s="50" t="s">
        <v>708</v>
      </c>
      <c r="Q18" s="14" t="s">
        <v>710</v>
      </c>
      <c r="R18" s="14" t="s">
        <v>713</v>
      </c>
      <c r="S18" s="50" t="s">
        <v>716</v>
      </c>
      <c r="T18" s="14">
        <v>1.0</v>
      </c>
      <c r="U18" s="14">
        <v>0.0</v>
      </c>
      <c r="V18" s="14">
        <v>2.0</v>
      </c>
      <c r="W18" s="14">
        <v>0.0</v>
      </c>
      <c r="X18" s="57" t="s">
        <v>724</v>
      </c>
      <c r="Y18" s="14" t="s">
        <v>61</v>
      </c>
      <c r="Z18" s="14"/>
      <c r="AA18" s="16"/>
      <c r="AB18" s="162" t="s">
        <v>240</v>
      </c>
      <c r="AC18" s="152">
        <f t="shared" si="1"/>
        <v>2</v>
      </c>
      <c r="AD18" s="16"/>
      <c r="AE18" s="16"/>
    </row>
    <row r="19">
      <c r="A19" s="14">
        <v>14.0</v>
      </c>
      <c r="B19" s="14" t="s">
        <v>735</v>
      </c>
      <c r="C19" s="14" t="s">
        <v>737</v>
      </c>
      <c r="D19" s="66">
        <v>44909.0</v>
      </c>
      <c r="E19" s="96">
        <v>44926.0</v>
      </c>
      <c r="F19" s="90">
        <v>25383.0</v>
      </c>
      <c r="G19" s="98" t="s">
        <v>170</v>
      </c>
      <c r="H19" s="98" t="s">
        <v>173</v>
      </c>
      <c r="I19" s="73" t="s">
        <v>738</v>
      </c>
      <c r="J19" s="50" t="s">
        <v>741</v>
      </c>
      <c r="K19" s="14" t="s">
        <v>666</v>
      </c>
      <c r="L19" s="14" t="s">
        <v>179</v>
      </c>
      <c r="M19" s="50" t="s">
        <v>746</v>
      </c>
      <c r="N19" s="14" t="s">
        <v>32</v>
      </c>
      <c r="O19" s="50" t="s">
        <v>747</v>
      </c>
      <c r="P19" s="57" t="s">
        <v>748</v>
      </c>
      <c r="Q19" s="14" t="s">
        <v>750</v>
      </c>
      <c r="R19" s="14" t="s">
        <v>752</v>
      </c>
      <c r="S19" s="50" t="s">
        <v>750</v>
      </c>
      <c r="T19" s="14">
        <v>1.0</v>
      </c>
      <c r="U19" s="14">
        <v>2.0</v>
      </c>
      <c r="V19" s="14">
        <v>2.0</v>
      </c>
      <c r="W19" s="14">
        <v>0.0</v>
      </c>
      <c r="X19" s="50" t="s">
        <v>758</v>
      </c>
      <c r="Y19" s="14" t="s">
        <v>61</v>
      </c>
      <c r="Z19" s="14"/>
      <c r="AA19" s="16"/>
      <c r="AB19" s="162" t="s">
        <v>586</v>
      </c>
      <c r="AC19" s="152">
        <f t="shared" si="1"/>
        <v>22</v>
      </c>
      <c r="AD19" s="16"/>
      <c r="AE19" s="16"/>
    </row>
    <row r="20">
      <c r="A20" s="14">
        <v>15.0</v>
      </c>
      <c r="B20" s="168" t="s">
        <v>768</v>
      </c>
      <c r="C20" s="14" t="s">
        <v>770</v>
      </c>
      <c r="D20" s="66">
        <v>44909.0</v>
      </c>
      <c r="E20" s="96">
        <v>44926.0</v>
      </c>
      <c r="F20" s="90">
        <v>21062.0</v>
      </c>
      <c r="G20" s="98" t="s">
        <v>170</v>
      </c>
      <c r="H20" s="98" t="s">
        <v>773</v>
      </c>
      <c r="I20" s="123" t="s">
        <v>775</v>
      </c>
      <c r="J20" s="50" t="s">
        <v>776</v>
      </c>
      <c r="K20" s="14" t="s">
        <v>776</v>
      </c>
      <c r="L20" s="14" t="s">
        <v>419</v>
      </c>
      <c r="M20" s="50" t="s">
        <v>779</v>
      </c>
      <c r="N20" s="14" t="s">
        <v>32</v>
      </c>
      <c r="O20" s="50" t="s">
        <v>782</v>
      </c>
      <c r="P20" s="50" t="s">
        <v>784</v>
      </c>
      <c r="Q20" s="14" t="s">
        <v>785</v>
      </c>
      <c r="R20" s="14" t="s">
        <v>788</v>
      </c>
      <c r="S20" s="50" t="s">
        <v>790</v>
      </c>
      <c r="T20" s="14">
        <v>0.0</v>
      </c>
      <c r="U20" s="14">
        <v>1.0</v>
      </c>
      <c r="V20" s="14">
        <v>2.0</v>
      </c>
      <c r="W20" s="14">
        <v>0.0</v>
      </c>
      <c r="X20" s="50" t="s">
        <v>794</v>
      </c>
      <c r="Y20" s="14" t="s">
        <v>61</v>
      </c>
      <c r="Z20" s="14"/>
      <c r="AA20" s="16"/>
      <c r="AB20" s="162" t="s">
        <v>634</v>
      </c>
      <c r="AC20" s="152">
        <f t="shared" si="1"/>
        <v>4</v>
      </c>
      <c r="AD20" s="16"/>
      <c r="AE20" s="16"/>
    </row>
    <row r="21" ht="17.25" customHeight="1">
      <c r="A21" s="14">
        <v>16.0</v>
      </c>
      <c r="B21" s="14" t="s">
        <v>803</v>
      </c>
      <c r="C21" s="14" t="s">
        <v>805</v>
      </c>
      <c r="D21" s="66">
        <v>44916.0</v>
      </c>
      <c r="E21" s="96">
        <v>44926.0</v>
      </c>
      <c r="F21" s="90">
        <v>9090.0</v>
      </c>
      <c r="G21" s="161" t="s">
        <v>84</v>
      </c>
      <c r="H21" s="98" t="s">
        <v>43</v>
      </c>
      <c r="I21" s="73" t="s">
        <v>814</v>
      </c>
      <c r="J21" s="50" t="s">
        <v>818</v>
      </c>
      <c r="K21" s="14" t="s">
        <v>47</v>
      </c>
      <c r="L21" s="14" t="s">
        <v>47</v>
      </c>
      <c r="M21" s="50" t="s">
        <v>820</v>
      </c>
      <c r="N21" s="14" t="s">
        <v>32</v>
      </c>
      <c r="O21" s="50" t="s">
        <v>824</v>
      </c>
      <c r="P21" s="50" t="s">
        <v>827</v>
      </c>
      <c r="Q21" s="14" t="s">
        <v>829</v>
      </c>
      <c r="R21" s="14" t="s">
        <v>832</v>
      </c>
      <c r="S21" s="50" t="s">
        <v>833</v>
      </c>
      <c r="T21" s="14">
        <v>1.0</v>
      </c>
      <c r="U21" s="14">
        <v>0.0</v>
      </c>
      <c r="V21" s="14">
        <v>2.0</v>
      </c>
      <c r="W21" s="14">
        <v>0.0</v>
      </c>
      <c r="X21" s="50" t="s">
        <v>838</v>
      </c>
      <c r="Y21" s="14" t="s">
        <v>61</v>
      </c>
      <c r="Z21" s="14"/>
      <c r="AA21" s="16"/>
      <c r="AB21" s="162" t="s">
        <v>419</v>
      </c>
      <c r="AC21" s="152">
        <f t="shared" si="1"/>
        <v>6</v>
      </c>
      <c r="AD21" s="16"/>
      <c r="AE21" s="16"/>
    </row>
    <row r="22" ht="15.75" customHeight="1">
      <c r="A22" s="14">
        <v>17.0</v>
      </c>
      <c r="B22" s="14" t="s">
        <v>845</v>
      </c>
      <c r="C22" s="14" t="s">
        <v>848</v>
      </c>
      <c r="D22" s="66">
        <v>44916.0</v>
      </c>
      <c r="E22" s="96">
        <v>44926.0</v>
      </c>
      <c r="F22" s="90">
        <v>25970.0</v>
      </c>
      <c r="G22" s="161" t="s">
        <v>84</v>
      </c>
      <c r="H22" s="98" t="s">
        <v>173</v>
      </c>
      <c r="I22" s="80" t="s">
        <v>853</v>
      </c>
      <c r="J22" s="50" t="s">
        <v>741</v>
      </c>
      <c r="K22" s="14" t="s">
        <v>666</v>
      </c>
      <c r="L22" s="14" t="s">
        <v>179</v>
      </c>
      <c r="M22" s="50" t="s">
        <v>858</v>
      </c>
      <c r="N22" s="14" t="s">
        <v>32</v>
      </c>
      <c r="O22" s="50" t="s">
        <v>861</v>
      </c>
      <c r="P22" s="57" t="s">
        <v>863</v>
      </c>
      <c r="Q22" s="14" t="s">
        <v>866</v>
      </c>
      <c r="R22" s="14" t="s">
        <v>868</v>
      </c>
      <c r="S22" s="57" t="s">
        <v>871</v>
      </c>
      <c r="T22" s="14">
        <v>0.0</v>
      </c>
      <c r="U22" s="14">
        <v>1.0</v>
      </c>
      <c r="V22" s="14">
        <v>1.0</v>
      </c>
      <c r="W22" s="14">
        <v>0.0</v>
      </c>
      <c r="X22" s="14" t="s">
        <v>874</v>
      </c>
      <c r="Y22" s="14" t="s">
        <v>61</v>
      </c>
      <c r="Z22" s="14"/>
      <c r="AA22" s="16"/>
      <c r="AB22" s="162" t="s">
        <v>210</v>
      </c>
      <c r="AC22" s="152">
        <f t="shared" si="1"/>
        <v>11</v>
      </c>
      <c r="AD22" s="16"/>
      <c r="AE22" s="16"/>
    </row>
    <row r="23" ht="15.75" customHeight="1">
      <c r="A23" s="14">
        <v>18.0</v>
      </c>
      <c r="B23" s="14" t="s">
        <v>883</v>
      </c>
      <c r="C23" s="14" t="s">
        <v>886</v>
      </c>
      <c r="D23" s="66">
        <v>44916.0</v>
      </c>
      <c r="E23" s="137">
        <v>46135.0</v>
      </c>
      <c r="F23" s="90">
        <v>11849.0</v>
      </c>
      <c r="G23" s="98" t="s">
        <v>170</v>
      </c>
      <c r="H23" s="98" t="s">
        <v>43</v>
      </c>
      <c r="I23" s="80" t="s">
        <v>890</v>
      </c>
      <c r="J23" s="50" t="s">
        <v>67</v>
      </c>
      <c r="K23" s="14" t="s">
        <v>47</v>
      </c>
      <c r="L23" s="14" t="s">
        <v>47</v>
      </c>
      <c r="M23" s="50" t="s">
        <v>896</v>
      </c>
      <c r="N23" s="14" t="s">
        <v>32</v>
      </c>
      <c r="O23" s="50" t="s">
        <v>897</v>
      </c>
      <c r="P23" s="50" t="s">
        <v>900</v>
      </c>
      <c r="Q23" s="14" t="s">
        <v>902</v>
      </c>
      <c r="R23" s="14">
        <v>9.90006975E8</v>
      </c>
      <c r="S23" s="57" t="s">
        <v>905</v>
      </c>
      <c r="T23" s="14">
        <v>1.0</v>
      </c>
      <c r="U23" s="14">
        <v>1.0</v>
      </c>
      <c r="V23" s="14">
        <v>3.0</v>
      </c>
      <c r="W23" s="14">
        <v>1.0</v>
      </c>
      <c r="X23" s="14" t="s">
        <v>907</v>
      </c>
      <c r="Y23" s="14" t="s">
        <v>909</v>
      </c>
      <c r="Z23" s="14"/>
      <c r="AA23" s="16"/>
      <c r="AB23" s="162" t="s">
        <v>179</v>
      </c>
      <c r="AC23" s="152">
        <f t="shared" si="1"/>
        <v>10</v>
      </c>
      <c r="AD23" s="16"/>
      <c r="AE23" s="16"/>
    </row>
    <row r="24" ht="15.75" customHeight="1">
      <c r="A24" s="14">
        <v>19.0</v>
      </c>
      <c r="B24" s="14" t="s">
        <v>913</v>
      </c>
      <c r="C24" s="14" t="s">
        <v>915</v>
      </c>
      <c r="D24" s="175">
        <v>44930.0</v>
      </c>
      <c r="E24" s="137">
        <v>44949.0</v>
      </c>
      <c r="F24" s="90">
        <v>3943.0</v>
      </c>
      <c r="G24" s="161" t="s">
        <v>84</v>
      </c>
      <c r="H24" s="98" t="s">
        <v>921</v>
      </c>
      <c r="I24" s="80" t="s">
        <v>922</v>
      </c>
      <c r="J24" s="50" t="s">
        <v>925</v>
      </c>
      <c r="K24" s="14" t="s">
        <v>928</v>
      </c>
      <c r="L24" s="14" t="s">
        <v>634</v>
      </c>
      <c r="M24" s="50" t="s">
        <v>929</v>
      </c>
      <c r="N24" s="14" t="s">
        <v>50</v>
      </c>
      <c r="O24" s="50" t="s">
        <v>931</v>
      </c>
      <c r="P24" s="50" t="s">
        <v>933</v>
      </c>
      <c r="Q24" s="14" t="s">
        <v>936</v>
      </c>
      <c r="R24" s="14" t="s">
        <v>938</v>
      </c>
      <c r="S24" s="50" t="s">
        <v>936</v>
      </c>
      <c r="T24" s="14">
        <v>0.0</v>
      </c>
      <c r="U24" s="14">
        <v>1.0</v>
      </c>
      <c r="V24" s="14">
        <v>4.0</v>
      </c>
      <c r="W24" s="14">
        <v>0.0</v>
      </c>
      <c r="X24" s="14" t="s">
        <v>947</v>
      </c>
      <c r="Y24" s="14" t="s">
        <v>61</v>
      </c>
      <c r="Z24" s="14"/>
      <c r="AA24" s="16"/>
      <c r="AB24" s="162" t="s">
        <v>88</v>
      </c>
      <c r="AC24" s="152">
        <f t="shared" si="1"/>
        <v>18</v>
      </c>
      <c r="AD24" s="16"/>
      <c r="AE24" s="16"/>
    </row>
    <row r="25" ht="15.75" customHeight="1">
      <c r="A25" s="14">
        <v>20.0</v>
      </c>
      <c r="B25" s="14" t="s">
        <v>959</v>
      </c>
      <c r="C25" s="14" t="s">
        <v>962</v>
      </c>
      <c r="D25" s="175">
        <v>44930.0</v>
      </c>
      <c r="E25" s="137">
        <v>44949.0</v>
      </c>
      <c r="F25" s="90">
        <v>29146.0</v>
      </c>
      <c r="G25" s="98" t="s">
        <v>170</v>
      </c>
      <c r="H25" s="177" t="s">
        <v>273</v>
      </c>
      <c r="I25" s="80" t="s">
        <v>969</v>
      </c>
      <c r="J25" s="50" t="s">
        <v>277</v>
      </c>
      <c r="K25" s="14" t="s">
        <v>277</v>
      </c>
      <c r="L25" s="14" t="s">
        <v>281</v>
      </c>
      <c r="M25" s="50" t="s">
        <v>975</v>
      </c>
      <c r="N25" s="14" t="s">
        <v>32</v>
      </c>
      <c r="O25" s="50" t="s">
        <v>978</v>
      </c>
      <c r="P25" s="50" t="s">
        <v>980</v>
      </c>
      <c r="Q25" s="14" t="s">
        <v>982</v>
      </c>
      <c r="R25" s="14" t="s">
        <v>984</v>
      </c>
      <c r="S25" s="50" t="s">
        <v>985</v>
      </c>
      <c r="T25" s="14">
        <v>1.0</v>
      </c>
      <c r="U25" s="14">
        <v>0.0</v>
      </c>
      <c r="V25" s="14">
        <v>2.0</v>
      </c>
      <c r="W25" s="14">
        <v>1.0</v>
      </c>
      <c r="X25" s="14" t="s">
        <v>993</v>
      </c>
      <c r="Y25" s="14" t="s">
        <v>61</v>
      </c>
      <c r="Z25" s="14"/>
      <c r="AA25" s="16"/>
      <c r="AB25" s="162" t="s">
        <v>281</v>
      </c>
      <c r="AC25" s="152">
        <f t="shared" si="1"/>
        <v>9</v>
      </c>
      <c r="AD25" s="16"/>
      <c r="AE25" s="16"/>
    </row>
    <row r="26" ht="15.75" customHeight="1">
      <c r="A26" s="14">
        <v>271.0</v>
      </c>
      <c r="B26" s="14" t="s">
        <v>1001</v>
      </c>
      <c r="C26" s="14" t="s">
        <v>1002</v>
      </c>
      <c r="D26" s="141">
        <v>45887.0</v>
      </c>
      <c r="E26" s="137">
        <v>45889.0</v>
      </c>
      <c r="F26" s="90">
        <v>10559.0</v>
      </c>
      <c r="G26" s="98" t="s">
        <v>84</v>
      </c>
      <c r="H26" s="98" t="s">
        <v>205</v>
      </c>
      <c r="I26" s="80" t="s">
        <v>1007</v>
      </c>
      <c r="J26" s="50" t="s">
        <v>207</v>
      </c>
      <c r="K26" s="14" t="s">
        <v>1010</v>
      </c>
      <c r="L26" s="14" t="s">
        <v>210</v>
      </c>
      <c r="M26" s="50" t="s">
        <v>1012</v>
      </c>
      <c r="N26" s="14" t="s">
        <v>32</v>
      </c>
      <c r="O26" s="50" t="s">
        <v>1016</v>
      </c>
      <c r="P26" s="50" t="s">
        <v>1018</v>
      </c>
      <c r="Q26" s="14" t="s">
        <v>1019</v>
      </c>
      <c r="R26" s="14">
        <v>9.50999223E8</v>
      </c>
      <c r="S26" s="50" t="s">
        <v>1021</v>
      </c>
      <c r="T26" s="14">
        <v>1.0</v>
      </c>
      <c r="U26" s="14">
        <v>0.0</v>
      </c>
      <c r="V26" s="14">
        <v>3.0</v>
      </c>
      <c r="W26" s="14">
        <v>0.0</v>
      </c>
      <c r="X26" s="14" t="s">
        <v>1025</v>
      </c>
      <c r="Y26" s="14" t="s">
        <v>61</v>
      </c>
      <c r="Z26" s="14"/>
      <c r="AA26" s="16"/>
      <c r="AB26" s="162" t="s">
        <v>47</v>
      </c>
      <c r="AC26" s="152">
        <f>COUNTIF($L$6:$L$600,AB26)</f>
        <v>98</v>
      </c>
      <c r="AD26" s="16"/>
      <c r="AE26" s="16"/>
    </row>
    <row r="27" ht="15.75" customHeight="1">
      <c r="A27" s="14">
        <v>22.0</v>
      </c>
      <c r="B27" s="14" t="s">
        <v>1034</v>
      </c>
      <c r="C27" s="14" t="s">
        <v>1036</v>
      </c>
      <c r="D27" s="175">
        <v>44939.0</v>
      </c>
      <c r="E27" s="137">
        <v>44953.0</v>
      </c>
      <c r="F27" s="90">
        <v>17385.0</v>
      </c>
      <c r="G27" s="98" t="s">
        <v>170</v>
      </c>
      <c r="H27" s="98" t="s">
        <v>153</v>
      </c>
      <c r="I27" s="80" t="s">
        <v>1039</v>
      </c>
      <c r="J27" s="50" t="s">
        <v>156</v>
      </c>
      <c r="K27" s="14" t="s">
        <v>47</v>
      </c>
      <c r="L27" s="14" t="s">
        <v>47</v>
      </c>
      <c r="M27" s="50" t="s">
        <v>1045</v>
      </c>
      <c r="N27" s="14" t="s">
        <v>32</v>
      </c>
      <c r="O27" s="50" t="s">
        <v>1046</v>
      </c>
      <c r="P27" s="50" t="s">
        <v>1048</v>
      </c>
      <c r="Q27" s="14" t="s">
        <v>1050</v>
      </c>
      <c r="R27" s="14" t="s">
        <v>1052</v>
      </c>
      <c r="S27" s="50" t="s">
        <v>1053</v>
      </c>
      <c r="T27" s="14">
        <v>1.0</v>
      </c>
      <c r="U27" s="14">
        <v>0.0</v>
      </c>
      <c r="V27" s="14">
        <v>3.0</v>
      </c>
      <c r="W27" s="14">
        <v>0.0</v>
      </c>
      <c r="X27" s="14" t="s">
        <v>1056</v>
      </c>
      <c r="Y27" s="14" t="s">
        <v>1058</v>
      </c>
      <c r="Z27" s="14"/>
      <c r="AA27" s="16"/>
      <c r="AB27" s="162" t="s">
        <v>1003</v>
      </c>
      <c r="AC27" s="152">
        <f t="shared" ref="AC27:AC40" si="2">COUNTIF($L$6:$L$595,AB27)</f>
        <v>4</v>
      </c>
      <c r="AD27" s="16"/>
      <c r="AE27" s="16"/>
    </row>
    <row r="28" ht="15.75" customHeight="1">
      <c r="A28" s="14">
        <v>23.0</v>
      </c>
      <c r="B28" s="14" t="s">
        <v>1064</v>
      </c>
      <c r="C28" s="14" t="s">
        <v>1065</v>
      </c>
      <c r="D28" s="175">
        <v>44938.0</v>
      </c>
      <c r="E28" s="137">
        <v>44953.0</v>
      </c>
      <c r="F28" s="90">
        <v>21966.0</v>
      </c>
      <c r="G28" s="184" t="s">
        <v>170</v>
      </c>
      <c r="H28" s="98" t="s">
        <v>140</v>
      </c>
      <c r="I28" s="80" t="s">
        <v>1074</v>
      </c>
      <c r="J28" s="50" t="s">
        <v>477</v>
      </c>
      <c r="K28" s="14" t="s">
        <v>142</v>
      </c>
      <c r="L28" s="14" t="s">
        <v>142</v>
      </c>
      <c r="M28" s="57" t="s">
        <v>1075</v>
      </c>
      <c r="N28" s="14" t="s">
        <v>32</v>
      </c>
      <c r="O28" s="50" t="s">
        <v>1079</v>
      </c>
      <c r="P28" s="50" t="s">
        <v>1081</v>
      </c>
      <c r="Q28" s="14" t="s">
        <v>1082</v>
      </c>
      <c r="R28" s="14" t="s">
        <v>1083</v>
      </c>
      <c r="S28" s="50" t="s">
        <v>1084</v>
      </c>
      <c r="T28" s="14">
        <v>1.0</v>
      </c>
      <c r="U28" s="14">
        <v>0.0</v>
      </c>
      <c r="V28" s="14">
        <v>2.0</v>
      </c>
      <c r="W28" s="14">
        <v>0.0</v>
      </c>
      <c r="X28" s="14" t="s">
        <v>1088</v>
      </c>
      <c r="Y28" s="14" t="s">
        <v>61</v>
      </c>
      <c r="Z28" s="14"/>
      <c r="AA28" s="16"/>
      <c r="AB28" s="162" t="s">
        <v>610</v>
      </c>
      <c r="AC28" s="152">
        <f t="shared" si="2"/>
        <v>17</v>
      </c>
      <c r="AD28" s="16"/>
      <c r="AE28" s="16"/>
    </row>
    <row r="29" ht="15.75" customHeight="1">
      <c r="A29" s="14">
        <v>24.0</v>
      </c>
      <c r="B29" s="14" t="s">
        <v>1092</v>
      </c>
      <c r="C29" s="14" t="s">
        <v>1094</v>
      </c>
      <c r="D29" s="128">
        <v>44942.0</v>
      </c>
      <c r="E29" s="137">
        <v>44949.0</v>
      </c>
      <c r="F29" s="90">
        <v>20346.0</v>
      </c>
      <c r="G29" s="98" t="s">
        <v>170</v>
      </c>
      <c r="H29" s="98" t="s">
        <v>43</v>
      </c>
      <c r="I29" s="80" t="s">
        <v>1104</v>
      </c>
      <c r="J29" s="50" t="s">
        <v>1091</v>
      </c>
      <c r="K29" s="14" t="s">
        <v>47</v>
      </c>
      <c r="L29" s="14" t="s">
        <v>47</v>
      </c>
      <c r="M29" s="50" t="s">
        <v>1107</v>
      </c>
      <c r="N29" s="14" t="s">
        <v>32</v>
      </c>
      <c r="O29" s="50" t="s">
        <v>1109</v>
      </c>
      <c r="P29" s="57" t="s">
        <v>1110</v>
      </c>
      <c r="Q29" s="136" t="s">
        <v>1114</v>
      </c>
      <c r="R29" s="14" t="s">
        <v>1116</v>
      </c>
      <c r="S29" s="113" t="s">
        <v>1117</v>
      </c>
      <c r="T29" s="14">
        <v>1.0</v>
      </c>
      <c r="U29" s="14">
        <v>0.0</v>
      </c>
      <c r="V29" s="14">
        <v>3.0</v>
      </c>
      <c r="W29" s="14">
        <v>0.0</v>
      </c>
      <c r="X29" s="14" t="s">
        <v>1119</v>
      </c>
      <c r="Y29" s="14" t="s">
        <v>61</v>
      </c>
      <c r="Z29" s="136" t="s">
        <v>1122</v>
      </c>
      <c r="AA29" s="16"/>
      <c r="AB29" s="162" t="s">
        <v>322</v>
      </c>
      <c r="AC29" s="152">
        <f t="shared" si="2"/>
        <v>13</v>
      </c>
      <c r="AD29" s="16"/>
      <c r="AE29" s="16"/>
    </row>
    <row r="30" ht="15.75" customHeight="1">
      <c r="A30" s="14">
        <v>25.0</v>
      </c>
      <c r="B30" s="14" t="s">
        <v>1131</v>
      </c>
      <c r="C30" s="14" t="s">
        <v>1132</v>
      </c>
      <c r="D30" s="128">
        <v>44938.0</v>
      </c>
      <c r="E30" s="137">
        <v>44953.0</v>
      </c>
      <c r="F30" s="90">
        <v>26928.0</v>
      </c>
      <c r="G30" s="98" t="s">
        <v>170</v>
      </c>
      <c r="H30" s="98" t="s">
        <v>603</v>
      </c>
      <c r="I30" s="80" t="s">
        <v>1137</v>
      </c>
      <c r="J30" s="50" t="s">
        <v>610</v>
      </c>
      <c r="K30" s="14" t="s">
        <v>610</v>
      </c>
      <c r="L30" s="14" t="s">
        <v>610</v>
      </c>
      <c r="M30" s="57" t="s">
        <v>1139</v>
      </c>
      <c r="N30" s="14" t="s">
        <v>32</v>
      </c>
      <c r="O30" s="50" t="s">
        <v>1140</v>
      </c>
      <c r="P30" s="50" t="s">
        <v>1141</v>
      </c>
      <c r="Q30" s="14" t="s">
        <v>1143</v>
      </c>
      <c r="R30" s="14" t="s">
        <v>1145</v>
      </c>
      <c r="S30" s="50" t="s">
        <v>1143</v>
      </c>
      <c r="T30" s="14">
        <v>1.0</v>
      </c>
      <c r="U30" s="14">
        <v>0.0</v>
      </c>
      <c r="V30" s="14">
        <v>5.0</v>
      </c>
      <c r="W30" s="14">
        <v>0.0</v>
      </c>
      <c r="X30" s="14" t="s">
        <v>1149</v>
      </c>
      <c r="Y30" s="14" t="s">
        <v>61</v>
      </c>
      <c r="Z30" s="14"/>
      <c r="AA30" s="16"/>
      <c r="AB30" s="162" t="s">
        <v>718</v>
      </c>
      <c r="AC30" s="152">
        <f t="shared" si="2"/>
        <v>3</v>
      </c>
      <c r="AD30" s="16"/>
      <c r="AE30" s="16"/>
    </row>
    <row r="31" ht="15.75" customHeight="1">
      <c r="A31" s="14">
        <v>26.0</v>
      </c>
      <c r="B31" s="14" t="s">
        <v>1157</v>
      </c>
      <c r="C31" s="14" t="s">
        <v>1159</v>
      </c>
      <c r="D31" s="128">
        <v>44939.0</v>
      </c>
      <c r="E31" s="137">
        <v>44953.0</v>
      </c>
      <c r="F31" s="90">
        <v>26793.0</v>
      </c>
      <c r="G31" s="98" t="s">
        <v>170</v>
      </c>
      <c r="H31" s="177" t="s">
        <v>43</v>
      </c>
      <c r="I31" s="80" t="s">
        <v>1164</v>
      </c>
      <c r="J31" s="50" t="s">
        <v>1091</v>
      </c>
      <c r="K31" s="14" t="s">
        <v>47</v>
      </c>
      <c r="L31" s="14" t="s">
        <v>47</v>
      </c>
      <c r="M31" s="50" t="s">
        <v>1166</v>
      </c>
      <c r="N31" s="14" t="s">
        <v>32</v>
      </c>
      <c r="O31" s="50" t="s">
        <v>1168</v>
      </c>
      <c r="P31" s="50" t="s">
        <v>1170</v>
      </c>
      <c r="Q31" s="14" t="s">
        <v>1171</v>
      </c>
      <c r="R31" s="188" t="s">
        <v>0</v>
      </c>
      <c r="S31" s="50" t="s">
        <v>1176</v>
      </c>
      <c r="T31" s="14">
        <v>1.0</v>
      </c>
      <c r="U31" s="14">
        <v>0.0</v>
      </c>
      <c r="V31" s="14">
        <v>1.0</v>
      </c>
      <c r="W31" s="14">
        <v>0.0</v>
      </c>
      <c r="X31" s="14" t="s">
        <v>1181</v>
      </c>
      <c r="Y31" s="14" t="s">
        <v>61</v>
      </c>
      <c r="Z31" s="14"/>
      <c r="AA31" s="16"/>
      <c r="AB31" s="189" t="s">
        <v>1103</v>
      </c>
      <c r="AC31" s="190">
        <f t="shared" si="2"/>
        <v>5</v>
      </c>
      <c r="AD31" s="16"/>
      <c r="AE31" s="16"/>
    </row>
    <row r="32" ht="15.75" customHeight="1">
      <c r="A32" s="75">
        <v>27.0</v>
      </c>
      <c r="B32" s="75" t="s">
        <v>1195</v>
      </c>
      <c r="C32" s="75" t="s">
        <v>1196</v>
      </c>
      <c r="D32" s="146">
        <v>44939.0</v>
      </c>
      <c r="E32" s="104">
        <v>44953.0</v>
      </c>
      <c r="F32" s="88">
        <v>11592.0</v>
      </c>
      <c r="G32" s="98" t="s">
        <v>170</v>
      </c>
      <c r="H32" s="161" t="s">
        <v>773</v>
      </c>
      <c r="I32" s="73" t="s">
        <v>1201</v>
      </c>
      <c r="J32" s="57" t="s">
        <v>776</v>
      </c>
      <c r="K32" s="75" t="s">
        <v>776</v>
      </c>
      <c r="L32" s="75" t="s">
        <v>419</v>
      </c>
      <c r="M32" s="57" t="s">
        <v>1206</v>
      </c>
      <c r="N32" s="75" t="s">
        <v>32</v>
      </c>
      <c r="O32" s="57" t="s">
        <v>1209</v>
      </c>
      <c r="P32" s="57" t="s">
        <v>1212</v>
      </c>
      <c r="Q32" s="75" t="s">
        <v>1214</v>
      </c>
      <c r="R32" s="75" t="s">
        <v>1216</v>
      </c>
      <c r="S32" s="57" t="s">
        <v>1217</v>
      </c>
      <c r="T32" s="75">
        <v>0.0</v>
      </c>
      <c r="U32" s="75">
        <v>1.0</v>
      </c>
      <c r="V32" s="75">
        <v>2.0</v>
      </c>
      <c r="W32" s="75">
        <v>0.0</v>
      </c>
      <c r="X32" s="75" t="s">
        <v>1221</v>
      </c>
      <c r="Y32" s="75" t="s">
        <v>1223</v>
      </c>
      <c r="Z32" s="75"/>
      <c r="AA32" s="16"/>
      <c r="AB32" s="162" t="s">
        <v>469</v>
      </c>
      <c r="AC32" s="152">
        <f t="shared" si="2"/>
        <v>2</v>
      </c>
      <c r="AD32" s="190"/>
      <c r="AE32" s="190"/>
    </row>
    <row r="33" ht="15.75" customHeight="1">
      <c r="A33" s="14">
        <v>28.0</v>
      </c>
      <c r="B33" s="14" t="s">
        <v>1228</v>
      </c>
      <c r="C33" s="14" t="s">
        <v>1230</v>
      </c>
      <c r="D33" s="128">
        <v>44949.0</v>
      </c>
      <c r="E33" s="137">
        <v>44956.0</v>
      </c>
      <c r="F33" s="90">
        <v>13055.0</v>
      </c>
      <c r="G33" s="98" t="s">
        <v>84</v>
      </c>
      <c r="H33" s="98" t="s">
        <v>1234</v>
      </c>
      <c r="I33" s="80" t="s">
        <v>1236</v>
      </c>
      <c r="J33" s="50" t="s">
        <v>1238</v>
      </c>
      <c r="K33" s="14" t="s">
        <v>1240</v>
      </c>
      <c r="L33" s="14" t="s">
        <v>1103</v>
      </c>
      <c r="M33" s="50" t="s">
        <v>1243</v>
      </c>
      <c r="N33" s="14" t="s">
        <v>32</v>
      </c>
      <c r="O33" s="50" t="s">
        <v>1246</v>
      </c>
      <c r="P33" s="50" t="s">
        <v>1247</v>
      </c>
      <c r="Q33" s="14" t="s">
        <v>1250</v>
      </c>
      <c r="R33" s="14" t="s">
        <v>1251</v>
      </c>
      <c r="S33" s="50" t="s">
        <v>1253</v>
      </c>
      <c r="T33" s="14">
        <v>1.0</v>
      </c>
      <c r="U33" s="14">
        <v>0.0</v>
      </c>
      <c r="V33" s="14">
        <v>2.0</v>
      </c>
      <c r="W33" s="14">
        <v>1.0</v>
      </c>
      <c r="X33" s="14" t="s">
        <v>1257</v>
      </c>
      <c r="Y33" s="14" t="s">
        <v>61</v>
      </c>
      <c r="Z33" s="14"/>
      <c r="AA33" s="16"/>
      <c r="AB33" s="162" t="s">
        <v>948</v>
      </c>
      <c r="AC33" s="152">
        <f t="shared" si="2"/>
        <v>14</v>
      </c>
      <c r="AD33" s="16"/>
      <c r="AE33" s="16"/>
    </row>
    <row r="34" ht="15.75" customHeight="1">
      <c r="A34" s="14">
        <v>29.0</v>
      </c>
      <c r="B34" s="14" t="s">
        <v>1261</v>
      </c>
      <c r="C34" s="14" t="s">
        <v>1262</v>
      </c>
      <c r="D34" s="128">
        <v>44949.0</v>
      </c>
      <c r="E34" s="137">
        <v>44956.0</v>
      </c>
      <c r="F34" s="90">
        <v>24208.0</v>
      </c>
      <c r="G34" s="98" t="s">
        <v>170</v>
      </c>
      <c r="H34" s="98" t="s">
        <v>140</v>
      </c>
      <c r="I34" s="80" t="s">
        <v>1269</v>
      </c>
      <c r="J34" s="50" t="s">
        <v>142</v>
      </c>
      <c r="K34" s="14" t="s">
        <v>142</v>
      </c>
      <c r="L34" s="14" t="s">
        <v>142</v>
      </c>
      <c r="M34" s="50" t="s">
        <v>1270</v>
      </c>
      <c r="N34" s="14" t="s">
        <v>32</v>
      </c>
      <c r="O34" s="50" t="s">
        <v>1272</v>
      </c>
      <c r="P34" s="50" t="s">
        <v>1273</v>
      </c>
      <c r="Q34" s="14" t="s">
        <v>1274</v>
      </c>
      <c r="R34" s="14">
        <v>9.82709916E8</v>
      </c>
      <c r="S34" s="50" t="s">
        <v>1275</v>
      </c>
      <c r="T34" s="14">
        <v>1.0</v>
      </c>
      <c r="U34" s="14">
        <v>0.0</v>
      </c>
      <c r="V34" s="14">
        <v>0.0</v>
      </c>
      <c r="W34" s="14">
        <v>1.0</v>
      </c>
      <c r="X34" s="14" t="s">
        <v>1282</v>
      </c>
      <c r="Y34" s="14" t="s">
        <v>61</v>
      </c>
      <c r="Z34" s="14"/>
      <c r="AA34" s="16"/>
      <c r="AB34" s="88" t="s">
        <v>663</v>
      </c>
      <c r="AC34" s="119">
        <f t="shared" si="2"/>
        <v>7</v>
      </c>
      <c r="AD34" s="16"/>
      <c r="AE34" s="16"/>
    </row>
    <row r="35" ht="16.5" customHeight="1">
      <c r="A35" s="75">
        <v>30.0</v>
      </c>
      <c r="B35" s="75" t="s">
        <v>1291</v>
      </c>
      <c r="C35" s="75" t="s">
        <v>1292</v>
      </c>
      <c r="D35" s="146">
        <v>44949.0</v>
      </c>
      <c r="E35" s="104">
        <v>44957.0</v>
      </c>
      <c r="F35" s="88">
        <v>32672.0</v>
      </c>
      <c r="G35" s="161"/>
      <c r="H35" s="161" t="s">
        <v>603</v>
      </c>
      <c r="I35" s="73" t="s">
        <v>1298</v>
      </c>
      <c r="J35" s="57" t="s">
        <v>610</v>
      </c>
      <c r="K35" s="75" t="s">
        <v>610</v>
      </c>
      <c r="L35" s="14" t="s">
        <v>610</v>
      </c>
      <c r="M35" s="57" t="s">
        <v>1302</v>
      </c>
      <c r="N35" s="75" t="s">
        <v>32</v>
      </c>
      <c r="O35" s="57" t="s">
        <v>1305</v>
      </c>
      <c r="P35" s="57" t="s">
        <v>1307</v>
      </c>
      <c r="Q35" s="75" t="s">
        <v>1309</v>
      </c>
      <c r="R35" s="75">
        <v>9.66198468E8</v>
      </c>
      <c r="S35" s="57" t="s">
        <v>1312</v>
      </c>
      <c r="T35" s="75">
        <v>1.0</v>
      </c>
      <c r="U35" s="75">
        <v>0.0</v>
      </c>
      <c r="V35" s="75">
        <v>5.0</v>
      </c>
      <c r="W35" s="75">
        <v>0.0</v>
      </c>
      <c r="X35" s="75" t="s">
        <v>1316</v>
      </c>
      <c r="Y35" s="75" t="s">
        <v>61</v>
      </c>
      <c r="Z35" s="75"/>
      <c r="AA35" s="119"/>
      <c r="AB35" s="162" t="s">
        <v>1191</v>
      </c>
      <c r="AC35" s="152">
        <f t="shared" si="2"/>
        <v>1</v>
      </c>
      <c r="AD35" s="119"/>
      <c r="AE35" s="119"/>
    </row>
    <row r="36" ht="26.25" customHeight="1">
      <c r="A36" s="14">
        <v>31.0</v>
      </c>
      <c r="B36" s="139" t="s">
        <v>1325</v>
      </c>
      <c r="C36" s="14" t="s">
        <v>1327</v>
      </c>
      <c r="D36" s="128">
        <v>44951.0</v>
      </c>
      <c r="E36" s="137">
        <v>44957.0</v>
      </c>
      <c r="F36" s="90">
        <v>32601.0</v>
      </c>
      <c r="G36" s="98" t="s">
        <v>84</v>
      </c>
      <c r="H36" s="98" t="s">
        <v>506</v>
      </c>
      <c r="I36" s="80" t="s">
        <v>1328</v>
      </c>
      <c r="J36" s="50" t="s">
        <v>510</v>
      </c>
      <c r="K36" s="14" t="s">
        <v>510</v>
      </c>
      <c r="L36" s="14" t="s">
        <v>496</v>
      </c>
      <c r="M36" s="50" t="s">
        <v>1332</v>
      </c>
      <c r="N36" s="14" t="s">
        <v>69</v>
      </c>
      <c r="O36" s="50" t="s">
        <v>1335</v>
      </c>
      <c r="P36" s="50" t="s">
        <v>1337</v>
      </c>
      <c r="Q36" s="14" t="s">
        <v>1338</v>
      </c>
      <c r="R36" s="14">
        <v>9.51552714E8</v>
      </c>
      <c r="S36" s="50" t="s">
        <v>1341</v>
      </c>
      <c r="T36" s="14">
        <v>1.0</v>
      </c>
      <c r="U36" s="14">
        <v>0.0</v>
      </c>
      <c r="V36" s="14">
        <v>1.0</v>
      </c>
      <c r="W36" s="14">
        <v>0.0</v>
      </c>
      <c r="X36" s="14" t="s">
        <v>1348</v>
      </c>
      <c r="Y36" s="14" t="s">
        <v>61</v>
      </c>
      <c r="Z36" s="14"/>
      <c r="AA36" s="16"/>
      <c r="AB36" s="162" t="s">
        <v>1252</v>
      </c>
      <c r="AC36" s="152">
        <f t="shared" si="2"/>
        <v>1</v>
      </c>
      <c r="AD36" s="16"/>
      <c r="AE36" s="16"/>
    </row>
    <row r="37" ht="15.75" customHeight="1">
      <c r="A37" s="14">
        <v>32.0</v>
      </c>
      <c r="B37" s="139" t="s">
        <v>1354</v>
      </c>
      <c r="C37" s="14" t="s">
        <v>1355</v>
      </c>
      <c r="D37" s="128">
        <v>44953.0</v>
      </c>
      <c r="E37" s="137">
        <v>44960.0</v>
      </c>
      <c r="F37" s="90">
        <v>4074.0</v>
      </c>
      <c r="G37" s="98" t="s">
        <v>84</v>
      </c>
      <c r="H37" s="98" t="s">
        <v>921</v>
      </c>
      <c r="I37" s="80" t="s">
        <v>1360</v>
      </c>
      <c r="J37" s="50" t="s">
        <v>1362</v>
      </c>
      <c r="K37" s="14" t="s">
        <v>1363</v>
      </c>
      <c r="L37" s="14" t="s">
        <v>634</v>
      </c>
      <c r="M37" s="50" t="s">
        <v>1365</v>
      </c>
      <c r="N37" s="14" t="s">
        <v>50</v>
      </c>
      <c r="O37" s="50" t="s">
        <v>1367</v>
      </c>
      <c r="P37" s="50" t="s">
        <v>1368</v>
      </c>
      <c r="Q37" s="14" t="s">
        <v>1369</v>
      </c>
      <c r="R37" s="14" t="s">
        <v>1370</v>
      </c>
      <c r="S37" s="191"/>
      <c r="T37" s="14">
        <v>0.0</v>
      </c>
      <c r="U37" s="14">
        <v>1.0</v>
      </c>
      <c r="V37" s="14">
        <v>3.0</v>
      </c>
      <c r="W37" s="14">
        <v>1.0</v>
      </c>
      <c r="X37" s="14" t="s">
        <v>1381</v>
      </c>
      <c r="Y37" s="14" t="s">
        <v>61</v>
      </c>
      <c r="Z37" s="14"/>
      <c r="AA37" s="16"/>
      <c r="AB37" s="189" t="s">
        <v>1024</v>
      </c>
      <c r="AC37" s="190">
        <f t="shared" si="2"/>
        <v>3</v>
      </c>
      <c r="AD37" s="16"/>
      <c r="AE37" s="16"/>
    </row>
    <row r="38" ht="27.75" customHeight="1">
      <c r="A38" s="110">
        <v>33.0</v>
      </c>
      <c r="B38" s="110" t="s">
        <v>1388</v>
      </c>
      <c r="C38" s="103" t="s">
        <v>1390</v>
      </c>
      <c r="D38" s="103" t="s">
        <v>1392</v>
      </c>
      <c r="E38" s="114" t="s">
        <v>1394</v>
      </c>
      <c r="F38" s="115">
        <v>16411.0</v>
      </c>
      <c r="G38" s="116"/>
      <c r="H38" s="116" t="s">
        <v>315</v>
      </c>
      <c r="I38" s="118" t="s">
        <v>1397</v>
      </c>
      <c r="J38" s="103" t="s">
        <v>509</v>
      </c>
      <c r="K38" s="110" t="s">
        <v>1399</v>
      </c>
      <c r="L38" s="110"/>
      <c r="M38" s="103" t="s">
        <v>1400</v>
      </c>
      <c r="N38" s="110"/>
      <c r="O38" s="103" t="s">
        <v>1401</v>
      </c>
      <c r="P38" s="103" t="s">
        <v>1402</v>
      </c>
      <c r="Q38" s="110" t="s">
        <v>1404</v>
      </c>
      <c r="R38" s="110" t="s">
        <v>1407</v>
      </c>
      <c r="S38" s="103" t="s">
        <v>1408</v>
      </c>
      <c r="T38" s="110">
        <v>1.0</v>
      </c>
      <c r="U38" s="110">
        <v>0.0</v>
      </c>
      <c r="V38" s="110">
        <v>2.0</v>
      </c>
      <c r="W38" s="110">
        <v>0.0</v>
      </c>
      <c r="X38" s="110" t="s">
        <v>1410</v>
      </c>
      <c r="Y38" s="110" t="s">
        <v>61</v>
      </c>
      <c r="Z38" s="110"/>
      <c r="AA38" s="16"/>
      <c r="AB38" s="162" t="s">
        <v>1293</v>
      </c>
      <c r="AC38" s="152">
        <f t="shared" si="2"/>
        <v>7</v>
      </c>
      <c r="AD38" s="190"/>
      <c r="AE38" s="190"/>
    </row>
    <row r="39" ht="15.75" customHeight="1">
      <c r="A39" s="75">
        <v>34.0</v>
      </c>
      <c r="B39" s="14" t="s">
        <v>1419</v>
      </c>
      <c r="C39" s="14" t="s">
        <v>1421</v>
      </c>
      <c r="D39" s="128">
        <v>44960.0</v>
      </c>
      <c r="E39" s="137">
        <v>44972.0</v>
      </c>
      <c r="F39" s="90">
        <v>28244.0</v>
      </c>
      <c r="G39" s="98" t="s">
        <v>170</v>
      </c>
      <c r="H39" s="98" t="s">
        <v>172</v>
      </c>
      <c r="I39" s="73" t="s">
        <v>1428</v>
      </c>
      <c r="J39" s="50" t="s">
        <v>389</v>
      </c>
      <c r="K39" s="14" t="s">
        <v>47</v>
      </c>
      <c r="L39" s="14" t="s">
        <v>47</v>
      </c>
      <c r="M39" s="50" t="s">
        <v>1430</v>
      </c>
      <c r="N39" s="14" t="s">
        <v>32</v>
      </c>
      <c r="O39" s="50" t="s">
        <v>1433</v>
      </c>
      <c r="P39" s="50" t="s">
        <v>1435</v>
      </c>
      <c r="Q39" s="14" t="s">
        <v>1436</v>
      </c>
      <c r="R39" s="14">
        <v>9.93971792E8</v>
      </c>
      <c r="S39" s="50" t="s">
        <v>1437</v>
      </c>
      <c r="T39" s="14">
        <v>1.0</v>
      </c>
      <c r="U39" s="14">
        <v>0.0</v>
      </c>
      <c r="V39" s="14">
        <v>2.0</v>
      </c>
      <c r="W39" s="14">
        <v>0.0</v>
      </c>
      <c r="X39" s="14" t="s">
        <v>1439</v>
      </c>
      <c r="Y39" s="14" t="s">
        <v>61</v>
      </c>
      <c r="Z39" s="14"/>
      <c r="AA39" s="16"/>
      <c r="AB39" s="162" t="s">
        <v>1319</v>
      </c>
      <c r="AC39" s="152">
        <f t="shared" si="2"/>
        <v>3</v>
      </c>
      <c r="AD39" s="16"/>
      <c r="AE39" s="16"/>
    </row>
    <row r="40" ht="17.25" customHeight="1">
      <c r="A40" s="14">
        <v>35.0</v>
      </c>
      <c r="B40" s="71" t="s">
        <v>1448</v>
      </c>
      <c r="C40" s="184" t="s">
        <v>1449</v>
      </c>
      <c r="D40" s="192">
        <v>44960.0</v>
      </c>
      <c r="E40" s="193">
        <v>44964.0</v>
      </c>
      <c r="F40" s="71">
        <v>11113.0</v>
      </c>
      <c r="G40" s="98" t="s">
        <v>170</v>
      </c>
      <c r="H40" s="98" t="s">
        <v>172</v>
      </c>
      <c r="I40" s="194" t="s">
        <v>1461</v>
      </c>
      <c r="J40" s="50" t="s">
        <v>176</v>
      </c>
      <c r="K40" s="14" t="s">
        <v>47</v>
      </c>
      <c r="L40" s="14" t="s">
        <v>47</v>
      </c>
      <c r="M40" s="71" t="s">
        <v>1469</v>
      </c>
      <c r="N40" s="14" t="s">
        <v>32</v>
      </c>
      <c r="O40" s="50" t="s">
        <v>1471</v>
      </c>
      <c r="P40" s="50"/>
      <c r="Q40" s="14" t="s">
        <v>1474</v>
      </c>
      <c r="R40" s="14"/>
      <c r="S40" s="50" t="s">
        <v>1477</v>
      </c>
      <c r="T40" s="14">
        <v>1.0</v>
      </c>
      <c r="U40" s="14">
        <v>0.0</v>
      </c>
      <c r="V40" s="14">
        <v>2.0</v>
      </c>
      <c r="W40" s="14">
        <v>0.0</v>
      </c>
      <c r="X40" s="14"/>
      <c r="Y40" s="14" t="s">
        <v>909</v>
      </c>
      <c r="Z40" s="14"/>
      <c r="AA40" s="16"/>
      <c r="AB40" s="162" t="s">
        <v>1222</v>
      </c>
      <c r="AC40" s="152">
        <f t="shared" si="2"/>
        <v>4</v>
      </c>
      <c r="AD40" s="16"/>
      <c r="AE40" s="16"/>
    </row>
    <row r="41" ht="17.25" customHeight="1">
      <c r="A41" s="14">
        <v>36.0</v>
      </c>
      <c r="B41" s="14" t="s">
        <v>1485</v>
      </c>
      <c r="C41" s="75" t="s">
        <v>1487</v>
      </c>
      <c r="D41" s="128">
        <v>44960.0</v>
      </c>
      <c r="E41" s="137">
        <v>44967.0</v>
      </c>
      <c r="F41" s="90">
        <v>27694.0</v>
      </c>
      <c r="G41" s="98" t="s">
        <v>170</v>
      </c>
      <c r="H41" s="98" t="s">
        <v>173</v>
      </c>
      <c r="I41" s="80" t="s">
        <v>1491</v>
      </c>
      <c r="J41" s="50" t="s">
        <v>741</v>
      </c>
      <c r="K41" s="14" t="s">
        <v>666</v>
      </c>
      <c r="L41" s="14" t="s">
        <v>179</v>
      </c>
      <c r="M41" s="50" t="s">
        <v>1495</v>
      </c>
      <c r="N41" s="14" t="s">
        <v>32</v>
      </c>
      <c r="O41" s="50" t="s">
        <v>1497</v>
      </c>
      <c r="P41" s="50" t="s">
        <v>1499</v>
      </c>
      <c r="Q41" s="14" t="s">
        <v>1501</v>
      </c>
      <c r="R41" s="14" t="s">
        <v>1503</v>
      </c>
      <c r="S41" s="50" t="s">
        <v>1505</v>
      </c>
      <c r="T41" s="14">
        <v>1.0</v>
      </c>
      <c r="U41" s="14">
        <v>0.0</v>
      </c>
      <c r="V41" s="14">
        <v>3.0</v>
      </c>
      <c r="W41" s="14">
        <v>0.0</v>
      </c>
      <c r="X41" s="14" t="s">
        <v>1512</v>
      </c>
      <c r="Y41" s="14" t="s">
        <v>61</v>
      </c>
      <c r="Z41" s="14"/>
      <c r="AA41" s="16"/>
      <c r="AB41" s="16"/>
      <c r="AC41" s="16">
        <f>SUM(AC16:AC40)</f>
        <v>308</v>
      </c>
      <c r="AD41" s="16"/>
      <c r="AE41" s="16"/>
    </row>
    <row r="42" ht="15.75" customHeight="1">
      <c r="A42" s="14">
        <v>37.0</v>
      </c>
      <c r="B42" s="14" t="s">
        <v>1516</v>
      </c>
      <c r="C42" s="75" t="s">
        <v>1519</v>
      </c>
      <c r="D42" s="128">
        <v>44960.0</v>
      </c>
      <c r="E42" s="137">
        <v>44967.0</v>
      </c>
      <c r="F42" s="90">
        <v>24425.0</v>
      </c>
      <c r="G42" s="98" t="s">
        <v>170</v>
      </c>
      <c r="H42" s="98" t="s">
        <v>173</v>
      </c>
      <c r="I42" s="80" t="s">
        <v>1522</v>
      </c>
      <c r="J42" s="50" t="s">
        <v>666</v>
      </c>
      <c r="K42" s="14" t="s">
        <v>666</v>
      </c>
      <c r="L42" s="14" t="s">
        <v>179</v>
      </c>
      <c r="M42" s="50" t="s">
        <v>1526</v>
      </c>
      <c r="N42" s="14" t="s">
        <v>32</v>
      </c>
      <c r="O42" s="50" t="s">
        <v>1529</v>
      </c>
      <c r="P42" s="50" t="s">
        <v>1531</v>
      </c>
      <c r="Q42" s="14" t="s">
        <v>1534</v>
      </c>
      <c r="R42" s="14">
        <v>9.47803062E8</v>
      </c>
      <c r="S42" s="50" t="s">
        <v>1540</v>
      </c>
      <c r="T42" s="14">
        <v>1.0</v>
      </c>
      <c r="U42" s="14">
        <v>0.0</v>
      </c>
      <c r="V42" s="14">
        <v>4.0</v>
      </c>
      <c r="W42" s="14">
        <v>0.0</v>
      </c>
      <c r="X42" s="14" t="s">
        <v>1543</v>
      </c>
      <c r="Y42" s="14" t="s">
        <v>61</v>
      </c>
      <c r="Z42" s="14"/>
      <c r="AA42" s="16"/>
      <c r="AB42" s="16"/>
      <c r="AC42" s="16"/>
      <c r="AD42" s="16"/>
      <c r="AE42" s="16"/>
    </row>
    <row r="43" ht="15.75" customHeight="1">
      <c r="A43" s="14">
        <v>38.0</v>
      </c>
      <c r="B43" s="14" t="s">
        <v>1548</v>
      </c>
      <c r="C43" s="75" t="s">
        <v>1550</v>
      </c>
      <c r="D43" s="128">
        <v>44960.0</v>
      </c>
      <c r="E43" s="137">
        <v>44967.0</v>
      </c>
      <c r="F43" s="90">
        <v>6502.0</v>
      </c>
      <c r="G43" s="98" t="s">
        <v>170</v>
      </c>
      <c r="H43" s="98" t="s">
        <v>315</v>
      </c>
      <c r="I43" s="80" t="s">
        <v>1552</v>
      </c>
      <c r="J43" s="50" t="s">
        <v>876</v>
      </c>
      <c r="K43" s="14" t="s">
        <v>876</v>
      </c>
      <c r="L43" s="14" t="s">
        <v>322</v>
      </c>
      <c r="M43" s="50" t="s">
        <v>1558</v>
      </c>
      <c r="N43" s="14" t="s">
        <v>50</v>
      </c>
      <c r="O43" s="50" t="s">
        <v>1561</v>
      </c>
      <c r="P43" s="50" t="s">
        <v>1562</v>
      </c>
      <c r="Q43" s="50" t="s">
        <v>1563</v>
      </c>
      <c r="R43" s="50" t="s">
        <v>1564</v>
      </c>
      <c r="S43" s="50" t="s">
        <v>1565</v>
      </c>
      <c r="T43" s="14">
        <v>1.0</v>
      </c>
      <c r="U43" s="14">
        <v>0.0</v>
      </c>
      <c r="V43" s="14">
        <v>1.0</v>
      </c>
      <c r="W43" s="14">
        <v>5.0</v>
      </c>
      <c r="X43" s="14" t="s">
        <v>1571</v>
      </c>
      <c r="Y43" s="14" t="s">
        <v>537</v>
      </c>
      <c r="Z43" s="14"/>
      <c r="AA43" s="16"/>
      <c r="AB43" s="16"/>
      <c r="AC43" s="16"/>
      <c r="AD43" s="16"/>
      <c r="AE43" s="16"/>
    </row>
    <row r="44" ht="15.75" customHeight="1">
      <c r="A44" s="14">
        <v>39.0</v>
      </c>
      <c r="B44" s="14" t="s">
        <v>1577</v>
      </c>
      <c r="C44" s="75" t="s">
        <v>1580</v>
      </c>
      <c r="D44" s="200">
        <v>44960.0</v>
      </c>
      <c r="E44" s="137">
        <v>44967.0</v>
      </c>
      <c r="F44" s="90">
        <v>16951.0</v>
      </c>
      <c r="G44" s="98" t="s">
        <v>170</v>
      </c>
      <c r="H44" s="98" t="s">
        <v>153</v>
      </c>
      <c r="I44" s="73" t="s">
        <v>1587</v>
      </c>
      <c r="J44" s="50" t="s">
        <v>1589</v>
      </c>
      <c r="K44" s="14" t="s">
        <v>47</v>
      </c>
      <c r="L44" s="14" t="s">
        <v>47</v>
      </c>
      <c r="M44" s="10" t="s">
        <v>1592</v>
      </c>
      <c r="N44" s="14" t="s">
        <v>32</v>
      </c>
      <c r="O44" s="50" t="s">
        <v>1593</v>
      </c>
      <c r="P44" s="50" t="s">
        <v>1594</v>
      </c>
      <c r="Q44" s="14" t="s">
        <v>1595</v>
      </c>
      <c r="R44" s="14" t="s">
        <v>1596</v>
      </c>
      <c r="S44" s="50" t="s">
        <v>1599</v>
      </c>
      <c r="T44" s="14">
        <v>1.0</v>
      </c>
      <c r="U44" s="14">
        <v>0.0</v>
      </c>
      <c r="V44" s="14">
        <v>3.0</v>
      </c>
      <c r="W44" s="14">
        <v>0.0</v>
      </c>
      <c r="X44" s="14" t="s">
        <v>1601</v>
      </c>
      <c r="Y44" s="14" t="s">
        <v>61</v>
      </c>
      <c r="Z44" s="14"/>
      <c r="AA44" s="16"/>
      <c r="AB44" s="16"/>
      <c r="AC44" s="16"/>
      <c r="AD44" s="16"/>
      <c r="AE44" s="16"/>
    </row>
    <row r="45" ht="15.75" customHeight="1">
      <c r="A45" s="14">
        <v>40.0</v>
      </c>
      <c r="B45" s="14" t="s">
        <v>1607</v>
      </c>
      <c r="C45" s="75" t="s">
        <v>1610</v>
      </c>
      <c r="D45" s="128">
        <v>44966.0</v>
      </c>
      <c r="E45" s="137">
        <v>45000.0</v>
      </c>
      <c r="F45" s="90">
        <v>26473.0</v>
      </c>
      <c r="G45" s="98" t="s">
        <v>170</v>
      </c>
      <c r="H45" s="98" t="s">
        <v>43</v>
      </c>
      <c r="I45" s="80" t="s">
        <v>1614</v>
      </c>
      <c r="J45" s="50" t="s">
        <v>47</v>
      </c>
      <c r="K45" s="14" t="s">
        <v>47</v>
      </c>
      <c r="L45" s="14" t="s">
        <v>47</v>
      </c>
      <c r="M45" s="50" t="s">
        <v>1617</v>
      </c>
      <c r="N45" s="14" t="s">
        <v>32</v>
      </c>
      <c r="O45" s="50" t="s">
        <v>1619</v>
      </c>
      <c r="P45" s="50" t="s">
        <v>1622</v>
      </c>
      <c r="Q45" s="14" t="s">
        <v>1624</v>
      </c>
      <c r="R45" s="14">
        <v>9.50503597E8</v>
      </c>
      <c r="S45" s="50" t="s">
        <v>1625</v>
      </c>
      <c r="T45" s="14">
        <v>1.0</v>
      </c>
      <c r="U45" s="14">
        <v>0.0</v>
      </c>
      <c r="V45" s="14">
        <v>2.0</v>
      </c>
      <c r="W45" s="14">
        <v>0.0</v>
      </c>
      <c r="X45" s="75" t="s">
        <v>1628</v>
      </c>
      <c r="Y45" s="14" t="s">
        <v>872</v>
      </c>
      <c r="Z45" s="14"/>
      <c r="AA45" s="16"/>
      <c r="AB45" s="16"/>
      <c r="AC45" s="16"/>
      <c r="AD45" s="16"/>
      <c r="AE45" s="16"/>
    </row>
    <row r="46" ht="17.25" customHeight="1">
      <c r="A46" s="14">
        <v>41.0</v>
      </c>
      <c r="B46" s="14" t="s">
        <v>1635</v>
      </c>
      <c r="C46" s="75" t="s">
        <v>1637</v>
      </c>
      <c r="D46" s="128">
        <v>44966.0</v>
      </c>
      <c r="E46" s="137">
        <v>44984.0</v>
      </c>
      <c r="F46" s="90">
        <v>13383.0</v>
      </c>
      <c r="G46" s="98" t="s">
        <v>170</v>
      </c>
      <c r="H46" s="98" t="s">
        <v>43</v>
      </c>
      <c r="I46" s="73" t="s">
        <v>1641</v>
      </c>
      <c r="J46" s="50" t="s">
        <v>46</v>
      </c>
      <c r="K46" s="14" t="s">
        <v>47</v>
      </c>
      <c r="L46" s="14" t="s">
        <v>47</v>
      </c>
      <c r="M46" s="50" t="s">
        <v>1644</v>
      </c>
      <c r="N46" s="14" t="s">
        <v>32</v>
      </c>
      <c r="O46" s="50" t="s">
        <v>1647</v>
      </c>
      <c r="P46" s="50" t="s">
        <v>1650</v>
      </c>
      <c r="Q46" s="14" t="s">
        <v>1652</v>
      </c>
      <c r="R46" s="14">
        <v>9.88115674E8</v>
      </c>
      <c r="S46" s="50" t="s">
        <v>1653</v>
      </c>
      <c r="T46" s="14">
        <v>1.0</v>
      </c>
      <c r="U46" s="14">
        <v>0.0</v>
      </c>
      <c r="V46" s="14">
        <v>6.0</v>
      </c>
      <c r="W46" s="14">
        <v>0.0</v>
      </c>
      <c r="X46" s="14" t="s">
        <v>1656</v>
      </c>
      <c r="Y46" s="14" t="s">
        <v>1659</v>
      </c>
      <c r="Z46" s="14"/>
      <c r="AA46" s="16"/>
      <c r="AB46" s="16"/>
      <c r="AC46" s="16"/>
      <c r="AD46" s="16"/>
      <c r="AE46" s="16"/>
    </row>
    <row r="47" ht="17.25" customHeight="1">
      <c r="A47" s="14">
        <v>42.0</v>
      </c>
      <c r="B47" s="14" t="s">
        <v>1663</v>
      </c>
      <c r="C47" s="75" t="s">
        <v>1664</v>
      </c>
      <c r="D47" s="128">
        <v>44966.0</v>
      </c>
      <c r="E47" s="137">
        <v>44981.0</v>
      </c>
      <c r="F47" s="90">
        <v>13296.0</v>
      </c>
      <c r="G47" s="98" t="s">
        <v>84</v>
      </c>
      <c r="H47" s="98" t="s">
        <v>140</v>
      </c>
      <c r="I47" s="80" t="s">
        <v>1672</v>
      </c>
      <c r="J47" s="50" t="s">
        <v>1675</v>
      </c>
      <c r="K47" s="14" t="s">
        <v>142</v>
      </c>
      <c r="L47" s="14" t="s">
        <v>142</v>
      </c>
      <c r="M47" s="50" t="s">
        <v>1677</v>
      </c>
      <c r="N47" s="14" t="s">
        <v>69</v>
      </c>
      <c r="O47" s="50" t="s">
        <v>1678</v>
      </c>
      <c r="P47" s="50" t="s">
        <v>1680</v>
      </c>
      <c r="Q47" s="14" t="s">
        <v>1682</v>
      </c>
      <c r="R47" s="14" t="s">
        <v>1683</v>
      </c>
      <c r="S47" s="50" t="s">
        <v>1684</v>
      </c>
      <c r="T47" s="14">
        <v>1.0</v>
      </c>
      <c r="U47" s="14">
        <v>0.0</v>
      </c>
      <c r="V47" s="14">
        <v>6.0</v>
      </c>
      <c r="W47" s="14">
        <v>0.0</v>
      </c>
      <c r="X47" s="14" t="s">
        <v>1688</v>
      </c>
      <c r="Y47" s="14" t="s">
        <v>61</v>
      </c>
      <c r="Z47" s="14"/>
      <c r="AA47" s="16"/>
      <c r="AB47" s="16"/>
      <c r="AC47" s="16"/>
      <c r="AD47" s="16"/>
      <c r="AE47" s="16"/>
    </row>
    <row r="48" ht="15.75" customHeight="1">
      <c r="A48" s="14">
        <v>43.0</v>
      </c>
      <c r="B48" s="14" t="s">
        <v>1691</v>
      </c>
      <c r="C48" s="75" t="s">
        <v>1692</v>
      </c>
      <c r="D48" s="128">
        <v>44966.0</v>
      </c>
      <c r="E48" s="104">
        <v>45000.0</v>
      </c>
      <c r="F48" s="88">
        <v>34694.0</v>
      </c>
      <c r="G48" s="98" t="s">
        <v>170</v>
      </c>
      <c r="H48" s="98" t="s">
        <v>140</v>
      </c>
      <c r="I48" s="210" t="s">
        <v>1695</v>
      </c>
      <c r="J48" s="50" t="s">
        <v>1701</v>
      </c>
      <c r="K48" s="14" t="s">
        <v>142</v>
      </c>
      <c r="L48" s="14" t="s">
        <v>142</v>
      </c>
      <c r="M48" s="50" t="s">
        <v>1705</v>
      </c>
      <c r="N48" s="14" t="s">
        <v>32</v>
      </c>
      <c r="O48" s="50" t="s">
        <v>1707</v>
      </c>
      <c r="P48" s="50" t="s">
        <v>1708</v>
      </c>
      <c r="Q48" s="14" t="s">
        <v>1709</v>
      </c>
      <c r="R48" s="14">
        <v>9.61960751E8</v>
      </c>
      <c r="S48" s="50" t="s">
        <v>1711</v>
      </c>
      <c r="T48" s="14">
        <v>1.0</v>
      </c>
      <c r="U48" s="14">
        <v>0.0</v>
      </c>
      <c r="V48" s="14">
        <v>1.0</v>
      </c>
      <c r="W48" s="14">
        <v>1.0</v>
      </c>
      <c r="X48" s="14" t="s">
        <v>1714</v>
      </c>
      <c r="Y48" s="14" t="s">
        <v>61</v>
      </c>
      <c r="Z48" s="14"/>
      <c r="AA48" s="16"/>
      <c r="AB48" s="16"/>
      <c r="AC48" s="16"/>
      <c r="AD48" s="16"/>
      <c r="AE48" s="16"/>
    </row>
    <row r="49" ht="15.75" customHeight="1">
      <c r="A49" s="14">
        <v>44.0</v>
      </c>
      <c r="B49" s="14" t="s">
        <v>1719</v>
      </c>
      <c r="C49" s="75" t="s">
        <v>1720</v>
      </c>
      <c r="D49" s="128">
        <v>44966.0</v>
      </c>
      <c r="E49" s="137">
        <v>45000.0</v>
      </c>
      <c r="F49" s="90">
        <v>3917.0</v>
      </c>
      <c r="G49" s="98" t="s">
        <v>84</v>
      </c>
      <c r="H49" s="98" t="s">
        <v>921</v>
      </c>
      <c r="I49" s="80" t="s">
        <v>1725</v>
      </c>
      <c r="J49" s="50" t="s">
        <v>1727</v>
      </c>
      <c r="K49" s="14" t="s">
        <v>1727</v>
      </c>
      <c r="L49" s="14" t="s">
        <v>634</v>
      </c>
      <c r="M49" s="50" t="s">
        <v>1730</v>
      </c>
      <c r="N49" s="14" t="s">
        <v>50</v>
      </c>
      <c r="O49" s="50" t="s">
        <v>1732</v>
      </c>
      <c r="P49" s="50" t="s">
        <v>1733</v>
      </c>
      <c r="Q49" s="14" t="s">
        <v>1736</v>
      </c>
      <c r="R49" s="14" t="s">
        <v>1737</v>
      </c>
      <c r="S49" s="50" t="s">
        <v>1739</v>
      </c>
      <c r="T49" s="14">
        <v>0.0</v>
      </c>
      <c r="U49" s="14">
        <v>1.0</v>
      </c>
      <c r="V49" s="14">
        <v>3.0</v>
      </c>
      <c r="W49" s="14">
        <v>1.0</v>
      </c>
      <c r="X49" s="14" t="s">
        <v>1743</v>
      </c>
      <c r="Y49" s="14" t="s">
        <v>61</v>
      </c>
      <c r="Z49" s="14"/>
      <c r="AA49" s="16"/>
      <c r="AB49" s="16"/>
      <c r="AC49" s="16"/>
      <c r="AD49" s="16"/>
      <c r="AE49" s="16"/>
    </row>
    <row r="50" ht="15.75" customHeight="1">
      <c r="A50" s="14">
        <v>45.0</v>
      </c>
      <c r="B50" s="14" t="s">
        <v>1744</v>
      </c>
      <c r="C50" s="75" t="s">
        <v>1746</v>
      </c>
      <c r="D50" s="128">
        <v>44971.0</v>
      </c>
      <c r="E50" s="137">
        <v>44984.0</v>
      </c>
      <c r="F50" s="90">
        <v>16951.0</v>
      </c>
      <c r="G50" s="98" t="s">
        <v>170</v>
      </c>
      <c r="H50" s="98" t="s">
        <v>76</v>
      </c>
      <c r="I50" s="73" t="s">
        <v>1751</v>
      </c>
      <c r="J50" s="50" t="s">
        <v>1055</v>
      </c>
      <c r="K50" s="14" t="s">
        <v>47</v>
      </c>
      <c r="L50" s="14" t="s">
        <v>47</v>
      </c>
      <c r="M50" s="10" t="s">
        <v>1753</v>
      </c>
      <c r="N50" s="14" t="s">
        <v>32</v>
      </c>
      <c r="O50" s="50" t="s">
        <v>1754</v>
      </c>
      <c r="P50" s="50" t="s">
        <v>1755</v>
      </c>
      <c r="Q50" s="14" t="s">
        <v>1756</v>
      </c>
      <c r="R50" s="14">
        <v>9.80883923E8</v>
      </c>
      <c r="S50" s="10" t="s">
        <v>1759</v>
      </c>
      <c r="T50" s="14">
        <v>1.0</v>
      </c>
      <c r="U50" s="14">
        <v>0.0</v>
      </c>
      <c r="V50" s="14">
        <v>4.0</v>
      </c>
      <c r="W50" s="14">
        <v>0.0</v>
      </c>
      <c r="X50" s="14" t="s">
        <v>1763</v>
      </c>
      <c r="Y50" s="14" t="s">
        <v>1764</v>
      </c>
      <c r="Z50" s="14"/>
      <c r="AA50" s="16"/>
      <c r="AB50" s="16"/>
      <c r="AC50" s="16"/>
      <c r="AD50" s="16"/>
      <c r="AE50" s="16"/>
    </row>
    <row r="51" ht="15.75" customHeight="1">
      <c r="A51" s="14">
        <v>46.0</v>
      </c>
      <c r="B51" s="14" t="s">
        <v>1771</v>
      </c>
      <c r="C51" s="75" t="s">
        <v>1772</v>
      </c>
      <c r="D51" s="128">
        <v>44971.0</v>
      </c>
      <c r="E51" s="137">
        <v>44984.0</v>
      </c>
      <c r="F51" s="90">
        <v>32409.0</v>
      </c>
      <c r="G51" s="98" t="s">
        <v>170</v>
      </c>
      <c r="H51" s="98" t="s">
        <v>172</v>
      </c>
      <c r="I51" s="73" t="s">
        <v>1776</v>
      </c>
      <c r="J51" s="50" t="s">
        <v>176</v>
      </c>
      <c r="K51" s="14" t="s">
        <v>47</v>
      </c>
      <c r="L51" s="14" t="s">
        <v>47</v>
      </c>
      <c r="M51" s="50" t="s">
        <v>1780</v>
      </c>
      <c r="N51" s="14" t="s">
        <v>32</v>
      </c>
      <c r="O51" s="50" t="s">
        <v>1781</v>
      </c>
      <c r="P51" s="50" t="s">
        <v>1783</v>
      </c>
      <c r="Q51" s="14"/>
      <c r="R51" s="14">
        <v>9.99184977E8</v>
      </c>
      <c r="S51" s="113" t="s">
        <v>1787</v>
      </c>
      <c r="T51" s="14">
        <v>1.0</v>
      </c>
      <c r="U51" s="14">
        <v>0.0</v>
      </c>
      <c r="V51" s="14">
        <v>1.0</v>
      </c>
      <c r="W51" s="14">
        <v>0.0</v>
      </c>
      <c r="X51" s="14" t="s">
        <v>1791</v>
      </c>
      <c r="Y51" s="14" t="s">
        <v>1792</v>
      </c>
      <c r="Z51" s="14"/>
      <c r="AA51" s="16"/>
      <c r="AB51" s="16"/>
      <c r="AC51" s="16"/>
      <c r="AD51" s="16"/>
      <c r="AE51" s="16"/>
    </row>
    <row r="52" ht="15.75" customHeight="1">
      <c r="A52" s="14">
        <v>47.0</v>
      </c>
      <c r="B52" s="14" t="s">
        <v>1797</v>
      </c>
      <c r="C52" s="75" t="s">
        <v>1798</v>
      </c>
      <c r="D52" s="128">
        <v>44977.0</v>
      </c>
      <c r="E52" s="104">
        <v>44987.0</v>
      </c>
      <c r="F52" s="88">
        <v>32741.0</v>
      </c>
      <c r="G52" s="161" t="s">
        <v>84</v>
      </c>
      <c r="H52" s="98" t="s">
        <v>205</v>
      </c>
      <c r="I52" s="80" t="s">
        <v>1802</v>
      </c>
      <c r="J52" s="50" t="s">
        <v>1803</v>
      </c>
      <c r="K52" s="14" t="s">
        <v>1010</v>
      </c>
      <c r="L52" s="14" t="s">
        <v>210</v>
      </c>
      <c r="M52" s="50" t="s">
        <v>1806</v>
      </c>
      <c r="N52" s="14" t="s">
        <v>32</v>
      </c>
      <c r="O52" s="50" t="s">
        <v>1810</v>
      </c>
      <c r="P52" s="50" t="s">
        <v>1811</v>
      </c>
      <c r="Q52" s="14" t="s">
        <v>1814</v>
      </c>
      <c r="R52" s="14">
        <v>9.85534642E8</v>
      </c>
      <c r="S52" s="50" t="s">
        <v>1817</v>
      </c>
      <c r="T52" s="136">
        <v>0.0</v>
      </c>
      <c r="U52" s="14">
        <v>0.0</v>
      </c>
      <c r="V52" s="136">
        <v>4.0</v>
      </c>
      <c r="W52" s="14">
        <v>0.0</v>
      </c>
      <c r="X52" s="14" t="s">
        <v>1823</v>
      </c>
      <c r="Y52" s="14" t="s">
        <v>61</v>
      </c>
      <c r="Z52" s="14"/>
      <c r="AA52" s="16"/>
      <c r="AB52" s="16"/>
      <c r="AC52" s="16"/>
      <c r="AD52" s="16"/>
      <c r="AE52" s="16"/>
    </row>
    <row r="53" ht="15.75" customHeight="1">
      <c r="A53" s="110">
        <v>48.0</v>
      </c>
      <c r="B53" s="110" t="s">
        <v>1827</v>
      </c>
      <c r="C53" s="103" t="s">
        <v>1829</v>
      </c>
      <c r="D53" s="103" t="s">
        <v>1830</v>
      </c>
      <c r="E53" s="114" t="s">
        <v>1832</v>
      </c>
      <c r="F53" s="115">
        <v>12572.0</v>
      </c>
      <c r="G53" s="116"/>
      <c r="H53" s="116" t="s">
        <v>172</v>
      </c>
      <c r="I53" s="118" t="s">
        <v>1834</v>
      </c>
      <c r="J53" s="103" t="s">
        <v>176</v>
      </c>
      <c r="K53" s="110" t="s">
        <v>47</v>
      </c>
      <c r="L53" s="110"/>
      <c r="M53" s="103" t="s">
        <v>1839</v>
      </c>
      <c r="N53" s="110"/>
      <c r="O53" s="103" t="s">
        <v>1841</v>
      </c>
      <c r="P53" s="103" t="s">
        <v>1842</v>
      </c>
      <c r="Q53" s="110" t="s">
        <v>1843</v>
      </c>
      <c r="R53" s="110" t="s">
        <v>1846</v>
      </c>
      <c r="S53" s="103" t="s">
        <v>1848</v>
      </c>
      <c r="T53" s="110">
        <v>1.0</v>
      </c>
      <c r="U53" s="110">
        <v>0.0</v>
      </c>
      <c r="V53" s="110">
        <v>2.0</v>
      </c>
      <c r="W53" s="110">
        <v>0.0</v>
      </c>
      <c r="X53" s="110" t="s">
        <v>1852</v>
      </c>
      <c r="Y53" s="110" t="s">
        <v>174</v>
      </c>
      <c r="Z53" s="110"/>
      <c r="AA53" s="16"/>
      <c r="AB53" s="16"/>
      <c r="AC53" s="16"/>
      <c r="AD53" s="16"/>
      <c r="AE53" s="16"/>
    </row>
    <row r="54" ht="16.5" customHeight="1">
      <c r="A54" s="14">
        <v>49.0</v>
      </c>
      <c r="B54" s="14" t="s">
        <v>1857</v>
      </c>
      <c r="C54" s="75" t="s">
        <v>1859</v>
      </c>
      <c r="D54" s="128">
        <v>44980.0</v>
      </c>
      <c r="E54" s="137">
        <v>44991.0</v>
      </c>
      <c r="F54" s="90">
        <v>21768.0</v>
      </c>
      <c r="G54" s="98" t="s">
        <v>170</v>
      </c>
      <c r="H54" s="98" t="s">
        <v>85</v>
      </c>
      <c r="I54" s="80" t="s">
        <v>1862</v>
      </c>
      <c r="J54" s="50" t="s">
        <v>125</v>
      </c>
      <c r="K54" s="14" t="s">
        <v>125</v>
      </c>
      <c r="L54" s="14" t="s">
        <v>88</v>
      </c>
      <c r="M54" s="50" t="s">
        <v>1865</v>
      </c>
      <c r="N54" s="14" t="s">
        <v>32</v>
      </c>
      <c r="O54" s="50" t="s">
        <v>1868</v>
      </c>
      <c r="P54" s="50" t="s">
        <v>1869</v>
      </c>
      <c r="Q54" s="14" t="s">
        <v>1871</v>
      </c>
      <c r="R54" s="14" t="s">
        <v>1873</v>
      </c>
      <c r="S54" s="50" t="s">
        <v>1875</v>
      </c>
      <c r="T54" s="14">
        <v>1.0</v>
      </c>
      <c r="U54" s="14">
        <v>0.0</v>
      </c>
      <c r="V54" s="14">
        <v>1.0</v>
      </c>
      <c r="W54" s="14">
        <v>2.0</v>
      </c>
      <c r="X54" s="14" t="s">
        <v>1878</v>
      </c>
      <c r="Y54" s="14" t="s">
        <v>491</v>
      </c>
      <c r="Z54" s="14"/>
      <c r="AA54" s="16"/>
      <c r="AB54" s="16"/>
      <c r="AC54" s="16"/>
      <c r="AD54" s="16"/>
      <c r="AE54" s="16"/>
    </row>
    <row r="55" ht="18.75" customHeight="1">
      <c r="A55" s="14">
        <v>50.0</v>
      </c>
      <c r="B55" s="75" t="s">
        <v>1885</v>
      </c>
      <c r="C55" s="119" t="s">
        <v>1886</v>
      </c>
      <c r="D55" s="128">
        <v>44980.0</v>
      </c>
      <c r="E55" s="137">
        <v>44991.0</v>
      </c>
      <c r="F55" s="90">
        <v>28448.0</v>
      </c>
      <c r="G55" s="98" t="s">
        <v>170</v>
      </c>
      <c r="H55" s="98" t="s">
        <v>140</v>
      </c>
      <c r="I55" s="80" t="s">
        <v>1889</v>
      </c>
      <c r="J55" s="50" t="s">
        <v>477</v>
      </c>
      <c r="K55" s="14" t="s">
        <v>142</v>
      </c>
      <c r="L55" s="14" t="s">
        <v>142</v>
      </c>
      <c r="M55" s="50" t="s">
        <v>1891</v>
      </c>
      <c r="N55" s="14" t="s">
        <v>32</v>
      </c>
      <c r="O55" s="50" t="s">
        <v>1894</v>
      </c>
      <c r="P55" s="50" t="s">
        <v>1895</v>
      </c>
      <c r="Q55" s="14" t="s">
        <v>1896</v>
      </c>
      <c r="R55" s="14" t="s">
        <v>1897</v>
      </c>
      <c r="S55" s="50" t="s">
        <v>1900</v>
      </c>
      <c r="T55" s="14">
        <v>1.0</v>
      </c>
      <c r="U55" s="14">
        <v>0.0</v>
      </c>
      <c r="V55" s="14">
        <v>2.0</v>
      </c>
      <c r="W55" s="14">
        <v>2.0</v>
      </c>
      <c r="X55" s="14" t="s">
        <v>1905</v>
      </c>
      <c r="Y55" s="14" t="s">
        <v>1906</v>
      </c>
      <c r="Z55" s="14"/>
      <c r="AA55" s="16"/>
      <c r="AB55" s="16"/>
      <c r="AC55" s="16"/>
      <c r="AD55" s="16"/>
      <c r="AE55" s="16"/>
    </row>
    <row r="56" ht="15.75" customHeight="1">
      <c r="A56" s="14">
        <v>51.0</v>
      </c>
      <c r="B56" s="14" t="s">
        <v>1913</v>
      </c>
      <c r="C56" s="75" t="s">
        <v>1915</v>
      </c>
      <c r="D56" s="128">
        <v>44978.0</v>
      </c>
      <c r="E56" s="137">
        <v>44988.0</v>
      </c>
      <c r="F56" s="90">
        <v>15684.0</v>
      </c>
      <c r="G56" s="98" t="s">
        <v>170</v>
      </c>
      <c r="H56" s="98" t="s">
        <v>43</v>
      </c>
      <c r="I56" s="80" t="s">
        <v>1918</v>
      </c>
      <c r="J56" s="50" t="s">
        <v>1921</v>
      </c>
      <c r="K56" s="14" t="s">
        <v>47</v>
      </c>
      <c r="L56" s="14" t="s">
        <v>47</v>
      </c>
      <c r="M56" s="50" t="s">
        <v>1922</v>
      </c>
      <c r="N56" s="14" t="s">
        <v>32</v>
      </c>
      <c r="O56" s="50" t="s">
        <v>1923</v>
      </c>
      <c r="P56" s="50" t="s">
        <v>1924</v>
      </c>
      <c r="Q56" s="14" t="s">
        <v>1925</v>
      </c>
      <c r="R56" s="75">
        <v>9.8195712E8</v>
      </c>
      <c r="S56" s="50" t="s">
        <v>1926</v>
      </c>
      <c r="T56" s="14">
        <v>1.0</v>
      </c>
      <c r="U56" s="14">
        <v>1.0</v>
      </c>
      <c r="V56" s="14">
        <v>4.0</v>
      </c>
      <c r="W56" s="14">
        <v>0.0</v>
      </c>
      <c r="X56" s="14" t="s">
        <v>1928</v>
      </c>
      <c r="Y56" s="14" t="s">
        <v>1929</v>
      </c>
      <c r="Z56" s="14"/>
      <c r="AA56" s="16"/>
      <c r="AB56" s="16"/>
      <c r="AC56" s="16"/>
      <c r="AD56" s="16"/>
      <c r="AE56" s="16"/>
    </row>
    <row r="57" ht="15.75" customHeight="1">
      <c r="A57" s="14">
        <v>52.0</v>
      </c>
      <c r="B57" s="14" t="s">
        <v>1932</v>
      </c>
      <c r="C57" s="75" t="s">
        <v>1934</v>
      </c>
      <c r="D57" s="128">
        <v>44978.0</v>
      </c>
      <c r="E57" s="137">
        <v>44991.0</v>
      </c>
      <c r="F57" s="90">
        <v>19839.0</v>
      </c>
      <c r="G57" s="98" t="s">
        <v>170</v>
      </c>
      <c r="H57" s="98" t="s">
        <v>172</v>
      </c>
      <c r="I57" s="80" t="s">
        <v>1938</v>
      </c>
      <c r="J57" s="50" t="s">
        <v>1939</v>
      </c>
      <c r="K57" s="14" t="s">
        <v>47</v>
      </c>
      <c r="L57" s="14" t="s">
        <v>47</v>
      </c>
      <c r="M57" s="50" t="s">
        <v>1942</v>
      </c>
      <c r="N57" s="14" t="s">
        <v>32</v>
      </c>
      <c r="O57" s="50" t="s">
        <v>1944</v>
      </c>
      <c r="P57" s="50" t="s">
        <v>1945</v>
      </c>
      <c r="Q57" s="14" t="s">
        <v>1947</v>
      </c>
      <c r="R57" s="14" t="s">
        <v>1948</v>
      </c>
      <c r="S57" s="50" t="s">
        <v>1950</v>
      </c>
      <c r="T57" s="14">
        <v>1.0</v>
      </c>
      <c r="U57" s="14">
        <v>0.0</v>
      </c>
      <c r="V57" s="14">
        <v>1.0</v>
      </c>
      <c r="W57" s="14">
        <v>0.0</v>
      </c>
      <c r="X57" s="14" t="s">
        <v>1955</v>
      </c>
      <c r="Y57" s="14" t="s">
        <v>94</v>
      </c>
      <c r="Z57" s="14"/>
      <c r="AA57" s="16"/>
      <c r="AB57" s="16"/>
      <c r="AC57" s="16"/>
      <c r="AD57" s="16"/>
      <c r="AE57" s="16"/>
    </row>
    <row r="58" ht="17.25" customHeight="1">
      <c r="A58" s="14">
        <v>53.0</v>
      </c>
      <c r="B58" s="14" t="s">
        <v>1959</v>
      </c>
      <c r="C58" s="75" t="s">
        <v>1961</v>
      </c>
      <c r="D58" s="128">
        <v>44985.0</v>
      </c>
      <c r="E58" s="137">
        <v>45002.0</v>
      </c>
      <c r="F58" s="90">
        <v>12947.0</v>
      </c>
      <c r="G58" s="98" t="s">
        <v>170</v>
      </c>
      <c r="H58" s="98" t="s">
        <v>43</v>
      </c>
      <c r="I58" s="80" t="s">
        <v>1966</v>
      </c>
      <c r="J58" s="50" t="s">
        <v>1639</v>
      </c>
      <c r="K58" s="14" t="s">
        <v>47</v>
      </c>
      <c r="L58" s="14" t="s">
        <v>47</v>
      </c>
      <c r="M58" s="50" t="s">
        <v>1970</v>
      </c>
      <c r="N58" s="14" t="s">
        <v>32</v>
      </c>
      <c r="O58" s="50" t="s">
        <v>1971</v>
      </c>
      <c r="P58" s="50" t="s">
        <v>1973</v>
      </c>
      <c r="Q58" s="14" t="s">
        <v>1975</v>
      </c>
      <c r="R58" s="14" t="s">
        <v>1977</v>
      </c>
      <c r="S58" s="50" t="s">
        <v>1979</v>
      </c>
      <c r="T58" s="14">
        <v>1.0</v>
      </c>
      <c r="U58" s="14">
        <v>0.0</v>
      </c>
      <c r="V58" s="14">
        <v>3.0</v>
      </c>
      <c r="W58" s="14">
        <v>0.0</v>
      </c>
      <c r="X58" s="14" t="s">
        <v>1985</v>
      </c>
      <c r="Y58" s="14" t="s">
        <v>61</v>
      </c>
      <c r="Z58" s="14"/>
      <c r="AA58" s="16"/>
      <c r="AB58" s="16"/>
      <c r="AC58" s="16"/>
      <c r="AD58" s="16"/>
      <c r="AE58" s="16"/>
    </row>
    <row r="59" ht="15.75" customHeight="1">
      <c r="A59" s="14">
        <v>54.0</v>
      </c>
      <c r="B59" s="14" t="s">
        <v>1992</v>
      </c>
      <c r="C59" s="75" t="s">
        <v>1994</v>
      </c>
      <c r="D59" s="128">
        <v>44980.0</v>
      </c>
      <c r="E59" s="220">
        <v>44991.0</v>
      </c>
      <c r="F59" s="221">
        <v>20334.0</v>
      </c>
      <c r="G59" s="222"/>
      <c r="H59" s="98" t="s">
        <v>85</v>
      </c>
      <c r="I59" s="80" t="s">
        <v>2004</v>
      </c>
      <c r="J59" s="50" t="s">
        <v>125</v>
      </c>
      <c r="K59" s="14" t="s">
        <v>125</v>
      </c>
      <c r="L59" s="14" t="s">
        <v>88</v>
      </c>
      <c r="M59" s="50" t="s">
        <v>2008</v>
      </c>
      <c r="N59" s="14" t="s">
        <v>32</v>
      </c>
      <c r="O59" s="50" t="s">
        <v>2009</v>
      </c>
      <c r="P59" s="50" t="s">
        <v>2010</v>
      </c>
      <c r="Q59" s="14" t="s">
        <v>2013</v>
      </c>
      <c r="R59" s="14">
        <v>9.40180313E8</v>
      </c>
      <c r="S59" s="50" t="s">
        <v>2018</v>
      </c>
      <c r="T59" s="14">
        <v>1.0</v>
      </c>
      <c r="U59" s="14">
        <v>0.0</v>
      </c>
      <c r="V59" s="14">
        <v>2.0</v>
      </c>
      <c r="W59" s="14">
        <v>1.0</v>
      </c>
      <c r="X59" s="14" t="s">
        <v>2023</v>
      </c>
      <c r="Y59" s="14" t="s">
        <v>61</v>
      </c>
      <c r="Z59" s="14"/>
      <c r="AA59" s="16"/>
      <c r="AB59" s="16"/>
      <c r="AC59" s="16"/>
      <c r="AD59" s="16"/>
      <c r="AE59" s="16"/>
    </row>
    <row r="60" ht="15.75" customHeight="1">
      <c r="A60" s="14">
        <v>55.0</v>
      </c>
      <c r="B60" s="14" t="s">
        <v>2028</v>
      </c>
      <c r="C60" s="75" t="s">
        <v>2029</v>
      </c>
      <c r="D60" s="128">
        <v>44987.0</v>
      </c>
      <c r="E60" s="137">
        <v>45002.0</v>
      </c>
      <c r="F60" s="90">
        <v>28966.0</v>
      </c>
      <c r="G60" s="98" t="s">
        <v>170</v>
      </c>
      <c r="H60" s="98" t="s">
        <v>173</v>
      </c>
      <c r="I60" s="195" t="s">
        <v>2033</v>
      </c>
      <c r="J60" s="50" t="s">
        <v>741</v>
      </c>
      <c r="K60" s="14" t="s">
        <v>666</v>
      </c>
      <c r="L60" s="14" t="s">
        <v>179</v>
      </c>
      <c r="M60" s="10" t="s">
        <v>2036</v>
      </c>
      <c r="N60" s="14" t="s">
        <v>32</v>
      </c>
      <c r="O60" s="50" t="s">
        <v>2039</v>
      </c>
      <c r="P60" s="50" t="s">
        <v>2040</v>
      </c>
      <c r="Q60" s="16" t="s">
        <v>2041</v>
      </c>
      <c r="R60" s="14" t="s">
        <v>2043</v>
      </c>
      <c r="S60" s="50" t="s">
        <v>2044</v>
      </c>
      <c r="T60" s="14">
        <v>1.0</v>
      </c>
      <c r="U60" s="14">
        <v>0.0</v>
      </c>
      <c r="V60" s="14">
        <v>3.0</v>
      </c>
      <c r="W60" s="14">
        <v>0.0</v>
      </c>
      <c r="X60" s="14" t="s">
        <v>2048</v>
      </c>
      <c r="Y60" s="14" t="s">
        <v>61</v>
      </c>
      <c r="Z60" s="14"/>
      <c r="AA60" s="16"/>
      <c r="AB60" s="16"/>
      <c r="AC60" s="16"/>
      <c r="AD60" s="16"/>
      <c r="AE60" s="16"/>
    </row>
    <row r="61" ht="15.75" customHeight="1">
      <c r="A61" s="14">
        <v>56.0</v>
      </c>
      <c r="B61" s="14" t="s">
        <v>2054</v>
      </c>
      <c r="C61" s="75" t="s">
        <v>2055</v>
      </c>
      <c r="D61" s="128">
        <v>44985.0</v>
      </c>
      <c r="E61" s="137">
        <v>44999.0</v>
      </c>
      <c r="F61" s="90">
        <v>15143.0</v>
      </c>
      <c r="G61" s="98" t="s">
        <v>170</v>
      </c>
      <c r="H61" s="98" t="s">
        <v>43</v>
      </c>
      <c r="I61" s="73" t="s">
        <v>2058</v>
      </c>
      <c r="J61" s="50" t="s">
        <v>46</v>
      </c>
      <c r="K61" s="14" t="s">
        <v>47</v>
      </c>
      <c r="L61" s="14" t="s">
        <v>47</v>
      </c>
      <c r="M61" s="50" t="s">
        <v>2061</v>
      </c>
      <c r="N61" s="14" t="s">
        <v>32</v>
      </c>
      <c r="O61" s="50" t="s">
        <v>2064</v>
      </c>
      <c r="P61" s="50" t="s">
        <v>2065</v>
      </c>
      <c r="Q61" s="14" t="s">
        <v>2067</v>
      </c>
      <c r="R61" s="14">
        <v>9.8412394E8</v>
      </c>
      <c r="S61" s="50" t="s">
        <v>2069</v>
      </c>
      <c r="T61" s="14">
        <v>1.0</v>
      </c>
      <c r="U61" s="14">
        <v>0.0</v>
      </c>
      <c r="V61" s="14">
        <v>2.0</v>
      </c>
      <c r="W61" s="14">
        <v>0.0</v>
      </c>
      <c r="X61" s="14" t="s">
        <v>2074</v>
      </c>
      <c r="Y61" s="14" t="s">
        <v>61</v>
      </c>
      <c r="Z61" s="14"/>
      <c r="AA61" s="16"/>
      <c r="AB61" s="16"/>
      <c r="AC61" s="16"/>
      <c r="AD61" s="16"/>
      <c r="AE61" s="16"/>
    </row>
    <row r="62" ht="15.75" customHeight="1">
      <c r="A62" s="14">
        <v>57.0</v>
      </c>
      <c r="B62" s="14" t="s">
        <v>2082</v>
      </c>
      <c r="C62" s="119" t="s">
        <v>2083</v>
      </c>
      <c r="D62" s="128">
        <v>44987.0</v>
      </c>
      <c r="E62" s="137">
        <v>45003.0</v>
      </c>
      <c r="F62" s="90">
        <v>9278.0</v>
      </c>
      <c r="G62" s="98" t="s">
        <v>170</v>
      </c>
      <c r="H62" s="98" t="s">
        <v>85</v>
      </c>
      <c r="I62" s="80" t="s">
        <v>2086</v>
      </c>
      <c r="J62" s="50" t="s">
        <v>2088</v>
      </c>
      <c r="K62" s="14" t="s">
        <v>125</v>
      </c>
      <c r="L62" s="14" t="s">
        <v>88</v>
      </c>
      <c r="M62" s="50" t="s">
        <v>2090</v>
      </c>
      <c r="N62" s="14" t="s">
        <v>69</v>
      </c>
      <c r="O62" s="50" t="s">
        <v>2092</v>
      </c>
      <c r="P62" s="50" t="s">
        <v>2093</v>
      </c>
      <c r="Q62" s="14" t="s">
        <v>2095</v>
      </c>
      <c r="R62" s="14">
        <v>9.50181662E8</v>
      </c>
      <c r="S62" s="225" t="s">
        <v>2098</v>
      </c>
      <c r="T62" s="14">
        <v>1.0</v>
      </c>
      <c r="U62" s="14">
        <v>0.0</v>
      </c>
      <c r="V62" s="14">
        <v>4.0</v>
      </c>
      <c r="W62" s="14">
        <v>0.0</v>
      </c>
      <c r="X62" s="14" t="s">
        <v>2104</v>
      </c>
      <c r="Y62" s="14" t="s">
        <v>61</v>
      </c>
      <c r="Z62" s="14"/>
      <c r="AA62" s="16"/>
      <c r="AB62" s="16"/>
      <c r="AC62" s="16"/>
      <c r="AD62" s="16"/>
      <c r="AE62" s="16"/>
    </row>
    <row r="63" ht="25.5" customHeight="1">
      <c r="A63" s="14">
        <v>58.0</v>
      </c>
      <c r="B63" s="75" t="s">
        <v>2108</v>
      </c>
      <c r="C63" s="75" t="s">
        <v>2110</v>
      </c>
      <c r="D63" s="128">
        <v>44992.0</v>
      </c>
      <c r="E63" s="137">
        <v>45016.0</v>
      </c>
      <c r="F63" s="90">
        <v>30990.0</v>
      </c>
      <c r="G63" s="98" t="s">
        <v>170</v>
      </c>
      <c r="H63" s="98" t="s">
        <v>603</v>
      </c>
      <c r="I63" s="73" t="s">
        <v>2115</v>
      </c>
      <c r="J63" s="50" t="s">
        <v>610</v>
      </c>
      <c r="K63" s="14" t="s">
        <v>610</v>
      </c>
      <c r="L63" s="14" t="s">
        <v>610</v>
      </c>
      <c r="M63" s="50" t="s">
        <v>2116</v>
      </c>
      <c r="N63" s="14" t="s">
        <v>32</v>
      </c>
      <c r="O63" s="50" t="s">
        <v>2119</v>
      </c>
      <c r="P63" s="50" t="s">
        <v>2121</v>
      </c>
      <c r="Q63" s="75" t="s">
        <v>2122</v>
      </c>
      <c r="R63" s="10">
        <v>9.57235484E8</v>
      </c>
      <c r="S63" s="50" t="s">
        <v>2124</v>
      </c>
      <c r="T63" s="14">
        <v>1.0</v>
      </c>
      <c r="U63" s="14">
        <v>4.0</v>
      </c>
      <c r="V63" s="14">
        <v>0.0</v>
      </c>
      <c r="W63" s="14">
        <v>0.0</v>
      </c>
      <c r="X63" s="14" t="s">
        <v>2128</v>
      </c>
      <c r="Y63" s="14" t="s">
        <v>61</v>
      </c>
      <c r="Z63" s="14"/>
      <c r="AA63" s="16"/>
      <c r="AB63" s="16"/>
      <c r="AC63" s="16"/>
      <c r="AD63" s="16"/>
      <c r="AE63" s="16"/>
    </row>
    <row r="64" ht="16.5" customHeight="1">
      <c r="A64" s="14">
        <v>59.0</v>
      </c>
      <c r="B64" s="119" t="s">
        <v>2132</v>
      </c>
      <c r="C64" s="75" t="s">
        <v>2135</v>
      </c>
      <c r="D64" s="128">
        <v>44992.0</v>
      </c>
      <c r="E64" s="137">
        <v>45003.0</v>
      </c>
      <c r="F64" s="90">
        <v>24608.0</v>
      </c>
      <c r="G64" s="71" t="s">
        <v>84</v>
      </c>
      <c r="H64" s="98" t="s">
        <v>1234</v>
      </c>
      <c r="I64" s="195" t="s">
        <v>2139</v>
      </c>
      <c r="J64" s="50" t="s">
        <v>1238</v>
      </c>
      <c r="K64" s="14" t="s">
        <v>1240</v>
      </c>
      <c r="L64" s="14" t="s">
        <v>1103</v>
      </c>
      <c r="M64" s="10" t="s">
        <v>2141</v>
      </c>
      <c r="N64" s="14" t="s">
        <v>32</v>
      </c>
      <c r="O64" s="50" t="s">
        <v>2145</v>
      </c>
      <c r="P64" s="50" t="s">
        <v>2146</v>
      </c>
      <c r="Q64" s="16" t="s">
        <v>2148</v>
      </c>
      <c r="R64" s="14" t="s">
        <v>2149</v>
      </c>
      <c r="S64" s="50" t="s">
        <v>2152</v>
      </c>
      <c r="T64" s="14">
        <v>1.0</v>
      </c>
      <c r="U64" s="14">
        <v>0.0</v>
      </c>
      <c r="V64" s="14">
        <v>1.0</v>
      </c>
      <c r="W64" s="14">
        <v>2.0</v>
      </c>
      <c r="X64" s="14" t="s">
        <v>2157</v>
      </c>
      <c r="Y64" s="14" t="s">
        <v>2158</v>
      </c>
      <c r="Z64" s="14"/>
      <c r="AA64" s="16"/>
      <c r="AB64" s="16"/>
      <c r="AC64" s="16"/>
      <c r="AD64" s="16"/>
      <c r="AE64" s="16"/>
    </row>
    <row r="65" ht="15.75" customHeight="1">
      <c r="A65" s="110">
        <v>60.0</v>
      </c>
      <c r="B65" s="110" t="s">
        <v>2162</v>
      </c>
      <c r="C65" s="103" t="s">
        <v>2163</v>
      </c>
      <c r="D65" s="103" t="s">
        <v>2165</v>
      </c>
      <c r="E65" s="114" t="s">
        <v>2168</v>
      </c>
      <c r="F65" s="115">
        <v>13395.0</v>
      </c>
      <c r="G65" s="116"/>
      <c r="H65" s="116" t="s">
        <v>85</v>
      </c>
      <c r="I65" s="118" t="s">
        <v>2172</v>
      </c>
      <c r="J65" s="103" t="s">
        <v>125</v>
      </c>
      <c r="K65" s="110" t="s">
        <v>125</v>
      </c>
      <c r="L65" s="110"/>
      <c r="M65" s="103" t="s">
        <v>2175</v>
      </c>
      <c r="N65" s="110"/>
      <c r="O65" s="103" t="s">
        <v>2176</v>
      </c>
      <c r="P65" s="103" t="s">
        <v>2178</v>
      </c>
      <c r="Q65" s="110" t="s">
        <v>2181</v>
      </c>
      <c r="R65" s="110">
        <v>9.49939328E8</v>
      </c>
      <c r="S65" s="103" t="s">
        <v>2184</v>
      </c>
      <c r="T65" s="110">
        <v>1.0</v>
      </c>
      <c r="U65" s="110">
        <v>0.0</v>
      </c>
      <c r="V65" s="110">
        <v>3.0</v>
      </c>
      <c r="W65" s="110">
        <v>0.0</v>
      </c>
      <c r="X65" s="110" t="s">
        <v>2188</v>
      </c>
      <c r="Y65" s="110" t="s">
        <v>61</v>
      </c>
      <c r="Z65" s="110"/>
      <c r="AA65" s="16"/>
      <c r="AB65" s="16"/>
      <c r="AC65" s="16"/>
      <c r="AD65" s="16"/>
      <c r="AE65" s="16"/>
    </row>
    <row r="66" ht="15.75" customHeight="1">
      <c r="A66" s="110">
        <v>61.0</v>
      </c>
      <c r="B66" s="110" t="s">
        <v>2193</v>
      </c>
      <c r="C66" s="110" t="s">
        <v>2194</v>
      </c>
      <c r="D66" s="229">
        <v>44992.0</v>
      </c>
      <c r="E66" s="230">
        <v>45003.0</v>
      </c>
      <c r="F66" s="115">
        <v>30412.0</v>
      </c>
      <c r="G66" s="231" t="s">
        <v>2203</v>
      </c>
      <c r="H66" s="116" t="s">
        <v>697</v>
      </c>
      <c r="I66" s="232" t="s">
        <v>2209</v>
      </c>
      <c r="J66" s="103" t="s">
        <v>718</v>
      </c>
      <c r="K66" s="110" t="s">
        <v>718</v>
      </c>
      <c r="L66" s="110"/>
      <c r="M66" s="103" t="s">
        <v>2213</v>
      </c>
      <c r="N66" s="110"/>
      <c r="O66" s="103" t="s">
        <v>2215</v>
      </c>
      <c r="P66" s="103" t="s">
        <v>2217</v>
      </c>
      <c r="Q66" s="110" t="s">
        <v>2219</v>
      </c>
      <c r="R66" s="110">
        <v>9.52015436E8</v>
      </c>
      <c r="S66" s="103" t="s">
        <v>2223</v>
      </c>
      <c r="T66" s="110">
        <v>1.0</v>
      </c>
      <c r="U66" s="110">
        <v>0.0</v>
      </c>
      <c r="V66" s="110">
        <v>2.0</v>
      </c>
      <c r="W66" s="110">
        <v>0.0</v>
      </c>
      <c r="X66" s="110" t="s">
        <v>2227</v>
      </c>
      <c r="Y66" s="110" t="s">
        <v>61</v>
      </c>
      <c r="Z66" s="110"/>
      <c r="AA66" s="100"/>
      <c r="AB66" s="100"/>
      <c r="AC66" s="100"/>
      <c r="AD66" s="100"/>
      <c r="AE66" s="100"/>
    </row>
    <row r="67" ht="15.75" customHeight="1">
      <c r="A67" s="14">
        <v>62.0</v>
      </c>
      <c r="B67" s="14" t="s">
        <v>2232</v>
      </c>
      <c r="C67" s="14" t="s">
        <v>2238</v>
      </c>
      <c r="D67" s="128">
        <v>44992.0</v>
      </c>
      <c r="E67" s="137">
        <v>45003.0</v>
      </c>
      <c r="F67" s="90">
        <v>11110.0</v>
      </c>
      <c r="G67" s="98" t="s">
        <v>170</v>
      </c>
      <c r="H67" s="98" t="s">
        <v>172</v>
      </c>
      <c r="I67" s="80" t="s">
        <v>2240</v>
      </c>
      <c r="J67" s="50" t="s">
        <v>176</v>
      </c>
      <c r="K67" s="14" t="s">
        <v>47</v>
      </c>
      <c r="L67" s="14" t="s">
        <v>47</v>
      </c>
      <c r="M67" s="10" t="s">
        <v>2244</v>
      </c>
      <c r="N67" s="14" t="s">
        <v>32</v>
      </c>
      <c r="O67" s="50" t="s">
        <v>2245</v>
      </c>
      <c r="P67" s="50" t="s">
        <v>2247</v>
      </c>
      <c r="Q67" s="14" t="s">
        <v>2249</v>
      </c>
      <c r="R67" s="14">
        <v>9.59169672E8</v>
      </c>
      <c r="S67" s="50" t="s">
        <v>2252</v>
      </c>
      <c r="T67" s="14">
        <v>1.0</v>
      </c>
      <c r="U67" s="14">
        <v>0.0</v>
      </c>
      <c r="V67" s="14">
        <v>1.0</v>
      </c>
      <c r="W67" s="14">
        <v>0.0</v>
      </c>
      <c r="X67" s="14" t="s">
        <v>2258</v>
      </c>
      <c r="Y67" s="14" t="s">
        <v>2259</v>
      </c>
      <c r="Z67" s="14"/>
      <c r="AA67" s="16"/>
      <c r="AB67" s="16"/>
      <c r="AC67" s="16"/>
      <c r="AD67" s="16"/>
      <c r="AE67" s="16"/>
    </row>
    <row r="68" ht="15.75" customHeight="1">
      <c r="A68" s="14">
        <v>63.0</v>
      </c>
      <c r="B68" s="14" t="s">
        <v>2263</v>
      </c>
      <c r="C68" s="14" t="s">
        <v>2265</v>
      </c>
      <c r="D68" s="128">
        <v>44995.0</v>
      </c>
      <c r="E68" s="137">
        <v>45016.0</v>
      </c>
      <c r="F68" s="90">
        <v>21508.0</v>
      </c>
      <c r="G68" s="98" t="s">
        <v>170</v>
      </c>
      <c r="H68" s="98" t="s">
        <v>85</v>
      </c>
      <c r="I68" s="80" t="s">
        <v>2267</v>
      </c>
      <c r="J68" s="50" t="s">
        <v>125</v>
      </c>
      <c r="K68" s="14" t="s">
        <v>125</v>
      </c>
      <c r="L68" s="14" t="s">
        <v>88</v>
      </c>
      <c r="M68" s="50" t="s">
        <v>2271</v>
      </c>
      <c r="N68" s="14" t="s">
        <v>32</v>
      </c>
      <c r="O68" s="50" t="s">
        <v>2272</v>
      </c>
      <c r="P68" s="50" t="s">
        <v>2274</v>
      </c>
      <c r="Q68" s="14" t="s">
        <v>2276</v>
      </c>
      <c r="R68" s="14" t="s">
        <v>2278</v>
      </c>
      <c r="S68" s="50" t="s">
        <v>2280</v>
      </c>
      <c r="T68" s="14">
        <v>1.0</v>
      </c>
      <c r="U68" s="14">
        <v>0.0</v>
      </c>
      <c r="V68" s="14">
        <v>5.0</v>
      </c>
      <c r="W68" s="14">
        <v>0.0</v>
      </c>
      <c r="X68" s="14" t="s">
        <v>2284</v>
      </c>
      <c r="Y68" s="14" t="s">
        <v>61</v>
      </c>
      <c r="Z68" s="14"/>
      <c r="AA68" s="16"/>
      <c r="AB68" s="16"/>
      <c r="AC68" s="16"/>
      <c r="AD68" s="16"/>
      <c r="AE68" s="16"/>
    </row>
    <row r="69" ht="17.25" customHeight="1">
      <c r="A69" s="110">
        <v>64.0</v>
      </c>
      <c r="B69" s="110" t="s">
        <v>2288</v>
      </c>
      <c r="C69" s="110" t="s">
        <v>2290</v>
      </c>
      <c r="D69" s="229">
        <v>44995.0</v>
      </c>
      <c r="E69" s="230">
        <v>45016.0</v>
      </c>
      <c r="F69" s="115">
        <v>18581.0</v>
      </c>
      <c r="G69" s="110" t="s">
        <v>170</v>
      </c>
      <c r="H69" s="116" t="s">
        <v>43</v>
      </c>
      <c r="I69" s="232" t="s">
        <v>2296</v>
      </c>
      <c r="J69" s="103" t="s">
        <v>126</v>
      </c>
      <c r="K69" s="110" t="s">
        <v>47</v>
      </c>
      <c r="L69" s="110" t="s">
        <v>47</v>
      </c>
      <c r="M69" s="236" t="s">
        <v>2298</v>
      </c>
      <c r="N69" s="110" t="s">
        <v>32</v>
      </c>
      <c r="O69" s="103" t="s">
        <v>2300</v>
      </c>
      <c r="P69" s="103" t="s">
        <v>2302</v>
      </c>
      <c r="Q69" s="110" t="s">
        <v>2304</v>
      </c>
      <c r="R69" s="110">
        <v>9.81146899E8</v>
      </c>
      <c r="S69" s="103" t="s">
        <v>2306</v>
      </c>
      <c r="T69" s="110">
        <v>1.0</v>
      </c>
      <c r="U69" s="110">
        <v>0.0</v>
      </c>
      <c r="V69" s="110">
        <v>3.0</v>
      </c>
      <c r="W69" s="110">
        <v>0.0</v>
      </c>
      <c r="X69" s="110" t="s">
        <v>2308</v>
      </c>
      <c r="Y69" s="110" t="s">
        <v>2309</v>
      </c>
      <c r="Z69" s="110"/>
      <c r="AA69" s="100"/>
      <c r="AB69" s="100"/>
      <c r="AC69" s="100"/>
      <c r="AD69" s="100"/>
      <c r="AE69" s="100"/>
    </row>
    <row r="70" ht="18.0" customHeight="1">
      <c r="A70" s="14">
        <v>65.0</v>
      </c>
      <c r="B70" s="14" t="s">
        <v>2315</v>
      </c>
      <c r="C70" s="14" t="s">
        <v>2317</v>
      </c>
      <c r="D70" s="128">
        <v>45006.0</v>
      </c>
      <c r="E70" s="187">
        <v>45020.0</v>
      </c>
      <c r="F70" s="16">
        <v>21412.0</v>
      </c>
      <c r="G70" s="14" t="s">
        <v>170</v>
      </c>
      <c r="H70" s="14" t="s">
        <v>85</v>
      </c>
      <c r="I70" s="80" t="s">
        <v>2323</v>
      </c>
      <c r="J70" s="50" t="s">
        <v>430</v>
      </c>
      <c r="K70" s="14" t="s">
        <v>125</v>
      </c>
      <c r="L70" s="14" t="s">
        <v>88</v>
      </c>
      <c r="M70" s="50" t="s">
        <v>2326</v>
      </c>
      <c r="N70" s="14" t="s">
        <v>32</v>
      </c>
      <c r="O70" s="50" t="s">
        <v>2327</v>
      </c>
      <c r="P70" s="50" t="s">
        <v>2328</v>
      </c>
      <c r="Q70" s="119" t="s">
        <v>2329</v>
      </c>
      <c r="R70" s="14" t="s">
        <v>2331</v>
      </c>
      <c r="S70" s="150" t="s">
        <v>2334</v>
      </c>
      <c r="T70" s="14">
        <v>1.0</v>
      </c>
      <c r="U70" s="14">
        <v>0.0</v>
      </c>
      <c r="V70" s="14">
        <v>3.0</v>
      </c>
      <c r="W70" s="14">
        <v>1.0</v>
      </c>
      <c r="X70" s="14" t="s">
        <v>2336</v>
      </c>
      <c r="Y70" s="14" t="s">
        <v>2338</v>
      </c>
      <c r="Z70" s="14"/>
      <c r="AA70" s="16"/>
      <c r="AB70" s="16"/>
      <c r="AC70" s="16"/>
      <c r="AD70" s="16"/>
      <c r="AE70" s="16"/>
    </row>
    <row r="71" ht="15.75" customHeight="1">
      <c r="A71" s="14">
        <v>66.0</v>
      </c>
      <c r="B71" s="14" t="s">
        <v>2343</v>
      </c>
      <c r="C71" s="14" t="s">
        <v>2344</v>
      </c>
      <c r="D71" s="128">
        <v>45006.0</v>
      </c>
      <c r="E71" s="131">
        <v>45019.0</v>
      </c>
      <c r="F71" s="14">
        <v>16353.0</v>
      </c>
      <c r="G71" s="14" t="s">
        <v>170</v>
      </c>
      <c r="H71" s="14" t="s">
        <v>153</v>
      </c>
      <c r="I71" s="73" t="s">
        <v>2352</v>
      </c>
      <c r="J71" s="50" t="s">
        <v>1747</v>
      </c>
      <c r="K71" s="14" t="s">
        <v>47</v>
      </c>
      <c r="L71" s="14" t="s">
        <v>47</v>
      </c>
      <c r="M71" s="50" t="s">
        <v>2355</v>
      </c>
      <c r="N71" s="14" t="s">
        <v>32</v>
      </c>
      <c r="O71" s="50" t="s">
        <v>2356</v>
      </c>
      <c r="P71" s="50" t="s">
        <v>2357</v>
      </c>
      <c r="Q71" s="14" t="s">
        <v>2359</v>
      </c>
      <c r="R71" s="14">
        <v>9.91654623E8</v>
      </c>
      <c r="S71" s="50" t="s">
        <v>2363</v>
      </c>
      <c r="T71" s="14">
        <v>1.0</v>
      </c>
      <c r="U71" s="14">
        <v>0.0</v>
      </c>
      <c r="V71" s="14">
        <v>6.0</v>
      </c>
      <c r="W71" s="14">
        <v>0.0</v>
      </c>
      <c r="X71" s="14" t="s">
        <v>2365</v>
      </c>
      <c r="Y71" s="14" t="s">
        <v>61</v>
      </c>
      <c r="Z71" s="14"/>
      <c r="AA71" s="16"/>
      <c r="AB71" s="16"/>
      <c r="AC71" s="16"/>
      <c r="AD71" s="16"/>
      <c r="AE71" s="16"/>
    </row>
    <row r="72" ht="15.75" customHeight="1">
      <c r="A72" s="14">
        <v>67.0</v>
      </c>
      <c r="B72" s="14" t="s">
        <v>2372</v>
      </c>
      <c r="C72" s="14" t="s">
        <v>2375</v>
      </c>
      <c r="D72" s="128">
        <v>44995.0</v>
      </c>
      <c r="E72" s="137">
        <v>45016.0</v>
      </c>
      <c r="F72" s="90">
        <v>27462.0</v>
      </c>
      <c r="G72" s="98" t="s">
        <v>84</v>
      </c>
      <c r="H72" s="98" t="s">
        <v>697</v>
      </c>
      <c r="I72" s="73" t="s">
        <v>2379</v>
      </c>
      <c r="J72" s="50" t="s">
        <v>718</v>
      </c>
      <c r="K72" s="14" t="s">
        <v>718</v>
      </c>
      <c r="L72" s="14" t="s">
        <v>718</v>
      </c>
      <c r="M72" s="50" t="s">
        <v>2382</v>
      </c>
      <c r="N72" s="14" t="s">
        <v>32</v>
      </c>
      <c r="O72" s="50" t="s">
        <v>2383</v>
      </c>
      <c r="P72" s="50" t="s">
        <v>2386</v>
      </c>
      <c r="Q72" s="14" t="s">
        <v>2389</v>
      </c>
      <c r="R72" s="14">
        <v>9.94689485E8</v>
      </c>
      <c r="S72" s="50" t="s">
        <v>2390</v>
      </c>
      <c r="T72" s="14">
        <v>1.0</v>
      </c>
      <c r="U72" s="14">
        <v>0.0</v>
      </c>
      <c r="V72" s="14">
        <v>2.0</v>
      </c>
      <c r="W72" s="14">
        <v>0.0</v>
      </c>
      <c r="X72" s="14" t="s">
        <v>2395</v>
      </c>
      <c r="Y72" s="14" t="s">
        <v>61</v>
      </c>
      <c r="Z72" s="50" t="s">
        <v>2398</v>
      </c>
      <c r="AA72" s="16"/>
      <c r="AB72" s="16"/>
      <c r="AC72" s="16"/>
      <c r="AD72" s="16"/>
      <c r="AE72" s="16"/>
    </row>
    <row r="73" ht="15.75" customHeight="1">
      <c r="A73" s="14">
        <v>68.0</v>
      </c>
      <c r="B73" s="14" t="s">
        <v>2404</v>
      </c>
      <c r="C73" s="14" t="s">
        <v>2406</v>
      </c>
      <c r="D73" s="128">
        <v>45006.0</v>
      </c>
      <c r="E73" s="167">
        <v>45020.0</v>
      </c>
      <c r="F73" s="75">
        <v>33481.0</v>
      </c>
      <c r="G73" s="88" t="s">
        <v>170</v>
      </c>
      <c r="H73" s="90" t="s">
        <v>43</v>
      </c>
      <c r="I73" s="73" t="s">
        <v>2410</v>
      </c>
      <c r="J73" s="50" t="s">
        <v>1091</v>
      </c>
      <c r="K73" s="14" t="s">
        <v>47</v>
      </c>
      <c r="L73" s="14" t="s">
        <v>47</v>
      </c>
      <c r="M73" s="50" t="s">
        <v>2413</v>
      </c>
      <c r="N73" s="14" t="s">
        <v>32</v>
      </c>
      <c r="O73" s="50" t="s">
        <v>2415</v>
      </c>
      <c r="P73" s="50" t="s">
        <v>2416</v>
      </c>
      <c r="Q73" s="14"/>
      <c r="R73" s="14"/>
      <c r="S73" s="50"/>
      <c r="T73" s="14">
        <v>1.0</v>
      </c>
      <c r="U73" s="14">
        <v>0.0</v>
      </c>
      <c r="V73" s="14">
        <v>2.0</v>
      </c>
      <c r="W73" s="14">
        <v>0.0</v>
      </c>
      <c r="X73" s="14" t="s">
        <v>2422</v>
      </c>
      <c r="Y73" s="14" t="s">
        <v>2423</v>
      </c>
      <c r="Z73" s="14"/>
      <c r="AA73" s="16"/>
      <c r="AB73" s="119"/>
      <c r="AC73" s="119"/>
      <c r="AD73" s="16"/>
      <c r="AE73" s="16"/>
    </row>
    <row r="74" ht="15.75" customHeight="1">
      <c r="A74" s="75">
        <v>69.0</v>
      </c>
      <c r="B74" s="239" t="s">
        <v>2430</v>
      </c>
      <c r="C74" s="75" t="s">
        <v>2434</v>
      </c>
      <c r="D74" s="146">
        <v>45015.0</v>
      </c>
      <c r="E74" s="167">
        <v>45028.0</v>
      </c>
      <c r="F74" s="75">
        <v>33257.0</v>
      </c>
      <c r="G74" s="75" t="s">
        <v>170</v>
      </c>
      <c r="H74" s="75" t="s">
        <v>76</v>
      </c>
      <c r="I74" s="73" t="s">
        <v>2439</v>
      </c>
      <c r="J74" s="57" t="s">
        <v>1175</v>
      </c>
      <c r="K74" s="75" t="s">
        <v>717</v>
      </c>
      <c r="L74" s="14" t="s">
        <v>47</v>
      </c>
      <c r="M74" s="57" t="s">
        <v>2442</v>
      </c>
      <c r="N74" s="75" t="s">
        <v>32</v>
      </c>
      <c r="O74" s="57" t="s">
        <v>2447</v>
      </c>
      <c r="P74" s="57" t="s">
        <v>2448</v>
      </c>
      <c r="Q74" s="75" t="s">
        <v>2450</v>
      </c>
      <c r="R74" s="75">
        <v>9.99963554E8</v>
      </c>
      <c r="S74" s="57" t="s">
        <v>2454</v>
      </c>
      <c r="T74" s="75">
        <v>1.0</v>
      </c>
      <c r="U74" s="75">
        <v>0.0</v>
      </c>
      <c r="V74" s="75">
        <v>2.0</v>
      </c>
      <c r="W74" s="75">
        <v>0.0</v>
      </c>
      <c r="X74" s="75" t="s">
        <v>2457</v>
      </c>
      <c r="Y74" s="75" t="s">
        <v>2459</v>
      </c>
      <c r="Z74" s="75"/>
      <c r="AA74" s="119"/>
      <c r="AB74" s="16"/>
      <c r="AC74" s="16"/>
      <c r="AD74" s="119"/>
      <c r="AE74" s="119"/>
    </row>
    <row r="75" ht="15.75" customHeight="1">
      <c r="A75" s="75">
        <v>70.0</v>
      </c>
      <c r="B75" s="139" t="s">
        <v>2463</v>
      </c>
      <c r="C75" s="14" t="s">
        <v>2465</v>
      </c>
      <c r="D75" s="128">
        <v>45012.0</v>
      </c>
      <c r="E75" s="131">
        <v>45020.0</v>
      </c>
      <c r="F75" s="14">
        <v>9145.0</v>
      </c>
      <c r="G75" s="90" t="s">
        <v>170</v>
      </c>
      <c r="H75" s="90" t="s">
        <v>43</v>
      </c>
      <c r="I75" s="73" t="s">
        <v>2468</v>
      </c>
      <c r="J75" s="50" t="s">
        <v>1921</v>
      </c>
      <c r="K75" s="14" t="s">
        <v>717</v>
      </c>
      <c r="L75" s="14" t="s">
        <v>47</v>
      </c>
      <c r="M75" s="50" t="s">
        <v>2470</v>
      </c>
      <c r="N75" s="14" t="s">
        <v>32</v>
      </c>
      <c r="O75" s="50" t="s">
        <v>2472</v>
      </c>
      <c r="P75" s="50" t="s">
        <v>2473</v>
      </c>
      <c r="Q75" s="14" t="s">
        <v>2475</v>
      </c>
      <c r="R75" s="14">
        <v>9.91928687E8</v>
      </c>
      <c r="S75" s="50" t="s">
        <v>2477</v>
      </c>
      <c r="T75" s="14">
        <v>1.0</v>
      </c>
      <c r="U75" s="14">
        <v>0.0</v>
      </c>
      <c r="V75" s="14">
        <v>2.0</v>
      </c>
      <c r="W75" s="14">
        <v>0.0</v>
      </c>
      <c r="X75" s="14" t="s">
        <v>2481</v>
      </c>
      <c r="Y75" s="14" t="s">
        <v>2483</v>
      </c>
      <c r="Z75" s="14"/>
      <c r="AA75" s="16"/>
      <c r="AB75" s="16"/>
      <c r="AC75" s="16"/>
      <c r="AD75" s="16"/>
      <c r="AE75" s="16"/>
    </row>
    <row r="76" ht="15.75" customHeight="1">
      <c r="A76" s="14">
        <v>71.0</v>
      </c>
      <c r="B76" s="14" t="s">
        <v>2489</v>
      </c>
      <c r="C76" s="14" t="s">
        <v>2490</v>
      </c>
      <c r="D76" s="128">
        <v>45012.0</v>
      </c>
      <c r="E76" s="131">
        <v>45020.0</v>
      </c>
      <c r="F76" s="14">
        <v>13064.0</v>
      </c>
      <c r="G76" s="90" t="s">
        <v>170</v>
      </c>
      <c r="H76" s="14" t="s">
        <v>172</v>
      </c>
      <c r="I76" s="73" t="s">
        <v>2496</v>
      </c>
      <c r="J76" s="50" t="s">
        <v>176</v>
      </c>
      <c r="K76" s="14" t="s">
        <v>47</v>
      </c>
      <c r="L76" s="14" t="s">
        <v>47</v>
      </c>
      <c r="M76" s="50" t="s">
        <v>2500</v>
      </c>
      <c r="N76" s="14" t="s">
        <v>32</v>
      </c>
      <c r="O76" s="50" t="s">
        <v>2501</v>
      </c>
      <c r="P76" s="50" t="s">
        <v>2502</v>
      </c>
      <c r="Q76" s="14" t="s">
        <v>2503</v>
      </c>
      <c r="R76" s="14">
        <v>9.3614518E8</v>
      </c>
      <c r="S76" s="50" t="s">
        <v>2506</v>
      </c>
      <c r="T76" s="14">
        <v>1.0</v>
      </c>
      <c r="U76" s="14">
        <v>0.0</v>
      </c>
      <c r="V76" s="14">
        <v>2.0</v>
      </c>
      <c r="W76" s="14">
        <v>0.0</v>
      </c>
      <c r="X76" s="16" t="s">
        <v>2508</v>
      </c>
      <c r="Y76" s="14" t="s">
        <v>2511</v>
      </c>
      <c r="Z76" s="14"/>
      <c r="AA76" s="16"/>
      <c r="AB76" s="16"/>
      <c r="AC76" s="16"/>
      <c r="AD76" s="16"/>
      <c r="AE76" s="16"/>
    </row>
    <row r="77" ht="15.75" customHeight="1">
      <c r="A77" s="14">
        <v>72.0</v>
      </c>
      <c r="B77" s="14" t="s">
        <v>2515</v>
      </c>
      <c r="C77" s="14" t="s">
        <v>2517</v>
      </c>
      <c r="D77" s="128">
        <v>45012.0</v>
      </c>
      <c r="E77" s="242">
        <v>45021.0</v>
      </c>
      <c r="F77" s="243">
        <v>11466.0</v>
      </c>
      <c r="G77" s="243" t="s">
        <v>2525</v>
      </c>
      <c r="H77" s="14" t="s">
        <v>697</v>
      </c>
      <c r="I77" s="73" t="s">
        <v>2527</v>
      </c>
      <c r="J77" s="50" t="s">
        <v>718</v>
      </c>
      <c r="K77" s="14" t="s">
        <v>718</v>
      </c>
      <c r="L77" s="14" t="s">
        <v>718</v>
      </c>
      <c r="M77" s="50" t="s">
        <v>2530</v>
      </c>
      <c r="N77" s="14" t="s">
        <v>32</v>
      </c>
      <c r="O77" s="50" t="s">
        <v>2533</v>
      </c>
      <c r="P77" s="50" t="s">
        <v>2534</v>
      </c>
      <c r="Q77" s="14" t="s">
        <v>2536</v>
      </c>
      <c r="R77" s="14" t="s">
        <v>2537</v>
      </c>
      <c r="S77" s="50" t="s">
        <v>2539</v>
      </c>
      <c r="T77" s="14">
        <v>1.0</v>
      </c>
      <c r="U77" s="14">
        <v>0.0</v>
      </c>
      <c r="V77" s="14">
        <v>1.0</v>
      </c>
      <c r="W77" s="14">
        <v>2.0</v>
      </c>
      <c r="X77" s="14" t="s">
        <v>2544</v>
      </c>
      <c r="Y77" s="14" t="s">
        <v>61</v>
      </c>
      <c r="Z77" s="14"/>
      <c r="AA77" s="16"/>
      <c r="AB77" s="16"/>
      <c r="AC77" s="16"/>
      <c r="AD77" s="16"/>
      <c r="AE77" s="16"/>
    </row>
    <row r="78" ht="36.75" customHeight="1">
      <c r="A78" s="14">
        <v>73.0</v>
      </c>
      <c r="B78" s="14" t="s">
        <v>2549</v>
      </c>
      <c r="C78" s="14" t="s">
        <v>2552</v>
      </c>
      <c r="D78" s="128">
        <v>45015.0</v>
      </c>
      <c r="E78" s="242">
        <v>45019.0</v>
      </c>
      <c r="F78" s="243">
        <v>12446.0</v>
      </c>
      <c r="G78" s="243" t="s">
        <v>2525</v>
      </c>
      <c r="H78" s="90" t="s">
        <v>43</v>
      </c>
      <c r="I78" s="73" t="s">
        <v>2556</v>
      </c>
      <c r="J78" s="50" t="s">
        <v>46</v>
      </c>
      <c r="K78" s="14" t="s">
        <v>47</v>
      </c>
      <c r="L78" s="14" t="s">
        <v>47</v>
      </c>
      <c r="M78" s="50" t="s">
        <v>2559</v>
      </c>
      <c r="N78" s="14" t="s">
        <v>32</v>
      </c>
      <c r="O78" s="50" t="s">
        <v>2562</v>
      </c>
      <c r="P78" s="50" t="s">
        <v>2564</v>
      </c>
      <c r="Q78" s="14" t="s">
        <v>2565</v>
      </c>
      <c r="R78" s="50" t="s">
        <v>2567</v>
      </c>
      <c r="S78" s="150" t="s">
        <v>2569</v>
      </c>
      <c r="T78" s="14">
        <v>1.0</v>
      </c>
      <c r="U78" s="14">
        <v>0.0</v>
      </c>
      <c r="V78" s="14">
        <v>1.0</v>
      </c>
      <c r="W78" s="14">
        <v>0.0</v>
      </c>
      <c r="X78" s="14" t="s">
        <v>2573</v>
      </c>
      <c r="Y78" s="14" t="s">
        <v>1929</v>
      </c>
      <c r="Z78" s="14"/>
      <c r="AA78" s="16"/>
      <c r="AB78" s="16"/>
      <c r="AC78" s="16"/>
      <c r="AD78" s="16"/>
      <c r="AE78" s="16"/>
    </row>
    <row r="79" ht="15.75" customHeight="1">
      <c r="A79" s="14">
        <v>74.0</v>
      </c>
      <c r="B79" s="14" t="s">
        <v>2581</v>
      </c>
      <c r="C79" s="14" t="s">
        <v>2583</v>
      </c>
      <c r="D79" s="128">
        <v>45015.0</v>
      </c>
      <c r="E79" s="131">
        <v>45028.0</v>
      </c>
      <c r="F79" s="14">
        <v>10063.0</v>
      </c>
      <c r="G79" s="14" t="s">
        <v>84</v>
      </c>
      <c r="H79" s="14" t="s">
        <v>2441</v>
      </c>
      <c r="I79" s="80" t="s">
        <v>2586</v>
      </c>
      <c r="J79" s="50" t="s">
        <v>2588</v>
      </c>
      <c r="K79" s="14" t="s">
        <v>2589</v>
      </c>
      <c r="L79" s="14" t="s">
        <v>586</v>
      </c>
      <c r="M79" s="50" t="s">
        <v>2593</v>
      </c>
      <c r="N79" s="14" t="s">
        <v>69</v>
      </c>
      <c r="O79" s="50" t="s">
        <v>2596</v>
      </c>
      <c r="P79" s="50" t="s">
        <v>2598</v>
      </c>
      <c r="Q79" s="14" t="s">
        <v>2600</v>
      </c>
      <c r="R79" s="16">
        <v>9.84774748E8</v>
      </c>
      <c r="S79" s="50" t="s">
        <v>2602</v>
      </c>
      <c r="T79" s="14">
        <v>1.0</v>
      </c>
      <c r="U79" s="14">
        <v>0.0</v>
      </c>
      <c r="V79" s="14">
        <v>3.0</v>
      </c>
      <c r="W79" s="14">
        <v>1.0</v>
      </c>
      <c r="X79" s="14" t="s">
        <v>2607</v>
      </c>
      <c r="Y79" s="14" t="s">
        <v>61</v>
      </c>
      <c r="Z79" s="14"/>
      <c r="AA79" s="16"/>
      <c r="AB79" s="16"/>
      <c r="AC79" s="16"/>
      <c r="AD79" s="16"/>
      <c r="AE79" s="16"/>
    </row>
    <row r="80" ht="15.75" customHeight="1">
      <c r="A80" s="14">
        <v>75.0</v>
      </c>
      <c r="B80" s="14" t="s">
        <v>2613</v>
      </c>
      <c r="C80" s="14" t="s">
        <v>2614</v>
      </c>
      <c r="D80" s="128">
        <v>45012.0</v>
      </c>
      <c r="E80" s="131">
        <v>45021.0</v>
      </c>
      <c r="F80" s="14">
        <v>15349.0</v>
      </c>
      <c r="G80" s="90" t="s">
        <v>170</v>
      </c>
      <c r="H80" s="90" t="s">
        <v>43</v>
      </c>
      <c r="I80" s="80" t="s">
        <v>2617</v>
      </c>
      <c r="J80" s="50" t="s">
        <v>2618</v>
      </c>
      <c r="K80" s="14" t="s">
        <v>47</v>
      </c>
      <c r="L80" s="14" t="s">
        <v>47</v>
      </c>
      <c r="M80" s="50" t="s">
        <v>2622</v>
      </c>
      <c r="N80" s="14" t="s">
        <v>32</v>
      </c>
      <c r="O80" s="50" t="s">
        <v>2625</v>
      </c>
      <c r="P80" s="50" t="s">
        <v>2627</v>
      </c>
      <c r="Q80" s="14" t="s">
        <v>2629</v>
      </c>
      <c r="R80" s="14" t="s">
        <v>2631</v>
      </c>
      <c r="S80" s="50" t="s">
        <v>2633</v>
      </c>
      <c r="T80" s="14">
        <v>1.0</v>
      </c>
      <c r="U80" s="14">
        <v>0.0</v>
      </c>
      <c r="V80" s="14">
        <v>1.0</v>
      </c>
      <c r="W80" s="14">
        <v>0.0</v>
      </c>
      <c r="X80" s="119" t="s">
        <v>2636</v>
      </c>
      <c r="Y80" s="14" t="s">
        <v>61</v>
      </c>
      <c r="Z80" s="14"/>
      <c r="AA80" s="16"/>
      <c r="AB80" s="100"/>
      <c r="AC80" s="100"/>
      <c r="AD80" s="16"/>
      <c r="AE80" s="16"/>
    </row>
    <row r="81" ht="15.75" customHeight="1">
      <c r="A81" s="110">
        <v>76.0</v>
      </c>
      <c r="B81" s="248" t="s">
        <v>2642</v>
      </c>
      <c r="C81" s="103" t="s">
        <v>2644</v>
      </c>
      <c r="D81" s="103" t="s">
        <v>2645</v>
      </c>
      <c r="E81" s="249" t="s">
        <v>2646</v>
      </c>
      <c r="F81" s="110">
        <v>28860.0</v>
      </c>
      <c r="G81" s="110"/>
      <c r="H81" s="110" t="s">
        <v>773</v>
      </c>
      <c r="I81" s="118" t="s">
        <v>2649</v>
      </c>
      <c r="J81" s="103" t="s">
        <v>419</v>
      </c>
      <c r="K81" s="110" t="s">
        <v>419</v>
      </c>
      <c r="L81" s="110"/>
      <c r="M81" s="103" t="s">
        <v>2653</v>
      </c>
      <c r="N81" s="110"/>
      <c r="O81" s="103" t="s">
        <v>2655</v>
      </c>
      <c r="P81" s="236" t="s">
        <v>2658</v>
      </c>
      <c r="Q81" s="110" t="s">
        <v>2659</v>
      </c>
      <c r="R81" s="110" t="s">
        <v>2662</v>
      </c>
      <c r="S81" s="103" t="s">
        <v>2664</v>
      </c>
      <c r="T81" s="110">
        <v>0.0</v>
      </c>
      <c r="U81" s="110">
        <v>1.0</v>
      </c>
      <c r="V81" s="110">
        <v>3.0</v>
      </c>
      <c r="W81" s="110">
        <v>0.0</v>
      </c>
      <c r="X81" s="110" t="s">
        <v>2636</v>
      </c>
      <c r="Y81" s="110" t="s">
        <v>61</v>
      </c>
      <c r="Z81" s="110"/>
      <c r="AA81" s="100"/>
      <c r="AB81" s="16"/>
      <c r="AC81" s="16"/>
      <c r="AD81" s="100"/>
      <c r="AE81" s="100"/>
    </row>
    <row r="82" ht="15.75" customHeight="1">
      <c r="A82" s="75">
        <v>77.0</v>
      </c>
      <c r="B82" s="75" t="s">
        <v>2672</v>
      </c>
      <c r="C82" s="119" t="s">
        <v>2673</v>
      </c>
      <c r="D82" s="128">
        <v>45020.0</v>
      </c>
      <c r="E82" s="167">
        <v>45030.0</v>
      </c>
      <c r="F82" s="75">
        <v>33799.0</v>
      </c>
      <c r="G82" s="88" t="s">
        <v>170</v>
      </c>
      <c r="H82" s="90" t="s">
        <v>172</v>
      </c>
      <c r="I82" s="73" t="s">
        <v>2678</v>
      </c>
      <c r="J82" s="50" t="s">
        <v>176</v>
      </c>
      <c r="K82" s="14" t="s">
        <v>47</v>
      </c>
      <c r="L82" s="14" t="s">
        <v>47</v>
      </c>
      <c r="M82" s="50" t="s">
        <v>2681</v>
      </c>
      <c r="N82" s="14" t="s">
        <v>32</v>
      </c>
      <c r="O82" s="50" t="s">
        <v>2682</v>
      </c>
      <c r="P82" s="113" t="s">
        <v>2684</v>
      </c>
      <c r="Q82" s="14"/>
      <c r="R82" s="14" t="s">
        <v>2687</v>
      </c>
      <c r="S82" s="50" t="s">
        <v>2689</v>
      </c>
      <c r="T82" s="14">
        <v>1.0</v>
      </c>
      <c r="U82" s="14">
        <v>0.0</v>
      </c>
      <c r="V82" s="14">
        <v>1.0</v>
      </c>
      <c r="W82" s="14">
        <v>0.0</v>
      </c>
      <c r="X82" s="14" t="s">
        <v>2697</v>
      </c>
      <c r="Y82" s="14" t="s">
        <v>174</v>
      </c>
      <c r="Z82" s="14"/>
      <c r="AA82" s="16"/>
      <c r="AB82" s="16"/>
      <c r="AC82" s="16"/>
      <c r="AD82" s="16"/>
      <c r="AE82" s="16"/>
    </row>
    <row r="83" ht="15.75" customHeight="1">
      <c r="A83" s="14">
        <v>78.0</v>
      </c>
      <c r="B83" s="14" t="s">
        <v>2699</v>
      </c>
      <c r="C83" s="75" t="s">
        <v>2701</v>
      </c>
      <c r="D83" s="128">
        <v>45020.0</v>
      </c>
      <c r="E83" s="131">
        <v>45030.0</v>
      </c>
      <c r="F83" s="14">
        <v>16148.0</v>
      </c>
      <c r="G83" s="14" t="s">
        <v>84</v>
      </c>
      <c r="H83" s="14" t="s">
        <v>603</v>
      </c>
      <c r="I83" s="80" t="s">
        <v>2703</v>
      </c>
      <c r="J83" s="50" t="s">
        <v>2704</v>
      </c>
      <c r="K83" s="14" t="s">
        <v>2704</v>
      </c>
      <c r="L83" s="14" t="s">
        <v>610</v>
      </c>
      <c r="M83" s="50" t="s">
        <v>2707</v>
      </c>
      <c r="N83" s="14" t="s">
        <v>32</v>
      </c>
      <c r="O83" s="50" t="s">
        <v>2709</v>
      </c>
      <c r="P83" s="50" t="s">
        <v>2710</v>
      </c>
      <c r="Q83" s="14" t="s">
        <v>2711</v>
      </c>
      <c r="R83" s="14" t="s">
        <v>2713</v>
      </c>
      <c r="S83" s="50" t="s">
        <v>2714</v>
      </c>
      <c r="T83" s="14">
        <v>0.0</v>
      </c>
      <c r="U83" s="14">
        <v>1.0</v>
      </c>
      <c r="V83" s="14">
        <v>4.0</v>
      </c>
      <c r="W83" s="14">
        <v>0.0</v>
      </c>
      <c r="X83" s="14" t="s">
        <v>2718</v>
      </c>
      <c r="Y83" s="14" t="s">
        <v>61</v>
      </c>
      <c r="Z83" s="14"/>
      <c r="AA83" s="16"/>
      <c r="AB83" s="16"/>
      <c r="AC83" s="16"/>
      <c r="AD83" s="16"/>
      <c r="AE83" s="16"/>
    </row>
    <row r="84" ht="15.75" customHeight="1">
      <c r="A84" s="75">
        <v>79.0</v>
      </c>
      <c r="B84" s="75" t="s">
        <v>2722</v>
      </c>
      <c r="C84" s="75" t="s">
        <v>2723</v>
      </c>
      <c r="D84" s="146">
        <v>45020.0</v>
      </c>
      <c r="E84" s="242">
        <v>45030.0</v>
      </c>
      <c r="F84" s="243">
        <v>18592.0</v>
      </c>
      <c r="G84" s="243" t="s">
        <v>2525</v>
      </c>
      <c r="H84" s="75" t="s">
        <v>315</v>
      </c>
      <c r="I84" s="73" t="s">
        <v>2726</v>
      </c>
      <c r="J84" s="57" t="s">
        <v>509</v>
      </c>
      <c r="K84" s="75" t="s">
        <v>1399</v>
      </c>
      <c r="L84" s="75" t="s">
        <v>322</v>
      </c>
      <c r="M84" s="57" t="s">
        <v>2729</v>
      </c>
      <c r="N84" s="75" t="s">
        <v>32</v>
      </c>
      <c r="O84" s="57" t="s">
        <v>2731</v>
      </c>
      <c r="P84" s="57" t="s">
        <v>2733</v>
      </c>
      <c r="Q84" s="75" t="s">
        <v>2735</v>
      </c>
      <c r="R84" s="75" t="s">
        <v>2736</v>
      </c>
      <c r="S84" s="57" t="s">
        <v>2738</v>
      </c>
      <c r="T84" s="75">
        <v>1.0</v>
      </c>
      <c r="U84" s="75">
        <v>0.0</v>
      </c>
      <c r="V84" s="75">
        <v>1.0</v>
      </c>
      <c r="W84" s="75">
        <v>1.0</v>
      </c>
      <c r="X84" s="119" t="s">
        <v>2741</v>
      </c>
      <c r="Y84" s="75" t="s">
        <v>537</v>
      </c>
      <c r="Z84" s="75"/>
      <c r="AA84" s="16"/>
      <c r="AB84" s="119"/>
      <c r="AC84" s="119"/>
      <c r="AD84" s="16"/>
      <c r="AE84" s="16"/>
    </row>
    <row r="85" ht="28.5" customHeight="1">
      <c r="A85" s="75">
        <v>80.0</v>
      </c>
      <c r="B85" s="75" t="s">
        <v>2744</v>
      </c>
      <c r="C85" s="57" t="s">
        <v>2746</v>
      </c>
      <c r="D85" s="146">
        <v>45029.0</v>
      </c>
      <c r="E85" s="131">
        <v>45035.0</v>
      </c>
      <c r="F85" s="14">
        <v>2378.0</v>
      </c>
      <c r="G85" s="14" t="s">
        <v>84</v>
      </c>
      <c r="H85" s="75" t="s">
        <v>1299</v>
      </c>
      <c r="I85" s="257" t="s">
        <v>2748</v>
      </c>
      <c r="J85" s="57" t="s">
        <v>2588</v>
      </c>
      <c r="K85" s="75" t="s">
        <v>2589</v>
      </c>
      <c r="L85" s="75" t="s">
        <v>586</v>
      </c>
      <c r="M85" s="57" t="s">
        <v>2749</v>
      </c>
      <c r="N85" s="75" t="s">
        <v>50</v>
      </c>
      <c r="O85" s="258" t="s">
        <v>2750</v>
      </c>
      <c r="P85" s="75" t="s">
        <v>2751</v>
      </c>
      <c r="Q85" s="150" t="s">
        <v>2752</v>
      </c>
      <c r="R85" s="75" t="s">
        <v>2753</v>
      </c>
      <c r="S85" s="57" t="s">
        <v>2754</v>
      </c>
      <c r="T85" s="75">
        <v>0.0</v>
      </c>
      <c r="U85" s="75">
        <v>1.0</v>
      </c>
      <c r="V85" s="75">
        <v>0.0</v>
      </c>
      <c r="W85" s="75">
        <v>5.0</v>
      </c>
      <c r="X85" s="75" t="s">
        <v>2757</v>
      </c>
      <c r="Y85" s="75" t="s">
        <v>61</v>
      </c>
      <c r="Z85" s="75"/>
      <c r="AA85" s="119"/>
      <c r="AB85" s="16"/>
      <c r="AC85" s="16"/>
      <c r="AD85" s="119"/>
      <c r="AE85" s="119"/>
    </row>
    <row r="86" ht="15.75" customHeight="1">
      <c r="A86" s="14">
        <v>81.0</v>
      </c>
      <c r="B86" s="14" t="s">
        <v>2760</v>
      </c>
      <c r="C86" s="75" t="s">
        <v>2762</v>
      </c>
      <c r="D86" s="128">
        <v>45029.0</v>
      </c>
      <c r="E86" s="131">
        <v>45037.0</v>
      </c>
      <c r="F86" s="14">
        <v>5226.0</v>
      </c>
      <c r="G86" s="14" t="s">
        <v>84</v>
      </c>
      <c r="H86" s="14" t="s">
        <v>85</v>
      </c>
      <c r="I86" s="80" t="s">
        <v>2767</v>
      </c>
      <c r="J86" s="50" t="s">
        <v>430</v>
      </c>
      <c r="K86" s="14" t="s">
        <v>551</v>
      </c>
      <c r="L86" s="14" t="s">
        <v>88</v>
      </c>
      <c r="M86" s="50" t="s">
        <v>2768</v>
      </c>
      <c r="N86" s="14" t="s">
        <v>50</v>
      </c>
      <c r="O86" s="50" t="s">
        <v>2770</v>
      </c>
      <c r="P86" s="50" t="s">
        <v>2771</v>
      </c>
      <c r="Q86" s="14" t="s">
        <v>2772</v>
      </c>
      <c r="R86" s="14">
        <v>9.61000913E8</v>
      </c>
      <c r="S86" s="50" t="s">
        <v>2774</v>
      </c>
      <c r="T86" s="14">
        <v>1.0</v>
      </c>
      <c r="U86" s="14">
        <v>0.0</v>
      </c>
      <c r="V86" s="14">
        <v>5.0</v>
      </c>
      <c r="W86" s="14">
        <v>0.0</v>
      </c>
      <c r="X86" s="14" t="s">
        <v>2776</v>
      </c>
      <c r="Y86" s="50" t="s">
        <v>2338</v>
      </c>
      <c r="Z86" s="14"/>
      <c r="AA86" s="16"/>
      <c r="AB86" s="16"/>
      <c r="AC86" s="16"/>
      <c r="AD86" s="16"/>
      <c r="AE86" s="16"/>
    </row>
    <row r="87" ht="16.5" customHeight="1">
      <c r="A87" s="14">
        <v>82.0</v>
      </c>
      <c r="B87" s="14" t="s">
        <v>2778</v>
      </c>
      <c r="C87" s="75" t="s">
        <v>2781</v>
      </c>
      <c r="D87" s="128">
        <v>45035.0</v>
      </c>
      <c r="E87" s="131">
        <v>45042.0</v>
      </c>
      <c r="F87" s="14">
        <v>32441.0</v>
      </c>
      <c r="G87" s="14" t="s">
        <v>170</v>
      </c>
      <c r="H87" s="14" t="s">
        <v>43</v>
      </c>
      <c r="I87" s="80" t="s">
        <v>2784</v>
      </c>
      <c r="J87" s="50" t="s">
        <v>2786</v>
      </c>
      <c r="K87" s="14" t="s">
        <v>47</v>
      </c>
      <c r="L87" s="14" t="s">
        <v>47</v>
      </c>
      <c r="M87" s="57" t="s">
        <v>2787</v>
      </c>
      <c r="N87" s="14" t="s">
        <v>32</v>
      </c>
      <c r="O87" s="50" t="s">
        <v>2789</v>
      </c>
      <c r="P87" s="50" t="s">
        <v>2790</v>
      </c>
      <c r="Q87" s="14" t="s">
        <v>2791</v>
      </c>
      <c r="R87" s="14" t="s">
        <v>2792</v>
      </c>
      <c r="S87" s="50" t="s">
        <v>2793</v>
      </c>
      <c r="T87" s="14">
        <v>1.0</v>
      </c>
      <c r="U87" s="14">
        <v>0.0</v>
      </c>
      <c r="V87" s="14">
        <v>3.0</v>
      </c>
      <c r="W87" s="14">
        <v>0.0</v>
      </c>
      <c r="X87" s="14" t="s">
        <v>2796</v>
      </c>
      <c r="Y87" s="14" t="s">
        <v>61</v>
      </c>
      <c r="Z87" s="14"/>
      <c r="AA87" s="16"/>
      <c r="AB87" s="16"/>
      <c r="AC87" s="16"/>
      <c r="AD87" s="16"/>
      <c r="AE87" s="16"/>
    </row>
    <row r="88" ht="28.5" customHeight="1">
      <c r="A88" s="14">
        <v>83.0</v>
      </c>
      <c r="B88" s="14" t="s">
        <v>2799</v>
      </c>
      <c r="C88" s="75" t="s">
        <v>2800</v>
      </c>
      <c r="D88" s="128">
        <v>45035.0</v>
      </c>
      <c r="E88" s="131">
        <v>45042.0</v>
      </c>
      <c r="F88" s="14">
        <v>12907.0</v>
      </c>
      <c r="G88" s="14" t="s">
        <v>84</v>
      </c>
      <c r="H88" s="14" t="s">
        <v>140</v>
      </c>
      <c r="I88" s="80" t="s">
        <v>2805</v>
      </c>
      <c r="J88" s="50" t="s">
        <v>477</v>
      </c>
      <c r="K88" s="14" t="s">
        <v>142</v>
      </c>
      <c r="L88" s="14" t="s">
        <v>142</v>
      </c>
      <c r="M88" s="50" t="s">
        <v>2807</v>
      </c>
      <c r="N88" s="14" t="s">
        <v>32</v>
      </c>
      <c r="O88" s="50" t="s">
        <v>2808</v>
      </c>
      <c r="P88" s="57" t="s">
        <v>2809</v>
      </c>
      <c r="Q88" s="14" t="s">
        <v>2810</v>
      </c>
      <c r="R88" s="75">
        <v>9.92584622E8</v>
      </c>
      <c r="S88" s="57" t="s">
        <v>2811</v>
      </c>
      <c r="T88" s="14">
        <v>1.0</v>
      </c>
      <c r="U88" s="14">
        <v>0.0</v>
      </c>
      <c r="V88" s="14">
        <v>3.0</v>
      </c>
      <c r="W88" s="14">
        <v>4.0</v>
      </c>
      <c r="X88" s="261" t="s">
        <v>2812</v>
      </c>
      <c r="Y88" s="14" t="s">
        <v>61</v>
      </c>
      <c r="Z88" s="14"/>
      <c r="AA88" s="16"/>
      <c r="AB88" s="16"/>
      <c r="AC88" s="16"/>
      <c r="AD88" s="16"/>
      <c r="AE88" s="16"/>
    </row>
    <row r="89" ht="17.25" customHeight="1">
      <c r="A89" s="14">
        <v>84.0</v>
      </c>
      <c r="B89" s="14" t="s">
        <v>2813</v>
      </c>
      <c r="C89" s="75" t="s">
        <v>2814</v>
      </c>
      <c r="D89" s="128">
        <v>45040.0</v>
      </c>
      <c r="E89" s="131">
        <v>45058.0</v>
      </c>
      <c r="F89" s="14">
        <v>8685.0</v>
      </c>
      <c r="G89" s="14" t="s">
        <v>84</v>
      </c>
      <c r="H89" s="14" t="s">
        <v>85</v>
      </c>
      <c r="I89" s="80" t="s">
        <v>2815</v>
      </c>
      <c r="J89" s="50" t="s">
        <v>125</v>
      </c>
      <c r="K89" s="14" t="s">
        <v>125</v>
      </c>
      <c r="L89" s="14" t="s">
        <v>88</v>
      </c>
      <c r="M89" s="16" t="s">
        <v>2816</v>
      </c>
      <c r="N89" s="14" t="s">
        <v>69</v>
      </c>
      <c r="O89" s="16" t="s">
        <v>2817</v>
      </c>
      <c r="P89" s="50" t="s">
        <v>2818</v>
      </c>
      <c r="Q89" s="16" t="s">
        <v>2819</v>
      </c>
      <c r="R89" s="14">
        <v>9.43868974E8</v>
      </c>
      <c r="S89" s="14" t="s">
        <v>2820</v>
      </c>
      <c r="T89" s="14">
        <v>1.0</v>
      </c>
      <c r="U89" s="14">
        <v>0.0</v>
      </c>
      <c r="V89" s="14">
        <v>5.0</v>
      </c>
      <c r="W89" s="14">
        <v>0.0</v>
      </c>
      <c r="X89" s="16" t="s">
        <v>2821</v>
      </c>
      <c r="Y89" s="14" t="s">
        <v>61</v>
      </c>
      <c r="Z89" s="14"/>
      <c r="AA89" s="16"/>
      <c r="AB89" s="16"/>
      <c r="AC89" s="16"/>
      <c r="AD89" s="16"/>
      <c r="AE89" s="16"/>
    </row>
    <row r="90" ht="15.75" customHeight="1">
      <c r="A90" s="14">
        <v>85.0</v>
      </c>
      <c r="B90" s="14" t="s">
        <v>2822</v>
      </c>
      <c r="C90" s="75" t="s">
        <v>2823</v>
      </c>
      <c r="D90" s="128">
        <v>45040.0</v>
      </c>
      <c r="E90" s="131">
        <v>45090.0</v>
      </c>
      <c r="F90" s="14">
        <v>12975.0</v>
      </c>
      <c r="G90" s="14" t="s">
        <v>84</v>
      </c>
      <c r="H90" s="14" t="s">
        <v>43</v>
      </c>
      <c r="I90" s="80" t="s">
        <v>2824</v>
      </c>
      <c r="J90" s="50" t="s">
        <v>46</v>
      </c>
      <c r="K90" s="14" t="s">
        <v>47</v>
      </c>
      <c r="L90" s="14" t="s">
        <v>47</v>
      </c>
      <c r="M90" s="50" t="s">
        <v>2825</v>
      </c>
      <c r="N90" s="14" t="s">
        <v>32</v>
      </c>
      <c r="O90" s="50" t="s">
        <v>2826</v>
      </c>
      <c r="P90" s="50" t="s">
        <v>2827</v>
      </c>
      <c r="Q90" s="14" t="s">
        <v>2828</v>
      </c>
      <c r="R90" s="14">
        <v>9.76182076E8</v>
      </c>
      <c r="S90" s="16" t="s">
        <v>2829</v>
      </c>
      <c r="T90" s="14">
        <v>2.0</v>
      </c>
      <c r="U90" s="14">
        <v>0.0</v>
      </c>
      <c r="V90" s="14">
        <v>4.0</v>
      </c>
      <c r="W90" s="14">
        <v>0.0</v>
      </c>
      <c r="X90" s="14" t="s">
        <v>2830</v>
      </c>
      <c r="Y90" s="14" t="s">
        <v>61</v>
      </c>
      <c r="Z90" s="14"/>
      <c r="AA90" s="16"/>
      <c r="AB90" s="16"/>
      <c r="AC90" s="16"/>
      <c r="AD90" s="16"/>
      <c r="AE90" s="16"/>
    </row>
    <row r="91" ht="15.75" customHeight="1">
      <c r="A91" s="14">
        <v>86.0</v>
      </c>
      <c r="B91" s="14" t="s">
        <v>2831</v>
      </c>
      <c r="C91" s="75" t="s">
        <v>2832</v>
      </c>
      <c r="D91" s="128">
        <v>45042.0</v>
      </c>
      <c r="E91" s="242">
        <v>45058.0</v>
      </c>
      <c r="F91" s="243">
        <v>6529.0</v>
      </c>
      <c r="G91" s="243" t="s">
        <v>2525</v>
      </c>
      <c r="H91" s="14" t="s">
        <v>315</v>
      </c>
      <c r="I91" s="73" t="s">
        <v>2833</v>
      </c>
      <c r="J91" s="50" t="s">
        <v>2834</v>
      </c>
      <c r="K91" s="14" t="s">
        <v>1399</v>
      </c>
      <c r="L91" s="14" t="s">
        <v>322</v>
      </c>
      <c r="M91" s="50" t="s">
        <v>2835</v>
      </c>
      <c r="N91" s="14" t="s">
        <v>50</v>
      </c>
      <c r="O91" s="50" t="s">
        <v>2836</v>
      </c>
      <c r="P91" s="50" t="s">
        <v>2837</v>
      </c>
      <c r="Q91" s="14" t="s">
        <v>2838</v>
      </c>
      <c r="R91" s="14">
        <v>9.82085325E8</v>
      </c>
      <c r="S91" s="14" t="s">
        <v>2839</v>
      </c>
      <c r="T91" s="14">
        <v>0.0</v>
      </c>
      <c r="U91" s="14">
        <v>2.0</v>
      </c>
      <c r="V91" s="14">
        <v>1.0</v>
      </c>
      <c r="W91" s="14">
        <v>0.0</v>
      </c>
      <c r="X91" s="14" t="s">
        <v>2840</v>
      </c>
      <c r="Y91" s="14" t="s">
        <v>537</v>
      </c>
      <c r="Z91" s="14"/>
      <c r="AA91" s="16"/>
      <c r="AB91" s="16"/>
      <c r="AC91" s="16"/>
      <c r="AD91" s="16"/>
      <c r="AE91" s="16"/>
    </row>
    <row r="92" ht="19.5" customHeight="1">
      <c r="A92" s="14">
        <v>87.0</v>
      </c>
      <c r="B92" s="14" t="s">
        <v>2841</v>
      </c>
      <c r="C92" s="75" t="s">
        <v>2842</v>
      </c>
      <c r="D92" s="128">
        <v>45042.0</v>
      </c>
      <c r="E92" s="131">
        <v>45077.0</v>
      </c>
      <c r="F92" s="14">
        <v>10603.0</v>
      </c>
      <c r="G92" s="14" t="s">
        <v>63</v>
      </c>
      <c r="H92" s="14" t="s">
        <v>153</v>
      </c>
      <c r="I92" s="73" t="s">
        <v>2843</v>
      </c>
      <c r="J92" s="50" t="s">
        <v>2844</v>
      </c>
      <c r="K92" s="14" t="s">
        <v>717</v>
      </c>
      <c r="L92" s="14" t="s">
        <v>47</v>
      </c>
      <c r="M92" s="50" t="s">
        <v>2845</v>
      </c>
      <c r="N92" s="14" t="s">
        <v>32</v>
      </c>
      <c r="O92" s="50" t="s">
        <v>2846</v>
      </c>
      <c r="P92" s="50" t="s">
        <v>2847</v>
      </c>
      <c r="Q92" s="14" t="s">
        <v>2848</v>
      </c>
      <c r="R92" s="14">
        <v>9.45506386E8</v>
      </c>
      <c r="S92" s="14" t="s">
        <v>2849</v>
      </c>
      <c r="T92" s="14">
        <v>1.0</v>
      </c>
      <c r="U92" s="14">
        <v>0.0</v>
      </c>
      <c r="V92" s="14">
        <v>6.0</v>
      </c>
      <c r="W92" s="14">
        <v>0.0</v>
      </c>
      <c r="X92" s="14" t="s">
        <v>2850</v>
      </c>
      <c r="Y92" s="14" t="s">
        <v>61</v>
      </c>
      <c r="Z92" s="14"/>
      <c r="AA92" s="16"/>
      <c r="AB92" s="16"/>
      <c r="AC92" s="16"/>
      <c r="AD92" s="16"/>
      <c r="AE92" s="16"/>
    </row>
    <row r="93" ht="15.75" customHeight="1">
      <c r="A93" s="14">
        <v>88.0</v>
      </c>
      <c r="B93" s="14" t="s">
        <v>2851</v>
      </c>
      <c r="C93" s="75" t="s">
        <v>2852</v>
      </c>
      <c r="D93" s="128">
        <v>45040.0</v>
      </c>
      <c r="E93" s="167">
        <v>45051.0</v>
      </c>
      <c r="F93" s="75">
        <v>12854.0</v>
      </c>
      <c r="G93" s="75" t="s">
        <v>84</v>
      </c>
      <c r="H93" s="75" t="s">
        <v>2273</v>
      </c>
      <c r="I93" s="73" t="s">
        <v>2853</v>
      </c>
      <c r="J93" s="50" t="s">
        <v>2854</v>
      </c>
      <c r="K93" s="14" t="s">
        <v>1466</v>
      </c>
      <c r="L93" s="14" t="s">
        <v>1003</v>
      </c>
      <c r="M93" s="50" t="s">
        <v>2855</v>
      </c>
      <c r="N93" s="14" t="s">
        <v>32</v>
      </c>
      <c r="O93" s="50" t="s">
        <v>2856</v>
      </c>
      <c r="P93" s="50" t="s">
        <v>2857</v>
      </c>
      <c r="Q93" s="14" t="s">
        <v>2858</v>
      </c>
      <c r="R93" s="14" t="s">
        <v>2859</v>
      </c>
      <c r="S93" s="50" t="s">
        <v>2860</v>
      </c>
      <c r="T93" s="14">
        <v>1.0</v>
      </c>
      <c r="U93" s="14">
        <v>0.0</v>
      </c>
      <c r="V93" s="14">
        <v>1.0</v>
      </c>
      <c r="W93" s="14">
        <v>3.0</v>
      </c>
      <c r="X93" s="14" t="s">
        <v>2861</v>
      </c>
      <c r="Y93" s="14" t="s">
        <v>61</v>
      </c>
      <c r="Z93" s="14"/>
      <c r="AA93" s="16"/>
      <c r="AB93" s="119"/>
      <c r="AC93" s="119"/>
      <c r="AD93" s="16"/>
      <c r="AE93" s="16"/>
    </row>
    <row r="94" ht="15.75" customHeight="1">
      <c r="A94" s="75">
        <v>89.0</v>
      </c>
      <c r="B94" s="75" t="s">
        <v>2862</v>
      </c>
      <c r="C94" s="75" t="s">
        <v>2863</v>
      </c>
      <c r="D94" s="141">
        <v>45043.0</v>
      </c>
      <c r="E94" s="167">
        <v>45058.0</v>
      </c>
      <c r="F94" s="75">
        <v>25971.0</v>
      </c>
      <c r="G94" s="75" t="s">
        <v>84</v>
      </c>
      <c r="H94" s="75" t="s">
        <v>2864</v>
      </c>
      <c r="I94" s="73" t="s">
        <v>2865</v>
      </c>
      <c r="J94" s="57" t="s">
        <v>666</v>
      </c>
      <c r="K94" s="75" t="s">
        <v>666</v>
      </c>
      <c r="L94" s="75" t="s">
        <v>179</v>
      </c>
      <c r="M94" s="57" t="s">
        <v>2866</v>
      </c>
      <c r="N94" s="75" t="s">
        <v>32</v>
      </c>
      <c r="O94" s="57" t="s">
        <v>2867</v>
      </c>
      <c r="P94" s="57" t="s">
        <v>2868</v>
      </c>
      <c r="Q94" s="75" t="s">
        <v>2869</v>
      </c>
      <c r="R94" s="75" t="s">
        <v>2870</v>
      </c>
      <c r="S94" s="57" t="s">
        <v>2871</v>
      </c>
      <c r="T94" s="75">
        <v>1.0</v>
      </c>
      <c r="U94" s="75">
        <v>0.0</v>
      </c>
      <c r="V94" s="75">
        <v>3.0</v>
      </c>
      <c r="W94" s="75">
        <v>0.0</v>
      </c>
      <c r="X94" s="75" t="s">
        <v>2872</v>
      </c>
      <c r="Y94" s="75" t="s">
        <v>61</v>
      </c>
      <c r="Z94" s="75"/>
      <c r="AA94" s="119"/>
      <c r="AB94" s="16"/>
      <c r="AC94" s="16"/>
      <c r="AD94" s="119"/>
      <c r="AE94" s="119"/>
    </row>
    <row r="95" ht="20.25" customHeight="1">
      <c r="A95" s="75">
        <v>90.0</v>
      </c>
      <c r="B95" s="14" t="s">
        <v>2873</v>
      </c>
      <c r="C95" s="184" t="s">
        <v>2874</v>
      </c>
      <c r="D95" s="128">
        <v>45042.0</v>
      </c>
      <c r="E95" s="193">
        <v>45090.0</v>
      </c>
      <c r="F95" s="71">
        <v>16121.0</v>
      </c>
      <c r="G95" s="71" t="s">
        <v>170</v>
      </c>
      <c r="H95" s="71" t="s">
        <v>43</v>
      </c>
      <c r="I95" s="262" t="s">
        <v>2875</v>
      </c>
      <c r="J95" s="51" t="s">
        <v>67</v>
      </c>
      <c r="K95" s="71" t="s">
        <v>717</v>
      </c>
      <c r="L95" s="14" t="s">
        <v>47</v>
      </c>
      <c r="M95" s="51" t="s">
        <v>2876</v>
      </c>
      <c r="N95" s="71" t="s">
        <v>32</v>
      </c>
      <c r="O95" s="51" t="s">
        <v>2877</v>
      </c>
      <c r="P95" s="51" t="s">
        <v>2878</v>
      </c>
      <c r="Q95" s="135" t="s">
        <v>2879</v>
      </c>
      <c r="R95" s="14">
        <v>9.39110875E8</v>
      </c>
      <c r="S95" s="14" t="s">
        <v>2880</v>
      </c>
      <c r="T95" s="71">
        <v>1.0</v>
      </c>
      <c r="U95" s="71">
        <v>0.0</v>
      </c>
      <c r="V95" s="71">
        <v>2.0</v>
      </c>
      <c r="W95" s="71">
        <v>0.0</v>
      </c>
      <c r="X95" s="71" t="s">
        <v>2881</v>
      </c>
      <c r="Y95" s="71" t="s">
        <v>2882</v>
      </c>
      <c r="Z95" s="14" t="s">
        <v>2883</v>
      </c>
      <c r="AA95" s="16"/>
      <c r="AB95" s="16"/>
      <c r="AC95" s="16"/>
      <c r="AD95" s="16"/>
      <c r="AE95" s="16"/>
    </row>
    <row r="96" ht="15.75" customHeight="1">
      <c r="A96" s="14">
        <v>91.0</v>
      </c>
      <c r="B96" s="90" t="s">
        <v>2884</v>
      </c>
      <c r="C96" s="161" t="s">
        <v>2885</v>
      </c>
      <c r="D96" s="128">
        <v>45042.0</v>
      </c>
      <c r="E96" s="263">
        <v>45076.0</v>
      </c>
      <c r="F96" s="98">
        <v>26706.0</v>
      </c>
      <c r="G96" s="71" t="s">
        <v>170</v>
      </c>
      <c r="H96" s="98" t="s">
        <v>273</v>
      </c>
      <c r="I96" s="264" t="s">
        <v>2886</v>
      </c>
      <c r="J96" s="265" t="s">
        <v>277</v>
      </c>
      <c r="K96" s="98" t="s">
        <v>277</v>
      </c>
      <c r="L96" s="98" t="s">
        <v>281</v>
      </c>
      <c r="M96" s="265" t="s">
        <v>2887</v>
      </c>
      <c r="N96" s="98" t="s">
        <v>32</v>
      </c>
      <c r="O96" s="265" t="s">
        <v>2888</v>
      </c>
      <c r="P96" s="265" t="s">
        <v>2889</v>
      </c>
      <c r="Q96" s="14" t="s">
        <v>2890</v>
      </c>
      <c r="R96" s="98" t="s">
        <v>2891</v>
      </c>
      <c r="S96" s="14" t="s">
        <v>2892</v>
      </c>
      <c r="T96" s="98">
        <v>1.0</v>
      </c>
      <c r="U96" s="98">
        <v>0.0</v>
      </c>
      <c r="V96" s="98">
        <v>0.0</v>
      </c>
      <c r="W96" s="98">
        <v>2.0</v>
      </c>
      <c r="X96" s="98" t="s">
        <v>2893</v>
      </c>
      <c r="Y96" s="98" t="s">
        <v>61</v>
      </c>
      <c r="Z96" s="14"/>
      <c r="AA96" s="16"/>
      <c r="AB96" s="16"/>
      <c r="AC96" s="16"/>
      <c r="AD96" s="16"/>
      <c r="AE96" s="16"/>
    </row>
    <row r="97" ht="23.25" customHeight="1">
      <c r="A97" s="14">
        <v>92.0</v>
      </c>
      <c r="B97" s="90" t="s">
        <v>2894</v>
      </c>
      <c r="C97" s="161" t="s">
        <v>2895</v>
      </c>
      <c r="D97" s="128">
        <v>45043.0</v>
      </c>
      <c r="E97" s="131">
        <v>45058.0</v>
      </c>
      <c r="F97" s="14">
        <v>12301.0</v>
      </c>
      <c r="G97" s="71" t="s">
        <v>84</v>
      </c>
      <c r="H97" s="14" t="s">
        <v>85</v>
      </c>
      <c r="I97" s="80" t="s">
        <v>2896</v>
      </c>
      <c r="J97" s="50" t="s">
        <v>125</v>
      </c>
      <c r="K97" s="14" t="s">
        <v>125</v>
      </c>
      <c r="L97" s="14" t="s">
        <v>88</v>
      </c>
      <c r="M97" s="50" t="s">
        <v>2897</v>
      </c>
      <c r="N97" s="14" t="s">
        <v>32</v>
      </c>
      <c r="O97" s="50" t="s">
        <v>2898</v>
      </c>
      <c r="P97" s="50" t="s">
        <v>2899</v>
      </c>
      <c r="Q97" s="16" t="s">
        <v>2900</v>
      </c>
      <c r="R97" s="14" t="s">
        <v>2901</v>
      </c>
      <c r="S97" s="16" t="s">
        <v>2902</v>
      </c>
      <c r="T97" s="14">
        <v>0.0</v>
      </c>
      <c r="U97" s="14">
        <v>1.0</v>
      </c>
      <c r="V97" s="14">
        <v>1.0</v>
      </c>
      <c r="W97" s="14">
        <v>2.0</v>
      </c>
      <c r="X97" s="16" t="s">
        <v>2903</v>
      </c>
      <c r="Y97" s="14" t="s">
        <v>61</v>
      </c>
      <c r="Z97" s="14"/>
      <c r="AA97" s="16"/>
      <c r="AB97" s="16"/>
      <c r="AC97" s="16"/>
      <c r="AD97" s="16"/>
      <c r="AE97" s="16"/>
    </row>
    <row r="98" ht="15.75" customHeight="1">
      <c r="A98" s="14">
        <v>93.0</v>
      </c>
      <c r="B98" s="90" t="s">
        <v>2904</v>
      </c>
      <c r="C98" s="161" t="s">
        <v>2905</v>
      </c>
      <c r="D98" s="128">
        <v>45043.0</v>
      </c>
      <c r="E98" s="131">
        <v>45058.0</v>
      </c>
      <c r="F98" s="14" t="s">
        <v>2906</v>
      </c>
      <c r="G98" s="14" t="s">
        <v>84</v>
      </c>
      <c r="H98" s="14" t="s">
        <v>506</v>
      </c>
      <c r="I98" s="80" t="s">
        <v>2907</v>
      </c>
      <c r="J98" s="50" t="s">
        <v>2908</v>
      </c>
      <c r="K98" s="14" t="s">
        <v>496</v>
      </c>
      <c r="L98" s="14" t="s">
        <v>496</v>
      </c>
      <c r="M98" s="50" t="s">
        <v>2909</v>
      </c>
      <c r="N98" s="14" t="s">
        <v>50</v>
      </c>
      <c r="O98" s="50" t="s">
        <v>2910</v>
      </c>
      <c r="P98" s="50" t="s">
        <v>2911</v>
      </c>
      <c r="Q98" s="50" t="s">
        <v>2912</v>
      </c>
      <c r="R98" s="14" t="s">
        <v>2913</v>
      </c>
      <c r="S98" s="50" t="s">
        <v>2914</v>
      </c>
      <c r="T98" s="14">
        <v>0.0</v>
      </c>
      <c r="U98" s="14">
        <v>1.0</v>
      </c>
      <c r="V98" s="14">
        <v>0.0</v>
      </c>
      <c r="W98" s="14">
        <v>5.0</v>
      </c>
      <c r="X98" s="14" t="s">
        <v>2915</v>
      </c>
      <c r="Y98" s="14" t="s">
        <v>61</v>
      </c>
      <c r="Z98" s="14"/>
      <c r="AA98" s="16"/>
      <c r="AB98" s="16"/>
      <c r="AC98" s="16"/>
      <c r="AD98" s="16"/>
      <c r="AE98" s="16"/>
    </row>
    <row r="99" ht="18.0" customHeight="1">
      <c r="A99" s="110">
        <v>94.0</v>
      </c>
      <c r="B99" s="115" t="s">
        <v>2916</v>
      </c>
      <c r="C99" s="116" t="s">
        <v>2917</v>
      </c>
      <c r="D99" s="229">
        <v>45043.0</v>
      </c>
      <c r="E99" s="266">
        <v>45058.0</v>
      </c>
      <c r="F99" s="110" t="s">
        <v>2918</v>
      </c>
      <c r="G99" s="110" t="s">
        <v>170</v>
      </c>
      <c r="H99" s="110" t="s">
        <v>235</v>
      </c>
      <c r="I99" s="267" t="s">
        <v>2919</v>
      </c>
      <c r="J99" s="103" t="s">
        <v>2604</v>
      </c>
      <c r="K99" s="110" t="s">
        <v>240</v>
      </c>
      <c r="L99" s="110" t="s">
        <v>240</v>
      </c>
      <c r="M99" s="103" t="s">
        <v>2920</v>
      </c>
      <c r="N99" s="110" t="s">
        <v>32</v>
      </c>
      <c r="O99" s="103" t="s">
        <v>2921</v>
      </c>
      <c r="P99" s="103" t="s">
        <v>2922</v>
      </c>
      <c r="Q99" s="110" t="s">
        <v>2923</v>
      </c>
      <c r="R99" s="110">
        <v>9.95426619E8</v>
      </c>
      <c r="S99" s="103" t="s">
        <v>2924</v>
      </c>
      <c r="T99" s="110">
        <v>1.0</v>
      </c>
      <c r="U99" s="110">
        <v>0.0</v>
      </c>
      <c r="V99" s="110">
        <v>2.0</v>
      </c>
      <c r="W99" s="110">
        <v>0.0</v>
      </c>
      <c r="X99" s="268" t="s">
        <v>2925</v>
      </c>
      <c r="Y99" s="110" t="s">
        <v>61</v>
      </c>
      <c r="Z99" s="110"/>
      <c r="AA99" s="100"/>
      <c r="AB99" s="100"/>
      <c r="AC99" s="100"/>
      <c r="AD99" s="100"/>
      <c r="AE99" s="100"/>
    </row>
    <row r="100" ht="33.0" customHeight="1">
      <c r="A100" s="14">
        <v>95.0</v>
      </c>
      <c r="B100" s="14" t="s">
        <v>2926</v>
      </c>
      <c r="C100" s="161" t="s">
        <v>2927</v>
      </c>
      <c r="D100" s="269">
        <v>45055.0</v>
      </c>
      <c r="E100" s="131">
        <v>45058.0</v>
      </c>
      <c r="F100" s="14">
        <v>26299.0</v>
      </c>
      <c r="G100" s="14" t="s">
        <v>170</v>
      </c>
      <c r="H100" s="14" t="s">
        <v>76</v>
      </c>
      <c r="I100" s="73" t="s">
        <v>2928</v>
      </c>
      <c r="J100" s="50" t="s">
        <v>1494</v>
      </c>
      <c r="K100" s="14" t="s">
        <v>47</v>
      </c>
      <c r="L100" s="14" t="s">
        <v>47</v>
      </c>
      <c r="M100" s="50" t="s">
        <v>2929</v>
      </c>
      <c r="N100" s="14" t="s">
        <v>32</v>
      </c>
      <c r="O100" s="50" t="s">
        <v>2930</v>
      </c>
      <c r="P100" s="50" t="s">
        <v>2931</v>
      </c>
      <c r="Q100" s="14" t="s">
        <v>2932</v>
      </c>
      <c r="R100" s="14" t="s">
        <v>2933</v>
      </c>
      <c r="S100" s="50" t="s">
        <v>2934</v>
      </c>
      <c r="T100" s="14">
        <v>1.0</v>
      </c>
      <c r="U100" s="14">
        <v>0.0</v>
      </c>
      <c r="V100" s="14">
        <v>4.0</v>
      </c>
      <c r="W100" s="14">
        <v>0.0</v>
      </c>
      <c r="X100" s="216" t="s">
        <v>2935</v>
      </c>
      <c r="Y100" s="14" t="s">
        <v>2936</v>
      </c>
      <c r="Z100" s="14"/>
      <c r="AA100" s="16"/>
      <c r="AB100" s="16"/>
      <c r="AC100" s="16"/>
      <c r="AD100" s="16"/>
      <c r="AE100" s="16"/>
    </row>
    <row r="101" ht="15.75" customHeight="1">
      <c r="A101" s="14">
        <v>96.0</v>
      </c>
      <c r="B101" s="168" t="s">
        <v>2937</v>
      </c>
      <c r="C101" s="161" t="s">
        <v>2938</v>
      </c>
      <c r="D101" s="269">
        <v>45064.0</v>
      </c>
      <c r="E101" s="167">
        <v>45071.0</v>
      </c>
      <c r="F101" s="75">
        <v>35260.0</v>
      </c>
      <c r="G101" s="75" t="s">
        <v>170</v>
      </c>
      <c r="H101" s="14" t="s">
        <v>773</v>
      </c>
      <c r="I101" s="80" t="s">
        <v>2939</v>
      </c>
      <c r="J101" s="113" t="s">
        <v>419</v>
      </c>
      <c r="K101" s="14" t="s">
        <v>419</v>
      </c>
      <c r="L101" s="14" t="s">
        <v>419</v>
      </c>
      <c r="M101" s="50" t="s">
        <v>2940</v>
      </c>
      <c r="N101" s="14" t="s">
        <v>32</v>
      </c>
      <c r="O101" s="16" t="s">
        <v>2941</v>
      </c>
      <c r="P101" s="50" t="s">
        <v>2942</v>
      </c>
      <c r="Q101" s="50" t="s">
        <v>2943</v>
      </c>
      <c r="R101" s="14" t="s">
        <v>2944</v>
      </c>
      <c r="S101" s="113" t="s">
        <v>2945</v>
      </c>
      <c r="T101" s="14">
        <v>1.0</v>
      </c>
      <c r="U101" s="14">
        <v>0.0</v>
      </c>
      <c r="V101" s="136">
        <v>5.0</v>
      </c>
      <c r="W101" s="14">
        <v>0.0</v>
      </c>
      <c r="X101" s="154" t="s">
        <v>2946</v>
      </c>
      <c r="Y101" s="14" t="s">
        <v>61</v>
      </c>
      <c r="Z101" s="14"/>
      <c r="AA101" s="16"/>
      <c r="AB101" s="16"/>
      <c r="AC101" s="16"/>
      <c r="AD101" s="16"/>
      <c r="AE101" s="16"/>
    </row>
    <row r="102" ht="15.75" customHeight="1">
      <c r="A102" s="14">
        <v>97.0</v>
      </c>
      <c r="B102" s="14" t="s">
        <v>2947</v>
      </c>
      <c r="C102" s="161" t="s">
        <v>2948</v>
      </c>
      <c r="D102" s="269">
        <v>45055.0</v>
      </c>
      <c r="E102" s="131">
        <v>45058.0</v>
      </c>
      <c r="F102" s="14">
        <v>24304.0</v>
      </c>
      <c r="G102" s="14" t="s">
        <v>170</v>
      </c>
      <c r="H102" s="14" t="s">
        <v>172</v>
      </c>
      <c r="I102" s="73" t="s">
        <v>2949</v>
      </c>
      <c r="J102" s="50" t="s">
        <v>176</v>
      </c>
      <c r="K102" s="14" t="s">
        <v>47</v>
      </c>
      <c r="L102" s="14" t="s">
        <v>47</v>
      </c>
      <c r="M102" s="50" t="s">
        <v>2950</v>
      </c>
      <c r="N102" s="14" t="s">
        <v>32</v>
      </c>
      <c r="O102" s="50" t="s">
        <v>2951</v>
      </c>
      <c r="P102" s="50" t="s">
        <v>2952</v>
      </c>
      <c r="Q102" s="14" t="s">
        <v>2953</v>
      </c>
      <c r="R102" s="75">
        <v>9.81839312E8</v>
      </c>
      <c r="S102" s="50" t="s">
        <v>2954</v>
      </c>
      <c r="T102" s="14">
        <v>1.0</v>
      </c>
      <c r="U102" s="14">
        <v>0.0</v>
      </c>
      <c r="V102" s="14">
        <v>2.0</v>
      </c>
      <c r="W102" s="14">
        <v>0.0</v>
      </c>
      <c r="X102" s="14" t="s">
        <v>2955</v>
      </c>
      <c r="Y102" s="14" t="s">
        <v>61</v>
      </c>
      <c r="Z102" s="14"/>
      <c r="AA102" s="16"/>
      <c r="AB102" s="16"/>
      <c r="AC102" s="16"/>
      <c r="AD102" s="16"/>
      <c r="AE102" s="16"/>
    </row>
    <row r="103" ht="17.25" customHeight="1">
      <c r="A103" s="14">
        <v>133.0</v>
      </c>
      <c r="B103" s="14" t="s">
        <v>2956</v>
      </c>
      <c r="C103" s="14" t="s">
        <v>2957</v>
      </c>
      <c r="D103" s="146">
        <v>45191.0</v>
      </c>
      <c r="E103" s="68">
        <v>45210.0</v>
      </c>
      <c r="F103" s="14">
        <v>17493.0</v>
      </c>
      <c r="G103" s="75" t="s">
        <v>84</v>
      </c>
      <c r="H103" s="14" t="s">
        <v>205</v>
      </c>
      <c r="I103" s="80" t="s">
        <v>2958</v>
      </c>
      <c r="J103" s="50" t="s">
        <v>1803</v>
      </c>
      <c r="K103" s="14" t="s">
        <v>1010</v>
      </c>
      <c r="L103" s="14" t="s">
        <v>210</v>
      </c>
      <c r="M103" s="50" t="s">
        <v>2959</v>
      </c>
      <c r="N103" s="14" t="s">
        <v>32</v>
      </c>
      <c r="O103" s="50" t="s">
        <v>2960</v>
      </c>
      <c r="P103" s="50" t="s">
        <v>2961</v>
      </c>
      <c r="Q103" s="14" t="s">
        <v>2962</v>
      </c>
      <c r="R103" s="14">
        <v>9.52871844E8</v>
      </c>
      <c r="S103" s="50" t="s">
        <v>2963</v>
      </c>
      <c r="T103" s="14">
        <v>1.0</v>
      </c>
      <c r="U103" s="14">
        <v>0.0</v>
      </c>
      <c r="V103" s="14">
        <v>2.0</v>
      </c>
      <c r="W103" s="14">
        <v>0.0</v>
      </c>
      <c r="X103" s="14" t="s">
        <v>2964</v>
      </c>
      <c r="Y103" s="14" t="s">
        <v>61</v>
      </c>
      <c r="Z103" s="14"/>
      <c r="AA103" s="16"/>
      <c r="AB103" s="16"/>
      <c r="AC103" s="16"/>
      <c r="AD103" s="16"/>
      <c r="AE103" s="16"/>
    </row>
    <row r="104" ht="15.75" customHeight="1">
      <c r="A104" s="14">
        <v>99.0</v>
      </c>
      <c r="B104" s="14" t="s">
        <v>2965</v>
      </c>
      <c r="C104" s="14" t="s">
        <v>2966</v>
      </c>
      <c r="D104" s="146">
        <v>45062.0</v>
      </c>
      <c r="E104" s="131">
        <v>45071.0</v>
      </c>
      <c r="F104" s="14">
        <v>12161.0</v>
      </c>
      <c r="G104" s="14" t="s">
        <v>63</v>
      </c>
      <c r="H104" s="14" t="s">
        <v>1299</v>
      </c>
      <c r="I104" s="199" t="s">
        <v>2967</v>
      </c>
      <c r="J104" s="50" t="s">
        <v>1301</v>
      </c>
      <c r="K104" s="14" t="s">
        <v>586</v>
      </c>
      <c r="L104" s="14" t="s">
        <v>586</v>
      </c>
      <c r="M104" s="50" t="s">
        <v>2968</v>
      </c>
      <c r="N104" s="14" t="s">
        <v>32</v>
      </c>
      <c r="O104" s="50" t="s">
        <v>2969</v>
      </c>
      <c r="P104" s="135" t="s">
        <v>2970</v>
      </c>
      <c r="Q104" s="14" t="s">
        <v>2971</v>
      </c>
      <c r="R104" s="14" t="s">
        <v>2972</v>
      </c>
      <c r="S104" s="50" t="s">
        <v>2973</v>
      </c>
      <c r="T104" s="14">
        <v>1.0</v>
      </c>
      <c r="U104" s="14">
        <v>0.0</v>
      </c>
      <c r="V104" s="14">
        <v>5.0</v>
      </c>
      <c r="W104" s="14">
        <v>0.0</v>
      </c>
      <c r="X104" s="14" t="s">
        <v>2974</v>
      </c>
      <c r="Y104" s="14" t="s">
        <v>61</v>
      </c>
      <c r="Z104" s="14"/>
      <c r="AA104" s="16"/>
      <c r="AB104" s="16"/>
      <c r="AC104" s="16"/>
      <c r="AD104" s="16"/>
      <c r="AE104" s="16"/>
    </row>
    <row r="105" ht="15.75" customHeight="1">
      <c r="A105" s="14">
        <v>100.0</v>
      </c>
      <c r="B105" s="14" t="s">
        <v>2975</v>
      </c>
      <c r="C105" s="14" t="s">
        <v>2976</v>
      </c>
      <c r="D105" s="128">
        <v>45062.0</v>
      </c>
      <c r="E105" s="131">
        <v>45071.0</v>
      </c>
      <c r="F105" s="14">
        <v>18667.0</v>
      </c>
      <c r="G105" s="14" t="s">
        <v>170</v>
      </c>
      <c r="H105" s="14" t="s">
        <v>43</v>
      </c>
      <c r="I105" s="73" t="s">
        <v>2977</v>
      </c>
      <c r="J105" s="50" t="s">
        <v>126</v>
      </c>
      <c r="K105" s="14" t="s">
        <v>47</v>
      </c>
      <c r="L105" s="14" t="s">
        <v>47</v>
      </c>
      <c r="M105" s="50" t="s">
        <v>2978</v>
      </c>
      <c r="N105" s="14" t="s">
        <v>32</v>
      </c>
      <c r="O105" s="50" t="s">
        <v>2979</v>
      </c>
      <c r="P105" s="50" t="s">
        <v>2980</v>
      </c>
      <c r="Q105" s="14" t="s">
        <v>2981</v>
      </c>
      <c r="R105" s="14">
        <v>9.24475073E8</v>
      </c>
      <c r="S105" s="50" t="s">
        <v>2982</v>
      </c>
      <c r="T105" s="14">
        <v>1.0</v>
      </c>
      <c r="U105" s="14">
        <v>0.0</v>
      </c>
      <c r="V105" s="14">
        <v>1.0</v>
      </c>
      <c r="W105" s="14">
        <v>0.0</v>
      </c>
      <c r="X105" s="14" t="s">
        <v>2983</v>
      </c>
      <c r="Y105" s="14" t="s">
        <v>61</v>
      </c>
      <c r="Z105" s="14"/>
      <c r="AA105" s="16"/>
      <c r="AB105" s="16"/>
      <c r="AC105" s="16"/>
      <c r="AD105" s="16"/>
      <c r="AE105" s="16"/>
    </row>
    <row r="106" ht="15.75" customHeight="1">
      <c r="A106" s="14">
        <v>101.0</v>
      </c>
      <c r="B106" s="14" t="s">
        <v>2984</v>
      </c>
      <c r="C106" s="50" t="s">
        <v>2985</v>
      </c>
      <c r="D106" s="245" t="s">
        <v>2986</v>
      </c>
      <c r="E106" s="136" t="s">
        <v>2987</v>
      </c>
      <c r="F106" s="14">
        <v>7135.0</v>
      </c>
      <c r="G106" s="14" t="s">
        <v>84</v>
      </c>
      <c r="H106" s="14" t="s">
        <v>2988</v>
      </c>
      <c r="I106" s="73" t="s">
        <v>2989</v>
      </c>
      <c r="J106" s="50" t="s">
        <v>2990</v>
      </c>
      <c r="K106" s="14" t="s">
        <v>2990</v>
      </c>
      <c r="L106" s="14" t="s">
        <v>586</v>
      </c>
      <c r="M106" s="50" t="s">
        <v>2991</v>
      </c>
      <c r="N106" s="14" t="s">
        <v>50</v>
      </c>
      <c r="O106" s="113" t="s">
        <v>2992</v>
      </c>
      <c r="P106" s="50" t="s">
        <v>2993</v>
      </c>
      <c r="Q106" s="136" t="s">
        <v>2994</v>
      </c>
      <c r="R106" s="14" t="s">
        <v>2995</v>
      </c>
      <c r="S106" s="50" t="s">
        <v>2996</v>
      </c>
      <c r="T106" s="14">
        <v>0.0</v>
      </c>
      <c r="U106" s="14">
        <v>1.0</v>
      </c>
      <c r="V106" s="14">
        <v>0.0</v>
      </c>
      <c r="W106" s="14">
        <v>3.0</v>
      </c>
      <c r="X106" s="14" t="s">
        <v>2997</v>
      </c>
      <c r="Y106" s="14" t="s">
        <v>61</v>
      </c>
      <c r="Z106" s="14"/>
      <c r="AA106" s="16"/>
      <c r="AB106" s="16"/>
      <c r="AC106" s="16"/>
      <c r="AD106" s="16"/>
      <c r="AE106" s="16"/>
    </row>
    <row r="107" ht="15.75" customHeight="1">
      <c r="A107" s="14">
        <v>102.0</v>
      </c>
      <c r="B107" s="14" t="s">
        <v>2998</v>
      </c>
      <c r="C107" s="14" t="s">
        <v>2999</v>
      </c>
      <c r="D107" s="128">
        <v>45068.0</v>
      </c>
      <c r="E107" s="131">
        <v>45075.0</v>
      </c>
      <c r="F107" s="14">
        <v>15375.0</v>
      </c>
      <c r="G107" s="14" t="s">
        <v>84</v>
      </c>
      <c r="H107" s="14" t="s">
        <v>942</v>
      </c>
      <c r="I107" s="73" t="s">
        <v>3000</v>
      </c>
      <c r="J107" s="50" t="s">
        <v>945</v>
      </c>
      <c r="K107" s="14" t="s">
        <v>946</v>
      </c>
      <c r="L107" s="14" t="s">
        <v>948</v>
      </c>
      <c r="M107" s="16" t="s">
        <v>3001</v>
      </c>
      <c r="N107" s="14" t="s">
        <v>32</v>
      </c>
      <c r="O107" s="154" t="s">
        <v>3002</v>
      </c>
      <c r="P107" s="261" t="s">
        <v>3003</v>
      </c>
      <c r="Q107" s="154" t="s">
        <v>3004</v>
      </c>
      <c r="R107" s="14">
        <v>9.7070694E8</v>
      </c>
      <c r="S107" s="50" t="s">
        <v>3005</v>
      </c>
      <c r="T107" s="14">
        <v>1.0</v>
      </c>
      <c r="U107" s="14">
        <v>0.0</v>
      </c>
      <c r="V107" s="14">
        <v>5.0</v>
      </c>
      <c r="W107" s="14">
        <v>0.0</v>
      </c>
      <c r="X107" s="14" t="s">
        <v>3006</v>
      </c>
      <c r="Y107" s="14" t="s">
        <v>61</v>
      </c>
      <c r="Z107" s="14"/>
      <c r="AA107" s="16"/>
      <c r="AB107" s="16"/>
      <c r="AC107" s="16"/>
      <c r="AD107" s="16"/>
      <c r="AE107" s="16"/>
    </row>
    <row r="108" ht="15.75" customHeight="1">
      <c r="A108" s="14">
        <v>103.0</v>
      </c>
      <c r="B108" s="14" t="s">
        <v>3007</v>
      </c>
      <c r="C108" s="14" t="s">
        <v>3008</v>
      </c>
      <c r="D108" s="128">
        <v>45068.0</v>
      </c>
      <c r="E108" s="131">
        <v>45072.0</v>
      </c>
      <c r="F108" s="14">
        <v>9144.0</v>
      </c>
      <c r="G108" s="14" t="s">
        <v>84</v>
      </c>
      <c r="H108" s="14" t="s">
        <v>153</v>
      </c>
      <c r="I108" s="73" t="s">
        <v>3009</v>
      </c>
      <c r="J108" s="50" t="s">
        <v>1589</v>
      </c>
      <c r="K108" s="14" t="s">
        <v>47</v>
      </c>
      <c r="L108" s="14" t="s">
        <v>47</v>
      </c>
      <c r="M108" s="50" t="s">
        <v>3010</v>
      </c>
      <c r="N108" s="14" t="s">
        <v>32</v>
      </c>
      <c r="O108" s="50" t="s">
        <v>3011</v>
      </c>
      <c r="P108" s="50" t="s">
        <v>3012</v>
      </c>
      <c r="Q108" s="14" t="s">
        <v>3013</v>
      </c>
      <c r="R108" s="14">
        <v>9.98617405E8</v>
      </c>
      <c r="S108" s="50" t="s">
        <v>3014</v>
      </c>
      <c r="T108" s="14">
        <v>0.0</v>
      </c>
      <c r="U108" s="14">
        <v>1.0</v>
      </c>
      <c r="V108" s="14">
        <v>4.0</v>
      </c>
      <c r="W108" s="14">
        <v>0.0</v>
      </c>
      <c r="X108" s="14" t="s">
        <v>3015</v>
      </c>
      <c r="Y108" s="136" t="s">
        <v>3016</v>
      </c>
      <c r="Z108" s="136" t="s">
        <v>3017</v>
      </c>
      <c r="AA108" s="16"/>
      <c r="AB108" s="16"/>
      <c r="AC108" s="16"/>
      <c r="AD108" s="16"/>
      <c r="AE108" s="16"/>
    </row>
    <row r="109" ht="15.75" customHeight="1">
      <c r="A109" s="14">
        <v>104.0</v>
      </c>
      <c r="B109" s="14" t="s">
        <v>3018</v>
      </c>
      <c r="C109" s="14" t="s">
        <v>3019</v>
      </c>
      <c r="D109" s="128">
        <v>45078.0</v>
      </c>
      <c r="E109" s="242">
        <v>45084.0</v>
      </c>
      <c r="F109" s="243">
        <v>6152.0</v>
      </c>
      <c r="G109" s="243" t="s">
        <v>2525</v>
      </c>
      <c r="H109" s="14" t="s">
        <v>172</v>
      </c>
      <c r="I109" s="73" t="s">
        <v>3020</v>
      </c>
      <c r="J109" s="50" t="s">
        <v>3021</v>
      </c>
      <c r="K109" s="14" t="s">
        <v>47</v>
      </c>
      <c r="L109" s="14" t="s">
        <v>47</v>
      </c>
      <c r="M109" s="50" t="s">
        <v>3022</v>
      </c>
      <c r="N109" s="14" t="s">
        <v>50</v>
      </c>
      <c r="O109" s="50" t="s">
        <v>3023</v>
      </c>
      <c r="P109" s="50" t="s">
        <v>3024</v>
      </c>
      <c r="Q109" s="14" t="s">
        <v>3025</v>
      </c>
      <c r="R109" s="75">
        <v>9.37677826E8</v>
      </c>
      <c r="S109" s="50" t="s">
        <v>3026</v>
      </c>
      <c r="T109" s="14">
        <v>1.0</v>
      </c>
      <c r="U109" s="14">
        <v>0.0</v>
      </c>
      <c r="V109" s="14">
        <v>3.0</v>
      </c>
      <c r="W109" s="14">
        <v>0.0</v>
      </c>
      <c r="X109" s="14" t="s">
        <v>3027</v>
      </c>
      <c r="Y109" s="14" t="s">
        <v>61</v>
      </c>
      <c r="Z109" s="14"/>
      <c r="AA109" s="16"/>
      <c r="AB109" s="16"/>
      <c r="AC109" s="16"/>
      <c r="AD109" s="16"/>
      <c r="AE109" s="16"/>
    </row>
    <row r="110" ht="29.25" customHeight="1">
      <c r="A110" s="14">
        <v>105.0</v>
      </c>
      <c r="B110" s="14" t="s">
        <v>3028</v>
      </c>
      <c r="C110" s="14" t="s">
        <v>3029</v>
      </c>
      <c r="D110" s="128">
        <v>45078.0</v>
      </c>
      <c r="E110" s="131">
        <v>45084.0</v>
      </c>
      <c r="F110" s="14">
        <v>19748.0</v>
      </c>
      <c r="G110" s="14" t="s">
        <v>170</v>
      </c>
      <c r="H110" s="14" t="s">
        <v>43</v>
      </c>
      <c r="I110" s="73" t="s">
        <v>3030</v>
      </c>
      <c r="J110" s="50" t="s">
        <v>67</v>
      </c>
      <c r="K110" s="14" t="s">
        <v>47</v>
      </c>
      <c r="L110" s="14" t="s">
        <v>47</v>
      </c>
      <c r="M110" s="50" t="s">
        <v>3031</v>
      </c>
      <c r="N110" s="14" t="s">
        <v>32</v>
      </c>
      <c r="O110" s="50" t="s">
        <v>3032</v>
      </c>
      <c r="P110" s="50" t="s">
        <v>3033</v>
      </c>
      <c r="Q110" s="14" t="s">
        <v>3034</v>
      </c>
      <c r="R110" s="14" t="s">
        <v>3035</v>
      </c>
      <c r="S110" s="50" t="s">
        <v>3036</v>
      </c>
      <c r="T110" s="14">
        <v>1.0</v>
      </c>
      <c r="U110" s="14">
        <v>0.0</v>
      </c>
      <c r="V110" s="14">
        <v>2.0</v>
      </c>
      <c r="W110" s="14">
        <v>0.0</v>
      </c>
      <c r="X110" s="14" t="s">
        <v>3037</v>
      </c>
      <c r="Y110" s="14" t="s">
        <v>61</v>
      </c>
      <c r="Z110" s="14"/>
      <c r="AA110" s="16"/>
      <c r="AB110" s="16"/>
      <c r="AC110" s="16"/>
      <c r="AD110" s="16"/>
      <c r="AE110" s="16"/>
    </row>
    <row r="111" ht="15.75" customHeight="1">
      <c r="A111" s="14">
        <v>106.0</v>
      </c>
      <c r="B111" s="16" t="s">
        <v>3038</v>
      </c>
      <c r="C111" s="14" t="s">
        <v>3039</v>
      </c>
      <c r="D111" s="128">
        <v>45099.0</v>
      </c>
      <c r="E111" s="131">
        <v>45104.0</v>
      </c>
      <c r="F111" s="14">
        <v>10062.0</v>
      </c>
      <c r="G111" s="14" t="s">
        <v>63</v>
      </c>
      <c r="H111" s="14" t="s">
        <v>1299</v>
      </c>
      <c r="I111" s="73" t="s">
        <v>3040</v>
      </c>
      <c r="J111" s="50" t="s">
        <v>3041</v>
      </c>
      <c r="K111" s="14" t="s">
        <v>3042</v>
      </c>
      <c r="L111" s="14" t="s">
        <v>586</v>
      </c>
      <c r="M111" s="50" t="s">
        <v>3043</v>
      </c>
      <c r="N111" s="14" t="s">
        <v>69</v>
      </c>
      <c r="O111" s="50" t="s">
        <v>3044</v>
      </c>
      <c r="P111" s="50" t="s">
        <v>3045</v>
      </c>
      <c r="Q111" s="14" t="s">
        <v>3046</v>
      </c>
      <c r="R111" s="14">
        <v>9.69694933E8</v>
      </c>
      <c r="S111" s="50" t="s">
        <v>3047</v>
      </c>
      <c r="T111" s="14">
        <v>1.0</v>
      </c>
      <c r="U111" s="14">
        <v>0.0</v>
      </c>
      <c r="V111" s="14">
        <v>1.0</v>
      </c>
      <c r="W111" s="14">
        <v>0.0</v>
      </c>
      <c r="X111" s="14" t="s">
        <v>3048</v>
      </c>
      <c r="Y111" s="14" t="s">
        <v>61</v>
      </c>
      <c r="Z111" s="14"/>
      <c r="AA111" s="16"/>
      <c r="AB111" s="16"/>
      <c r="AC111" s="16"/>
      <c r="AD111" s="16"/>
      <c r="AE111" s="16"/>
    </row>
    <row r="112" ht="27.0" customHeight="1">
      <c r="A112" s="14">
        <v>107.0</v>
      </c>
      <c r="B112" s="14" t="s">
        <v>3049</v>
      </c>
      <c r="C112" s="14" t="s">
        <v>3050</v>
      </c>
      <c r="D112" s="128">
        <v>45086.0</v>
      </c>
      <c r="E112" s="131">
        <v>45091.0</v>
      </c>
      <c r="F112" s="14">
        <v>27459.0</v>
      </c>
      <c r="G112" s="14" t="s">
        <v>170</v>
      </c>
      <c r="H112" s="14" t="s">
        <v>603</v>
      </c>
      <c r="I112" s="73" t="s">
        <v>3051</v>
      </c>
      <c r="J112" s="50" t="s">
        <v>610</v>
      </c>
      <c r="K112" s="14" t="s">
        <v>610</v>
      </c>
      <c r="L112" s="14" t="s">
        <v>610</v>
      </c>
      <c r="M112" s="16" t="s">
        <v>3052</v>
      </c>
      <c r="N112" s="14" t="s">
        <v>32</v>
      </c>
      <c r="O112" s="50" t="s">
        <v>3053</v>
      </c>
      <c r="P112" s="50" t="s">
        <v>3054</v>
      </c>
      <c r="Q112" s="16" t="s">
        <v>3055</v>
      </c>
      <c r="R112" s="14" t="s">
        <v>3056</v>
      </c>
      <c r="S112" s="50" t="s">
        <v>3057</v>
      </c>
      <c r="T112" s="14">
        <v>0.0</v>
      </c>
      <c r="U112" s="14">
        <v>1.0</v>
      </c>
      <c r="V112" s="14">
        <v>2.0</v>
      </c>
      <c r="W112" s="14">
        <v>0.0</v>
      </c>
      <c r="X112" s="14" t="s">
        <v>3058</v>
      </c>
      <c r="Y112" s="14" t="s">
        <v>61</v>
      </c>
      <c r="Z112" s="14" t="s">
        <v>3059</v>
      </c>
      <c r="AA112" s="16"/>
      <c r="AB112" s="16"/>
      <c r="AC112" s="16"/>
      <c r="AD112" s="16"/>
      <c r="AE112" s="16"/>
    </row>
    <row r="113" ht="15.75" customHeight="1">
      <c r="A113" s="14">
        <v>108.0</v>
      </c>
      <c r="B113" s="14" t="s">
        <v>3060</v>
      </c>
      <c r="C113" s="14" t="s">
        <v>3061</v>
      </c>
      <c r="D113" s="128">
        <v>45104.0</v>
      </c>
      <c r="E113" s="242">
        <v>45114.0</v>
      </c>
      <c r="F113" s="243">
        <v>11009.0</v>
      </c>
      <c r="G113" s="243" t="s">
        <v>2525</v>
      </c>
      <c r="H113" s="14" t="s">
        <v>140</v>
      </c>
      <c r="I113" s="73" t="s">
        <v>3062</v>
      </c>
      <c r="J113" s="50" t="s">
        <v>3063</v>
      </c>
      <c r="K113" s="14" t="s">
        <v>3064</v>
      </c>
      <c r="L113" s="14" t="s">
        <v>142</v>
      </c>
      <c r="M113" s="50" t="s">
        <v>3065</v>
      </c>
      <c r="N113" s="14" t="s">
        <v>69</v>
      </c>
      <c r="O113" s="50" t="s">
        <v>3066</v>
      </c>
      <c r="P113" s="50" t="s">
        <v>3067</v>
      </c>
      <c r="Q113" s="14" t="s">
        <v>3068</v>
      </c>
      <c r="R113" s="14">
        <v>9.74206576E8</v>
      </c>
      <c r="S113" s="50" t="s">
        <v>3069</v>
      </c>
      <c r="T113" s="14">
        <v>1.0</v>
      </c>
      <c r="U113" s="14">
        <v>0.0</v>
      </c>
      <c r="V113" s="14">
        <v>4.0</v>
      </c>
      <c r="W113" s="14">
        <v>0.0</v>
      </c>
      <c r="X113" s="14" t="s">
        <v>3070</v>
      </c>
      <c r="Y113" s="14" t="s">
        <v>3071</v>
      </c>
      <c r="Z113" s="14"/>
      <c r="AA113" s="16"/>
      <c r="AB113" s="16"/>
      <c r="AC113" s="16"/>
      <c r="AD113" s="16"/>
      <c r="AE113" s="16"/>
    </row>
    <row r="114" ht="16.5" customHeight="1">
      <c r="A114" s="14">
        <v>109.0</v>
      </c>
      <c r="B114" s="14" t="s">
        <v>3072</v>
      </c>
      <c r="C114" s="14" t="s">
        <v>3073</v>
      </c>
      <c r="D114" s="141">
        <v>45114.0</v>
      </c>
      <c r="E114" s="167">
        <v>45124.0</v>
      </c>
      <c r="F114" s="75">
        <v>33999.0</v>
      </c>
      <c r="G114" s="75" t="s">
        <v>170</v>
      </c>
      <c r="H114" s="14" t="s">
        <v>76</v>
      </c>
      <c r="I114" s="73" t="s">
        <v>3074</v>
      </c>
      <c r="J114" s="50" t="s">
        <v>1200</v>
      </c>
      <c r="K114" s="14" t="s">
        <v>47</v>
      </c>
      <c r="L114" s="14" t="s">
        <v>47</v>
      </c>
      <c r="M114" s="50" t="s">
        <v>3075</v>
      </c>
      <c r="N114" s="14" t="s">
        <v>32</v>
      </c>
      <c r="O114" s="50" t="s">
        <v>3076</v>
      </c>
      <c r="P114" s="50" t="s">
        <v>3077</v>
      </c>
      <c r="Q114" s="14" t="s">
        <v>3078</v>
      </c>
      <c r="R114" s="14">
        <v>9.22757008E8</v>
      </c>
      <c r="S114" s="50" t="s">
        <v>3079</v>
      </c>
      <c r="T114" s="14">
        <v>1.0</v>
      </c>
      <c r="U114" s="14">
        <v>0.0</v>
      </c>
      <c r="V114" s="14">
        <v>2.0</v>
      </c>
      <c r="W114" s="14">
        <v>0.0</v>
      </c>
      <c r="X114" s="14" t="s">
        <v>3080</v>
      </c>
      <c r="Y114" s="14" t="s">
        <v>61</v>
      </c>
      <c r="Z114" s="14"/>
      <c r="AA114" s="16"/>
      <c r="AB114" s="16"/>
      <c r="AC114" s="16"/>
      <c r="AD114" s="16"/>
      <c r="AE114" s="16"/>
    </row>
    <row r="115" ht="15.75" customHeight="1">
      <c r="A115" s="14">
        <v>110.0</v>
      </c>
      <c r="B115" s="14" t="s">
        <v>3081</v>
      </c>
      <c r="C115" s="14" t="s">
        <v>3082</v>
      </c>
      <c r="D115" s="128">
        <v>45104.0</v>
      </c>
      <c r="E115" s="131">
        <v>45114.0</v>
      </c>
      <c r="F115" s="14">
        <v>11950.0</v>
      </c>
      <c r="G115" s="14" t="s">
        <v>84</v>
      </c>
      <c r="H115" s="14" t="s">
        <v>172</v>
      </c>
      <c r="I115" s="73" t="s">
        <v>3083</v>
      </c>
      <c r="J115" s="50" t="s">
        <v>1939</v>
      </c>
      <c r="K115" s="14" t="s">
        <v>47</v>
      </c>
      <c r="L115" s="14" t="s">
        <v>47</v>
      </c>
      <c r="M115" s="50" t="s">
        <v>3084</v>
      </c>
      <c r="N115" s="14" t="s">
        <v>32</v>
      </c>
      <c r="O115" s="50" t="s">
        <v>3085</v>
      </c>
      <c r="P115" s="50" t="s">
        <v>3086</v>
      </c>
      <c r="Q115" s="14" t="s">
        <v>3087</v>
      </c>
      <c r="R115" s="14">
        <v>9.54069445E8</v>
      </c>
      <c r="S115" s="14" t="s">
        <v>3088</v>
      </c>
      <c r="T115" s="14">
        <v>1.0</v>
      </c>
      <c r="U115" s="14">
        <v>0.0</v>
      </c>
      <c r="V115" s="14">
        <v>3.0</v>
      </c>
      <c r="W115" s="14"/>
      <c r="X115" s="14" t="s">
        <v>3089</v>
      </c>
      <c r="Y115" s="14" t="s">
        <v>174</v>
      </c>
      <c r="Z115" s="14"/>
      <c r="AA115" s="16"/>
      <c r="AB115" s="16"/>
      <c r="AC115" s="16"/>
      <c r="AD115" s="16"/>
      <c r="AE115" s="16"/>
    </row>
    <row r="116" ht="15.75" customHeight="1">
      <c r="A116" s="14">
        <v>111.0</v>
      </c>
      <c r="B116" s="14" t="s">
        <v>3090</v>
      </c>
      <c r="C116" s="14" t="s">
        <v>3091</v>
      </c>
      <c r="D116" s="128">
        <v>45105.0</v>
      </c>
      <c r="E116" s="131">
        <v>45118.0</v>
      </c>
      <c r="F116" s="14">
        <v>18606.0</v>
      </c>
      <c r="G116" s="14" t="s">
        <v>170</v>
      </c>
      <c r="H116" s="14" t="s">
        <v>1901</v>
      </c>
      <c r="I116" s="73" t="s">
        <v>3092</v>
      </c>
      <c r="J116" s="50" t="s">
        <v>509</v>
      </c>
      <c r="K116" s="14" t="s">
        <v>322</v>
      </c>
      <c r="L116" s="14" t="s">
        <v>322</v>
      </c>
      <c r="M116" s="50" t="s">
        <v>3093</v>
      </c>
      <c r="N116" s="14" t="s">
        <v>32</v>
      </c>
      <c r="O116" s="50" t="s">
        <v>3094</v>
      </c>
      <c r="P116" s="50" t="s">
        <v>3095</v>
      </c>
      <c r="Q116" s="14" t="s">
        <v>3096</v>
      </c>
      <c r="R116" s="14">
        <v>9.99092589E8</v>
      </c>
      <c r="S116" s="50" t="s">
        <v>3097</v>
      </c>
      <c r="T116" s="14">
        <v>0.0</v>
      </c>
      <c r="U116" s="14">
        <v>1.0</v>
      </c>
      <c r="V116" s="14">
        <v>2.0</v>
      </c>
      <c r="W116" s="14">
        <v>0.0</v>
      </c>
      <c r="X116" s="14" t="s">
        <v>3098</v>
      </c>
      <c r="Y116" s="14" t="s">
        <v>61</v>
      </c>
      <c r="Z116" s="14"/>
      <c r="AA116" s="16"/>
      <c r="AB116" s="16"/>
      <c r="AC116" s="16"/>
      <c r="AD116" s="16"/>
      <c r="AE116" s="16"/>
    </row>
    <row r="117" ht="16.5" customHeight="1">
      <c r="A117" s="14">
        <v>112.0</v>
      </c>
      <c r="B117" s="14" t="s">
        <v>3099</v>
      </c>
      <c r="C117" s="14" t="s">
        <v>3100</v>
      </c>
      <c r="D117" s="146">
        <v>45110.0</v>
      </c>
      <c r="E117" s="167">
        <v>45114.0</v>
      </c>
      <c r="F117" s="75">
        <v>33237.0</v>
      </c>
      <c r="G117" s="14" t="s">
        <v>170</v>
      </c>
      <c r="H117" s="14" t="s">
        <v>43</v>
      </c>
      <c r="I117" s="73" t="s">
        <v>3101</v>
      </c>
      <c r="J117" s="50" t="s">
        <v>1921</v>
      </c>
      <c r="K117" s="14" t="s">
        <v>47</v>
      </c>
      <c r="L117" s="14" t="s">
        <v>47</v>
      </c>
      <c r="M117" s="50" t="s">
        <v>3102</v>
      </c>
      <c r="N117" s="14" t="s">
        <v>32</v>
      </c>
      <c r="O117" s="50" t="s">
        <v>3103</v>
      </c>
      <c r="P117" s="50" t="s">
        <v>3104</v>
      </c>
      <c r="Q117" s="14" t="s">
        <v>3105</v>
      </c>
      <c r="R117" s="14">
        <v>9.69239149E8</v>
      </c>
      <c r="S117" s="50" t="s">
        <v>3106</v>
      </c>
      <c r="T117" s="14">
        <v>1.0</v>
      </c>
      <c r="U117" s="14">
        <v>0.0</v>
      </c>
      <c r="V117" s="14">
        <v>3.0</v>
      </c>
      <c r="W117" s="14">
        <v>0.0</v>
      </c>
      <c r="X117" s="14" t="s">
        <v>3107</v>
      </c>
      <c r="Y117" s="14" t="s">
        <v>61</v>
      </c>
      <c r="Z117" s="14"/>
      <c r="AA117" s="16"/>
      <c r="AB117" s="16"/>
      <c r="AC117" s="16"/>
      <c r="AD117" s="16"/>
      <c r="AE117" s="16"/>
    </row>
    <row r="118" ht="15.75" customHeight="1">
      <c r="A118" s="14">
        <v>113.0</v>
      </c>
      <c r="B118" s="14" t="s">
        <v>3108</v>
      </c>
      <c r="C118" s="14" t="s">
        <v>3109</v>
      </c>
      <c r="D118" s="175">
        <v>45117.0</v>
      </c>
      <c r="E118" s="131">
        <v>45124.0</v>
      </c>
      <c r="F118" s="14">
        <v>18808.0</v>
      </c>
      <c r="G118" s="14" t="s">
        <v>170</v>
      </c>
      <c r="H118" s="14" t="s">
        <v>3110</v>
      </c>
      <c r="I118" s="73" t="s">
        <v>3111</v>
      </c>
      <c r="J118" s="50" t="s">
        <v>715</v>
      </c>
      <c r="K118" s="14" t="s">
        <v>715</v>
      </c>
      <c r="L118" s="14" t="s">
        <v>718</v>
      </c>
      <c r="M118" s="50" t="s">
        <v>3112</v>
      </c>
      <c r="N118" s="14" t="s">
        <v>32</v>
      </c>
      <c r="O118" s="50" t="s">
        <v>3113</v>
      </c>
      <c r="P118" s="50" t="s">
        <v>3114</v>
      </c>
      <c r="Q118" s="16" t="s">
        <v>3115</v>
      </c>
      <c r="R118" s="14">
        <v>9.52015436E8</v>
      </c>
      <c r="S118" s="14" t="s">
        <v>3116</v>
      </c>
      <c r="T118" s="14">
        <v>1.0</v>
      </c>
      <c r="U118" s="14">
        <v>0.0</v>
      </c>
      <c r="V118" s="14">
        <v>2.0</v>
      </c>
      <c r="W118" s="14">
        <v>0.0</v>
      </c>
      <c r="X118" s="14" t="s">
        <v>3117</v>
      </c>
      <c r="Y118" s="14" t="s">
        <v>61</v>
      </c>
      <c r="Z118" s="14"/>
      <c r="AA118" s="16"/>
      <c r="AB118" s="16"/>
      <c r="AC118" s="16"/>
      <c r="AD118" s="16"/>
      <c r="AE118" s="16"/>
    </row>
    <row r="119" ht="15.75" customHeight="1">
      <c r="A119" s="14">
        <v>114.0</v>
      </c>
      <c r="B119" s="14" t="s">
        <v>3118</v>
      </c>
      <c r="C119" s="14" t="s">
        <v>3119</v>
      </c>
      <c r="D119" s="128">
        <v>45126.0</v>
      </c>
      <c r="E119" s="131">
        <v>45128.0</v>
      </c>
      <c r="F119" s="14">
        <v>12761.0</v>
      </c>
      <c r="G119" s="14" t="s">
        <v>84</v>
      </c>
      <c r="H119" s="14" t="s">
        <v>506</v>
      </c>
      <c r="I119" s="73" t="s">
        <v>3120</v>
      </c>
      <c r="J119" s="50" t="s">
        <v>496</v>
      </c>
      <c r="K119" s="14" t="s">
        <v>496</v>
      </c>
      <c r="L119" s="14" t="s">
        <v>496</v>
      </c>
      <c r="M119" s="50" t="s">
        <v>3121</v>
      </c>
      <c r="N119" s="14" t="s">
        <v>32</v>
      </c>
      <c r="O119" s="14" t="s">
        <v>3122</v>
      </c>
      <c r="P119" s="196" t="s">
        <v>3123</v>
      </c>
      <c r="Q119" s="14" t="s">
        <v>3122</v>
      </c>
      <c r="R119" s="14">
        <v>9.76220538E8</v>
      </c>
      <c r="S119" s="14" t="s">
        <v>3124</v>
      </c>
      <c r="T119" s="14">
        <v>0.0</v>
      </c>
      <c r="U119" s="14">
        <v>1.0</v>
      </c>
      <c r="V119" s="14">
        <v>2.0</v>
      </c>
      <c r="W119" s="14">
        <v>0.0</v>
      </c>
      <c r="X119" s="14" t="s">
        <v>3125</v>
      </c>
      <c r="Y119" s="14" t="s">
        <v>61</v>
      </c>
      <c r="Z119" s="14"/>
      <c r="AA119" s="16"/>
      <c r="AB119" s="16"/>
      <c r="AC119" s="16"/>
      <c r="AD119" s="16"/>
      <c r="AE119" s="16"/>
    </row>
    <row r="120" ht="15.75" customHeight="1">
      <c r="A120" s="14">
        <v>115.0</v>
      </c>
      <c r="B120" s="14" t="s">
        <v>3126</v>
      </c>
      <c r="C120" s="14" t="s">
        <v>3127</v>
      </c>
      <c r="D120" s="128">
        <v>45133.0</v>
      </c>
      <c r="E120" s="131">
        <v>45141.0</v>
      </c>
      <c r="F120" s="14">
        <v>31123.0</v>
      </c>
      <c r="G120" s="14" t="s">
        <v>170</v>
      </c>
      <c r="H120" s="14" t="s">
        <v>76</v>
      </c>
      <c r="I120" s="73" t="s">
        <v>3128</v>
      </c>
      <c r="J120" s="50" t="s">
        <v>1200</v>
      </c>
      <c r="K120" s="14" t="s">
        <v>47</v>
      </c>
      <c r="L120" s="14" t="s">
        <v>47</v>
      </c>
      <c r="M120" s="57" t="s">
        <v>3129</v>
      </c>
      <c r="N120" s="14" t="s">
        <v>32</v>
      </c>
      <c r="O120" s="57" t="s">
        <v>3130</v>
      </c>
      <c r="P120" s="57" t="s">
        <v>3131</v>
      </c>
      <c r="Q120" s="75" t="s">
        <v>3132</v>
      </c>
      <c r="R120" s="75">
        <v>9.62888785E8</v>
      </c>
      <c r="S120" s="75" t="s">
        <v>3133</v>
      </c>
      <c r="T120" s="75">
        <v>1.0</v>
      </c>
      <c r="U120" s="75">
        <v>0.0</v>
      </c>
      <c r="V120" s="75">
        <v>2.0</v>
      </c>
      <c r="W120" s="75">
        <v>0.0</v>
      </c>
      <c r="X120" s="14" t="s">
        <v>3134</v>
      </c>
      <c r="Y120" s="14" t="s">
        <v>61</v>
      </c>
      <c r="Z120" s="14"/>
      <c r="AA120" s="16"/>
      <c r="AB120" s="16"/>
      <c r="AC120" s="16"/>
      <c r="AD120" s="16"/>
      <c r="AE120" s="16"/>
    </row>
    <row r="121" ht="33.75" customHeight="1">
      <c r="A121" s="14">
        <v>116.0</v>
      </c>
      <c r="B121" s="16" t="s">
        <v>3135</v>
      </c>
      <c r="C121" s="136" t="s">
        <v>3136</v>
      </c>
      <c r="D121" s="128">
        <v>45140.0</v>
      </c>
      <c r="E121" s="131">
        <v>45148.0</v>
      </c>
      <c r="F121" s="14">
        <v>16064.0</v>
      </c>
      <c r="G121" s="14" t="s">
        <v>170</v>
      </c>
      <c r="H121" s="14" t="s">
        <v>3137</v>
      </c>
      <c r="I121" s="73" t="s">
        <v>3138</v>
      </c>
      <c r="J121" s="50" t="s">
        <v>1675</v>
      </c>
      <c r="K121" s="14" t="s">
        <v>142</v>
      </c>
      <c r="L121" s="14" t="s">
        <v>142</v>
      </c>
      <c r="M121" s="16" t="s">
        <v>3139</v>
      </c>
      <c r="N121" s="14" t="s">
        <v>32</v>
      </c>
      <c r="O121" s="50" t="s">
        <v>3140</v>
      </c>
      <c r="P121" s="138" t="s">
        <v>3141</v>
      </c>
      <c r="Q121" s="14" t="s">
        <v>3142</v>
      </c>
      <c r="R121" s="14" t="s">
        <v>3143</v>
      </c>
      <c r="S121" s="14" t="s">
        <v>3144</v>
      </c>
      <c r="T121" s="14">
        <v>1.0</v>
      </c>
      <c r="U121" s="14">
        <v>0.0</v>
      </c>
      <c r="V121" s="14">
        <v>3.0</v>
      </c>
      <c r="W121" s="14">
        <v>1.0</v>
      </c>
      <c r="X121" s="138" t="s">
        <v>3145</v>
      </c>
      <c r="Y121" s="14" t="s">
        <v>61</v>
      </c>
      <c r="Z121" s="14"/>
      <c r="AA121" s="16"/>
      <c r="AB121" s="16"/>
      <c r="AC121" s="16"/>
      <c r="AD121" s="16"/>
      <c r="AE121" s="16"/>
    </row>
    <row r="122" ht="15.75" customHeight="1">
      <c r="A122" s="14">
        <v>117.0</v>
      </c>
      <c r="B122" s="14" t="s">
        <v>3146</v>
      </c>
      <c r="C122" s="14" t="s">
        <v>3147</v>
      </c>
      <c r="D122" s="128">
        <v>45142.0</v>
      </c>
      <c r="E122" s="131">
        <v>45146.0</v>
      </c>
      <c r="F122" s="14">
        <v>16551.0</v>
      </c>
      <c r="G122" s="14" t="s">
        <v>84</v>
      </c>
      <c r="H122" s="14" t="s">
        <v>942</v>
      </c>
      <c r="I122" s="270" t="s">
        <v>3148</v>
      </c>
      <c r="J122" s="50" t="s">
        <v>945</v>
      </c>
      <c r="K122" s="14" t="s">
        <v>946</v>
      </c>
      <c r="L122" s="14" t="s">
        <v>948</v>
      </c>
      <c r="M122" s="50" t="s">
        <v>3149</v>
      </c>
      <c r="N122" s="14" t="s">
        <v>32</v>
      </c>
      <c r="O122" s="50" t="s">
        <v>3150</v>
      </c>
      <c r="P122" s="138" t="s">
        <v>3151</v>
      </c>
      <c r="Q122" s="14" t="s">
        <v>3152</v>
      </c>
      <c r="R122" s="14">
        <v>9.76582769E8</v>
      </c>
      <c r="S122" s="50" t="s">
        <v>3153</v>
      </c>
      <c r="T122" s="14">
        <v>1.0</v>
      </c>
      <c r="U122" s="14">
        <v>0.0</v>
      </c>
      <c r="V122" s="14">
        <v>4.0</v>
      </c>
      <c r="W122" s="14">
        <v>0.0</v>
      </c>
      <c r="X122" s="14" t="s">
        <v>3154</v>
      </c>
      <c r="Y122" s="14" t="s">
        <v>966</v>
      </c>
      <c r="Z122" s="14"/>
      <c r="AA122" s="16"/>
      <c r="AB122" s="16"/>
      <c r="AC122" s="16"/>
      <c r="AD122" s="16"/>
      <c r="AE122" s="16"/>
    </row>
    <row r="123" ht="15.75" customHeight="1">
      <c r="A123" s="14">
        <v>118.0</v>
      </c>
      <c r="B123" s="14" t="s">
        <v>3155</v>
      </c>
      <c r="C123" s="14" t="s">
        <v>3156</v>
      </c>
      <c r="D123" s="128">
        <v>45155.0</v>
      </c>
      <c r="E123" s="131">
        <v>45159.0</v>
      </c>
      <c r="F123" s="14">
        <v>5349.0</v>
      </c>
      <c r="G123" s="14" t="s">
        <v>84</v>
      </c>
      <c r="H123" s="14" t="s">
        <v>85</v>
      </c>
      <c r="I123" s="73" t="s">
        <v>3157</v>
      </c>
      <c r="J123" s="50" t="s">
        <v>3158</v>
      </c>
      <c r="K123" s="14" t="s">
        <v>3159</v>
      </c>
      <c r="L123" s="14" t="s">
        <v>88</v>
      </c>
      <c r="M123" s="16" t="s">
        <v>3160</v>
      </c>
      <c r="N123" s="14" t="s">
        <v>50</v>
      </c>
      <c r="O123" s="16" t="s">
        <v>3161</v>
      </c>
      <c r="P123" s="50" t="s">
        <v>3162</v>
      </c>
      <c r="Q123" s="16" t="s">
        <v>3163</v>
      </c>
      <c r="R123" s="14">
        <v>9.9151731E8</v>
      </c>
      <c r="S123" s="50" t="s">
        <v>3164</v>
      </c>
      <c r="T123" s="14">
        <v>1.0</v>
      </c>
      <c r="U123" s="14">
        <v>0.0</v>
      </c>
      <c r="V123" s="14">
        <v>3.0</v>
      </c>
      <c r="W123" s="14">
        <v>0.0</v>
      </c>
      <c r="X123" s="14" t="s">
        <v>3165</v>
      </c>
      <c r="Y123" s="14" t="s">
        <v>61</v>
      </c>
      <c r="Z123" s="14"/>
      <c r="AA123" s="16"/>
      <c r="AB123" s="16"/>
      <c r="AC123" s="16"/>
      <c r="AD123" s="16"/>
      <c r="AE123" s="16"/>
    </row>
    <row r="124" ht="15.75" customHeight="1">
      <c r="A124" s="14">
        <v>119.0</v>
      </c>
      <c r="B124" s="14" t="s">
        <v>3166</v>
      </c>
      <c r="C124" s="14" t="s">
        <v>3167</v>
      </c>
      <c r="D124" s="128">
        <v>45159.0</v>
      </c>
      <c r="E124" s="242">
        <v>45162.0</v>
      </c>
      <c r="F124" s="243">
        <v>19980.0</v>
      </c>
      <c r="G124" s="243"/>
      <c r="H124" s="14" t="s">
        <v>172</v>
      </c>
      <c r="I124" s="271" t="s">
        <v>3168</v>
      </c>
      <c r="J124" s="50" t="s">
        <v>3169</v>
      </c>
      <c r="K124" s="14" t="s">
        <v>47</v>
      </c>
      <c r="L124" s="14" t="s">
        <v>47</v>
      </c>
      <c r="M124" s="50" t="s">
        <v>3170</v>
      </c>
      <c r="N124" s="14" t="s">
        <v>32</v>
      </c>
      <c r="O124" s="50" t="s">
        <v>3171</v>
      </c>
      <c r="P124" s="196" t="s">
        <v>3172</v>
      </c>
      <c r="Q124" s="14" t="s">
        <v>3173</v>
      </c>
      <c r="R124" s="14">
        <v>9.98556892E8</v>
      </c>
      <c r="S124" s="50" t="s">
        <v>3174</v>
      </c>
      <c r="T124" s="14">
        <v>1.0</v>
      </c>
      <c r="U124" s="14">
        <v>0.0</v>
      </c>
      <c r="V124" s="14">
        <v>3.0</v>
      </c>
      <c r="W124" s="14">
        <v>0.0</v>
      </c>
      <c r="X124" s="14" t="s">
        <v>3175</v>
      </c>
      <c r="Y124" s="14" t="s">
        <v>61</v>
      </c>
      <c r="Z124" s="14"/>
      <c r="AA124" s="16"/>
      <c r="AB124" s="119"/>
      <c r="AC124" s="119"/>
      <c r="AD124" s="16"/>
      <c r="AE124" s="16"/>
    </row>
    <row r="125" ht="15.75" customHeight="1">
      <c r="A125" s="75">
        <v>120.0</v>
      </c>
      <c r="B125" s="75" t="s">
        <v>3176</v>
      </c>
      <c r="C125" s="75" t="s">
        <v>3177</v>
      </c>
      <c r="D125" s="272">
        <v>45161.0</v>
      </c>
      <c r="E125" s="273">
        <v>45168.0</v>
      </c>
      <c r="F125" s="75">
        <v>9888.0</v>
      </c>
      <c r="G125" s="75" t="s">
        <v>84</v>
      </c>
      <c r="H125" s="75" t="s">
        <v>43</v>
      </c>
      <c r="I125" s="271" t="s">
        <v>3178</v>
      </c>
      <c r="J125" s="57" t="s">
        <v>126</v>
      </c>
      <c r="K125" s="75" t="s">
        <v>47</v>
      </c>
      <c r="L125" s="14" t="s">
        <v>47</v>
      </c>
      <c r="M125" s="57" t="s">
        <v>3179</v>
      </c>
      <c r="N125" s="75" t="s">
        <v>32</v>
      </c>
      <c r="O125" s="57" t="s">
        <v>3180</v>
      </c>
      <c r="P125" s="57" t="s">
        <v>3181</v>
      </c>
      <c r="Q125" s="75" t="s">
        <v>3182</v>
      </c>
      <c r="R125" s="75">
        <v>9.94265611E8</v>
      </c>
      <c r="S125" s="57" t="s">
        <v>3183</v>
      </c>
      <c r="T125" s="75">
        <v>1.0</v>
      </c>
      <c r="U125" s="75">
        <v>0.0</v>
      </c>
      <c r="V125" s="75">
        <v>3.0</v>
      </c>
      <c r="W125" s="75">
        <v>0.0</v>
      </c>
      <c r="X125" s="75" t="s">
        <v>3184</v>
      </c>
      <c r="Y125" s="75" t="s">
        <v>61</v>
      </c>
      <c r="Z125" s="75"/>
      <c r="AA125" s="119"/>
      <c r="AB125" s="16"/>
      <c r="AC125" s="16"/>
      <c r="AD125" s="119"/>
      <c r="AE125" s="119"/>
    </row>
    <row r="126" ht="15.75" customHeight="1">
      <c r="A126" s="14">
        <v>121.0</v>
      </c>
      <c r="B126" s="14" t="s">
        <v>3185</v>
      </c>
      <c r="C126" s="14" t="s">
        <v>3186</v>
      </c>
      <c r="D126" s="128">
        <v>45161.0</v>
      </c>
      <c r="E126" s="131">
        <v>45166.0</v>
      </c>
      <c r="F126" s="14">
        <v>14181.0</v>
      </c>
      <c r="G126" s="14" t="s">
        <v>170</v>
      </c>
      <c r="H126" s="14" t="s">
        <v>43</v>
      </c>
      <c r="I126" s="73" t="s">
        <v>3187</v>
      </c>
      <c r="J126" s="50" t="s">
        <v>1091</v>
      </c>
      <c r="K126" s="14" t="s">
        <v>47</v>
      </c>
      <c r="L126" s="14" t="s">
        <v>47</v>
      </c>
      <c r="M126" s="50" t="s">
        <v>3188</v>
      </c>
      <c r="N126" s="14" t="s">
        <v>32</v>
      </c>
      <c r="O126" s="50" t="s">
        <v>3189</v>
      </c>
      <c r="P126" s="50"/>
      <c r="Q126" s="14" t="s">
        <v>3190</v>
      </c>
      <c r="R126" s="14">
        <v>9.63328963E8</v>
      </c>
      <c r="S126" s="50" t="s">
        <v>3191</v>
      </c>
      <c r="T126" s="14">
        <v>1.0</v>
      </c>
      <c r="U126" s="14">
        <v>0.0</v>
      </c>
      <c r="V126" s="14">
        <v>3.0</v>
      </c>
      <c r="W126" s="14">
        <v>0.0</v>
      </c>
      <c r="X126" s="14" t="s">
        <v>3192</v>
      </c>
      <c r="Y126" s="14" t="s">
        <v>61</v>
      </c>
      <c r="Z126" s="14"/>
      <c r="AA126" s="16"/>
      <c r="AB126" s="16"/>
      <c r="AC126" s="16"/>
      <c r="AD126" s="16"/>
      <c r="AE126" s="16"/>
    </row>
    <row r="127" ht="15.75" customHeight="1">
      <c r="A127" s="14">
        <v>122.0</v>
      </c>
      <c r="B127" s="14" t="s">
        <v>3193</v>
      </c>
      <c r="C127" s="14" t="s">
        <v>3194</v>
      </c>
      <c r="D127" s="128">
        <v>45160.0</v>
      </c>
      <c r="E127" s="187">
        <v>45162.0</v>
      </c>
      <c r="F127" s="16">
        <v>21009.0</v>
      </c>
      <c r="G127" s="14" t="s">
        <v>170</v>
      </c>
      <c r="H127" s="14" t="s">
        <v>85</v>
      </c>
      <c r="I127" s="271" t="s">
        <v>3195</v>
      </c>
      <c r="J127" s="50" t="s">
        <v>125</v>
      </c>
      <c r="K127" s="14" t="s">
        <v>125</v>
      </c>
      <c r="L127" s="14" t="s">
        <v>88</v>
      </c>
      <c r="M127" s="50" t="s">
        <v>3196</v>
      </c>
      <c r="N127" s="14" t="s">
        <v>32</v>
      </c>
      <c r="O127" s="50" t="s">
        <v>3197</v>
      </c>
      <c r="P127" s="50" t="s">
        <v>3198</v>
      </c>
      <c r="Q127" s="14" t="s">
        <v>3199</v>
      </c>
      <c r="R127" s="14">
        <v>9.49937735E8</v>
      </c>
      <c r="S127" s="50" t="s">
        <v>3200</v>
      </c>
      <c r="T127" s="14">
        <v>1.0</v>
      </c>
      <c r="U127" s="14">
        <v>0.0</v>
      </c>
      <c r="V127" s="14">
        <v>4.0</v>
      </c>
      <c r="W127" s="14">
        <v>0.0</v>
      </c>
      <c r="X127" s="138" t="s">
        <v>3201</v>
      </c>
      <c r="Y127" s="14" t="s">
        <v>61</v>
      </c>
      <c r="Z127" s="14"/>
      <c r="AA127" s="16"/>
      <c r="AB127" s="16"/>
      <c r="AC127" s="16"/>
      <c r="AD127" s="16"/>
      <c r="AE127" s="16"/>
    </row>
    <row r="128" ht="15.75" customHeight="1">
      <c r="A128" s="14">
        <v>123.0</v>
      </c>
      <c r="B128" s="14" t="s">
        <v>3202</v>
      </c>
      <c r="C128" s="274" t="s">
        <v>3203</v>
      </c>
      <c r="D128" s="275">
        <v>45161.0</v>
      </c>
      <c r="E128" s="193">
        <v>45166.0</v>
      </c>
      <c r="F128" s="71">
        <v>8258.0</v>
      </c>
      <c r="G128" s="14" t="s">
        <v>170</v>
      </c>
      <c r="H128" s="14" t="s">
        <v>43</v>
      </c>
      <c r="I128" s="73" t="s">
        <v>3204</v>
      </c>
      <c r="J128" s="50" t="s">
        <v>46</v>
      </c>
      <c r="K128" s="14" t="s">
        <v>47</v>
      </c>
      <c r="L128" s="14" t="s">
        <v>47</v>
      </c>
      <c r="M128" s="16" t="s">
        <v>3205</v>
      </c>
      <c r="N128" s="14" t="s">
        <v>32</v>
      </c>
      <c r="O128" s="50" t="s">
        <v>3206</v>
      </c>
      <c r="P128" s="50" t="s">
        <v>3207</v>
      </c>
      <c r="Q128" s="14" t="s">
        <v>3208</v>
      </c>
      <c r="R128" s="14">
        <v>9.85070127E8</v>
      </c>
      <c r="S128" s="50" t="s">
        <v>3209</v>
      </c>
      <c r="T128" s="14">
        <v>1.0</v>
      </c>
      <c r="U128" s="14">
        <v>0.0</v>
      </c>
      <c r="V128" s="14">
        <v>4.0</v>
      </c>
      <c r="W128" s="14">
        <v>0.0</v>
      </c>
      <c r="X128" s="14" t="s">
        <v>3210</v>
      </c>
      <c r="Y128" s="14" t="s">
        <v>3211</v>
      </c>
      <c r="Z128" s="14"/>
      <c r="AA128" s="16"/>
      <c r="AB128" s="16"/>
      <c r="AC128" s="16"/>
      <c r="AD128" s="16"/>
      <c r="AE128" s="16"/>
    </row>
    <row r="129" ht="15.75" customHeight="1">
      <c r="A129" s="14">
        <v>124.0</v>
      </c>
      <c r="B129" s="14" t="s">
        <v>3212</v>
      </c>
      <c r="C129" s="14" t="s">
        <v>3213</v>
      </c>
      <c r="D129" s="186">
        <v>45166.0</v>
      </c>
      <c r="E129" s="187">
        <v>45173.0</v>
      </c>
      <c r="F129" s="14">
        <v>24584.0</v>
      </c>
      <c r="G129" s="14" t="s">
        <v>170</v>
      </c>
      <c r="H129" s="14" t="s">
        <v>1299</v>
      </c>
      <c r="I129" s="73" t="s">
        <v>3214</v>
      </c>
      <c r="J129" s="50" t="s">
        <v>3215</v>
      </c>
      <c r="K129" s="14" t="s">
        <v>586</v>
      </c>
      <c r="L129" s="14" t="s">
        <v>586</v>
      </c>
      <c r="M129" s="50" t="s">
        <v>3216</v>
      </c>
      <c r="N129" s="14" t="s">
        <v>32</v>
      </c>
      <c r="O129" s="50" t="s">
        <v>3217</v>
      </c>
      <c r="P129" s="50" t="s">
        <v>3218</v>
      </c>
      <c r="Q129" s="14" t="s">
        <v>3219</v>
      </c>
      <c r="R129" s="14">
        <v>9.97458126E8</v>
      </c>
      <c r="S129" s="50" t="s">
        <v>3220</v>
      </c>
      <c r="T129" s="14">
        <v>1.0</v>
      </c>
      <c r="U129" s="14">
        <v>0.0</v>
      </c>
      <c r="V129" s="14">
        <v>2.0</v>
      </c>
      <c r="W129" s="14">
        <v>0.0</v>
      </c>
      <c r="X129" s="14" t="s">
        <v>3221</v>
      </c>
      <c r="Y129" s="14" t="s">
        <v>61</v>
      </c>
      <c r="Z129" s="14"/>
      <c r="AA129" s="16"/>
      <c r="AB129" s="16"/>
      <c r="AC129" s="16"/>
      <c r="AD129" s="16"/>
      <c r="AE129" s="16"/>
    </row>
    <row r="130" ht="15.75" customHeight="1">
      <c r="A130" s="14">
        <v>125.0</v>
      </c>
      <c r="B130" s="14" t="s">
        <v>3222</v>
      </c>
      <c r="C130" s="14" t="s">
        <v>3223</v>
      </c>
      <c r="D130" s="128">
        <v>45166.0</v>
      </c>
      <c r="E130" s="131">
        <v>45173.0</v>
      </c>
      <c r="F130" s="14">
        <v>11803.0</v>
      </c>
      <c r="G130" s="14" t="s">
        <v>170</v>
      </c>
      <c r="H130" s="14" t="s">
        <v>43</v>
      </c>
      <c r="I130" s="73" t="s">
        <v>3224</v>
      </c>
      <c r="J130" s="50" t="s">
        <v>2618</v>
      </c>
      <c r="K130" s="14" t="s">
        <v>47</v>
      </c>
      <c r="L130" s="14" t="s">
        <v>47</v>
      </c>
      <c r="M130" s="50" t="s">
        <v>3225</v>
      </c>
      <c r="N130" s="14" t="s">
        <v>32</v>
      </c>
      <c r="O130" s="50" t="s">
        <v>3226</v>
      </c>
      <c r="P130" s="50" t="s">
        <v>3227</v>
      </c>
      <c r="Q130" s="14" t="s">
        <v>3173</v>
      </c>
      <c r="R130" s="14">
        <v>9.98556892E8</v>
      </c>
      <c r="S130" s="50" t="s">
        <v>3228</v>
      </c>
      <c r="T130" s="14">
        <v>1.0</v>
      </c>
      <c r="U130" s="14">
        <v>0.0</v>
      </c>
      <c r="V130" s="14">
        <v>3.0</v>
      </c>
      <c r="W130" s="14">
        <v>0.0</v>
      </c>
      <c r="X130" s="14" t="s">
        <v>3229</v>
      </c>
      <c r="Y130" s="50" t="s">
        <v>2241</v>
      </c>
      <c r="Z130" s="14"/>
      <c r="AA130" s="16"/>
      <c r="AB130" s="16"/>
      <c r="AC130" s="16"/>
      <c r="AD130" s="16"/>
      <c r="AE130" s="16"/>
    </row>
    <row r="131" ht="15.75" customHeight="1">
      <c r="A131" s="14">
        <v>126.0</v>
      </c>
      <c r="B131" s="14" t="s">
        <v>3230</v>
      </c>
      <c r="C131" s="14" t="s">
        <v>3231</v>
      </c>
      <c r="D131" s="175">
        <v>45166.0</v>
      </c>
      <c r="E131" s="131">
        <v>45201.0</v>
      </c>
      <c r="F131" s="14">
        <v>11129.0</v>
      </c>
      <c r="G131" s="14" t="s">
        <v>170</v>
      </c>
      <c r="H131" s="14" t="s">
        <v>273</v>
      </c>
      <c r="I131" s="73" t="s">
        <v>3232</v>
      </c>
      <c r="J131" s="50" t="s">
        <v>277</v>
      </c>
      <c r="K131" s="14" t="s">
        <v>277</v>
      </c>
      <c r="L131" s="14" t="s">
        <v>281</v>
      </c>
      <c r="M131" s="276" t="s">
        <v>3233</v>
      </c>
      <c r="N131" s="14" t="s">
        <v>32</v>
      </c>
      <c r="O131" s="50" t="s">
        <v>3234</v>
      </c>
      <c r="P131" s="50" t="s">
        <v>3235</v>
      </c>
      <c r="Q131" s="14" t="s">
        <v>3236</v>
      </c>
      <c r="R131" s="14">
        <v>9.72953707E8</v>
      </c>
      <c r="S131" s="50" t="s">
        <v>3237</v>
      </c>
      <c r="T131" s="14">
        <v>1.0</v>
      </c>
      <c r="U131" s="14">
        <v>0.0</v>
      </c>
      <c r="V131" s="14">
        <v>2.0</v>
      </c>
      <c r="W131" s="14">
        <v>0.0</v>
      </c>
      <c r="X131" s="14" t="s">
        <v>3238</v>
      </c>
      <c r="Y131" s="14" t="s">
        <v>61</v>
      </c>
      <c r="Z131" s="14"/>
      <c r="AA131" s="16"/>
      <c r="AB131" s="16"/>
      <c r="AC131" s="16"/>
      <c r="AD131" s="16"/>
      <c r="AE131" s="16"/>
    </row>
    <row r="132" ht="15.75" customHeight="1">
      <c r="A132" s="14">
        <v>127.0</v>
      </c>
      <c r="B132" s="14" t="s">
        <v>3239</v>
      </c>
      <c r="C132" s="14" t="s">
        <v>3240</v>
      </c>
      <c r="D132" s="146">
        <v>45184.0</v>
      </c>
      <c r="E132" s="167">
        <v>45201.0</v>
      </c>
      <c r="F132" s="75">
        <v>33671.0</v>
      </c>
      <c r="G132" s="75" t="s">
        <v>84</v>
      </c>
      <c r="H132" s="14" t="s">
        <v>506</v>
      </c>
      <c r="I132" s="73" t="s">
        <v>3241</v>
      </c>
      <c r="J132" s="50" t="s">
        <v>1150</v>
      </c>
      <c r="K132" s="14" t="s">
        <v>1150</v>
      </c>
      <c r="L132" s="14" t="s">
        <v>496</v>
      </c>
      <c r="M132" s="14" t="s">
        <v>3242</v>
      </c>
      <c r="N132" s="71" t="s">
        <v>32</v>
      </c>
      <c r="O132" s="50" t="s">
        <v>3243</v>
      </c>
      <c r="P132" s="50" t="s">
        <v>3244</v>
      </c>
      <c r="Q132" s="16" t="s">
        <v>3245</v>
      </c>
      <c r="R132" s="14">
        <v>9.3354492E8</v>
      </c>
      <c r="S132" s="50" t="s">
        <v>3246</v>
      </c>
      <c r="T132" s="14">
        <v>1.0</v>
      </c>
      <c r="U132" s="14">
        <v>0.0</v>
      </c>
      <c r="V132" s="14">
        <v>3.0</v>
      </c>
      <c r="W132" s="14">
        <v>0.0</v>
      </c>
      <c r="X132" s="14" t="s">
        <v>3247</v>
      </c>
      <c r="Y132" s="14" t="s">
        <v>3248</v>
      </c>
      <c r="Z132" s="14"/>
      <c r="AA132" s="16"/>
      <c r="AB132" s="16"/>
      <c r="AC132" s="16"/>
      <c r="AD132" s="16"/>
      <c r="AE132" s="16"/>
    </row>
    <row r="133" ht="15.75" customHeight="1">
      <c r="A133" s="14">
        <v>128.0</v>
      </c>
      <c r="B133" s="14" t="s">
        <v>3249</v>
      </c>
      <c r="C133" s="14" t="s">
        <v>3250</v>
      </c>
      <c r="D133" s="128">
        <v>45166.0</v>
      </c>
      <c r="E133" s="167">
        <v>45173.0</v>
      </c>
      <c r="F133" s="75">
        <v>33344.0</v>
      </c>
      <c r="G133" s="14" t="s">
        <v>170</v>
      </c>
      <c r="H133" s="14" t="s">
        <v>43</v>
      </c>
      <c r="I133" s="271" t="s">
        <v>3251</v>
      </c>
      <c r="J133" s="50" t="s">
        <v>1921</v>
      </c>
      <c r="K133" s="14" t="s">
        <v>47</v>
      </c>
      <c r="L133" s="14" t="s">
        <v>47</v>
      </c>
      <c r="M133" s="16" t="s">
        <v>3252</v>
      </c>
      <c r="N133" s="14" t="s">
        <v>32</v>
      </c>
      <c r="O133" s="50" t="s">
        <v>3253</v>
      </c>
      <c r="P133" s="135" t="s">
        <v>3254</v>
      </c>
      <c r="Q133" s="14" t="s">
        <v>3255</v>
      </c>
      <c r="R133" s="14" t="s">
        <v>3256</v>
      </c>
      <c r="S133" s="50" t="s">
        <v>3257</v>
      </c>
      <c r="T133" s="14">
        <v>1.0</v>
      </c>
      <c r="U133" s="14">
        <v>0.0</v>
      </c>
      <c r="V133" s="14">
        <v>3.0</v>
      </c>
      <c r="W133" s="14">
        <v>0.0</v>
      </c>
      <c r="X133" s="14" t="s">
        <v>3258</v>
      </c>
      <c r="Y133" s="14" t="s">
        <v>909</v>
      </c>
      <c r="Z133" s="14"/>
      <c r="AA133" s="16"/>
      <c r="AB133" s="16"/>
      <c r="AC133" s="16"/>
      <c r="AD133" s="16"/>
      <c r="AE133" s="16"/>
    </row>
    <row r="134" ht="15.75" customHeight="1">
      <c r="A134" s="14">
        <v>129.0</v>
      </c>
      <c r="B134" s="14" t="s">
        <v>3259</v>
      </c>
      <c r="C134" s="119" t="s">
        <v>3260</v>
      </c>
      <c r="D134" s="146">
        <v>45191.0</v>
      </c>
      <c r="E134" s="131">
        <v>45201.0</v>
      </c>
      <c r="F134" s="14">
        <v>1472.0</v>
      </c>
      <c r="G134" s="75" t="s">
        <v>84</v>
      </c>
      <c r="H134" s="14" t="s">
        <v>942</v>
      </c>
      <c r="I134" s="270" t="s">
        <v>3261</v>
      </c>
      <c r="J134" s="50" t="s">
        <v>3262</v>
      </c>
      <c r="K134" s="14" t="s">
        <v>3262</v>
      </c>
      <c r="L134" s="14" t="s">
        <v>948</v>
      </c>
      <c r="M134" s="50" t="s">
        <v>3263</v>
      </c>
      <c r="N134" s="14" t="s">
        <v>50</v>
      </c>
      <c r="O134" s="50" t="s">
        <v>3264</v>
      </c>
      <c r="P134" s="50" t="s">
        <v>3265</v>
      </c>
      <c r="Q134" s="14" t="s">
        <v>3266</v>
      </c>
      <c r="R134" s="14" t="s">
        <v>3267</v>
      </c>
      <c r="S134" s="50" t="s">
        <v>3268</v>
      </c>
      <c r="T134" s="14">
        <v>1.0</v>
      </c>
      <c r="U134" s="14">
        <v>1.0</v>
      </c>
      <c r="V134" s="14">
        <v>1.0</v>
      </c>
      <c r="W134" s="14">
        <v>1.0</v>
      </c>
      <c r="X134" s="14" t="s">
        <v>3269</v>
      </c>
      <c r="Y134" s="14" t="s">
        <v>61</v>
      </c>
      <c r="Z134" s="14"/>
      <c r="AA134" s="16"/>
      <c r="AB134" s="16"/>
      <c r="AC134" s="16"/>
      <c r="AD134" s="16"/>
      <c r="AE134" s="16"/>
    </row>
    <row r="135" ht="17.25" customHeight="1">
      <c r="A135" s="14">
        <v>130.0</v>
      </c>
      <c r="B135" s="14" t="s">
        <v>3270</v>
      </c>
      <c r="C135" s="14" t="s">
        <v>3271</v>
      </c>
      <c r="D135" s="146">
        <v>45184.0</v>
      </c>
      <c r="E135" s="131">
        <v>45201.0</v>
      </c>
      <c r="F135" s="14">
        <v>13164.0</v>
      </c>
      <c r="G135" s="75" t="s">
        <v>84</v>
      </c>
      <c r="H135" s="14" t="s">
        <v>942</v>
      </c>
      <c r="I135" s="80" t="s">
        <v>3272</v>
      </c>
      <c r="J135" s="50" t="s">
        <v>945</v>
      </c>
      <c r="K135" s="14" t="s">
        <v>946</v>
      </c>
      <c r="L135" s="14" t="s">
        <v>948</v>
      </c>
      <c r="M135" s="50" t="s">
        <v>3273</v>
      </c>
      <c r="N135" s="14" t="s">
        <v>32</v>
      </c>
      <c r="O135" s="50" t="s">
        <v>3274</v>
      </c>
      <c r="P135" s="50" t="s">
        <v>3275</v>
      </c>
      <c r="Q135" s="14" t="s">
        <v>3276</v>
      </c>
      <c r="R135" s="14" t="s">
        <v>3277</v>
      </c>
      <c r="S135" s="50" t="s">
        <v>3278</v>
      </c>
      <c r="T135" s="14">
        <v>1.0</v>
      </c>
      <c r="U135" s="14">
        <v>0.0</v>
      </c>
      <c r="V135" s="14">
        <v>2.0</v>
      </c>
      <c r="W135" s="14">
        <v>0.0</v>
      </c>
      <c r="X135" s="14" t="s">
        <v>3279</v>
      </c>
      <c r="Y135" s="14" t="s">
        <v>61</v>
      </c>
      <c r="Z135" s="14"/>
      <c r="AA135" s="16"/>
      <c r="AB135" s="16"/>
      <c r="AC135" s="16"/>
      <c r="AD135" s="16"/>
      <c r="AE135" s="16"/>
    </row>
    <row r="136" ht="15.75" customHeight="1">
      <c r="A136" s="14">
        <v>131.0</v>
      </c>
      <c r="B136" s="14" t="s">
        <v>3280</v>
      </c>
      <c r="C136" s="14" t="s">
        <v>3281</v>
      </c>
      <c r="D136" s="146">
        <v>45184.0</v>
      </c>
      <c r="E136" s="131">
        <v>45201.0</v>
      </c>
      <c r="F136" s="14">
        <v>19481.0</v>
      </c>
      <c r="G136" s="14" t="s">
        <v>170</v>
      </c>
      <c r="H136" s="14" t="s">
        <v>140</v>
      </c>
      <c r="I136" s="80" t="s">
        <v>3282</v>
      </c>
      <c r="J136" s="50" t="s">
        <v>3283</v>
      </c>
      <c r="K136" s="14" t="s">
        <v>142</v>
      </c>
      <c r="L136" s="14" t="s">
        <v>142</v>
      </c>
      <c r="M136" s="50" t="s">
        <v>3284</v>
      </c>
      <c r="N136" s="14" t="s">
        <v>32</v>
      </c>
      <c r="O136" s="50" t="s">
        <v>3285</v>
      </c>
      <c r="P136" s="50" t="s">
        <v>3286</v>
      </c>
      <c r="Q136" s="14" t="s">
        <v>3287</v>
      </c>
      <c r="R136" s="14">
        <v>9.59476877E8</v>
      </c>
      <c r="S136" s="50" t="s">
        <v>3288</v>
      </c>
      <c r="T136" s="14">
        <v>1.0</v>
      </c>
      <c r="U136" s="14">
        <v>0.0</v>
      </c>
      <c r="V136" s="14">
        <v>2.0</v>
      </c>
      <c r="W136" s="14">
        <v>0.0</v>
      </c>
      <c r="X136" s="14" t="s">
        <v>3289</v>
      </c>
      <c r="Y136" s="14" t="s">
        <v>61</v>
      </c>
      <c r="Z136" s="14"/>
      <c r="AA136" s="16"/>
      <c r="AB136" s="16"/>
      <c r="AC136" s="16"/>
      <c r="AD136" s="16"/>
      <c r="AE136" s="16"/>
    </row>
    <row r="137" ht="15.75" customHeight="1">
      <c r="A137" s="14">
        <v>132.0</v>
      </c>
      <c r="B137" s="14" t="s">
        <v>3290</v>
      </c>
      <c r="C137" s="14" t="s">
        <v>3291</v>
      </c>
      <c r="D137" s="146">
        <v>45184.0</v>
      </c>
      <c r="E137" s="131">
        <v>45201.0</v>
      </c>
      <c r="F137" s="14">
        <v>14361.0</v>
      </c>
      <c r="G137" s="14" t="s">
        <v>170</v>
      </c>
      <c r="H137" s="14" t="s">
        <v>43</v>
      </c>
      <c r="I137" s="80" t="s">
        <v>3292</v>
      </c>
      <c r="J137" s="50" t="s">
        <v>67</v>
      </c>
      <c r="K137" s="14" t="s">
        <v>47</v>
      </c>
      <c r="L137" s="14" t="s">
        <v>47</v>
      </c>
      <c r="M137" s="14" t="s">
        <v>3293</v>
      </c>
      <c r="N137" s="14" t="s">
        <v>32</v>
      </c>
      <c r="O137" s="50" t="s">
        <v>3294</v>
      </c>
      <c r="P137" s="50" t="s">
        <v>3295</v>
      </c>
      <c r="Q137" s="14" t="s">
        <v>3296</v>
      </c>
      <c r="R137" s="14">
        <v>9.98556892E8</v>
      </c>
      <c r="S137" s="50" t="s">
        <v>3297</v>
      </c>
      <c r="T137" s="14">
        <v>1.0</v>
      </c>
      <c r="U137" s="14">
        <v>0.0</v>
      </c>
      <c r="V137" s="14">
        <v>2.0</v>
      </c>
      <c r="W137" s="14">
        <v>0.0</v>
      </c>
      <c r="X137" s="14" t="s">
        <v>3298</v>
      </c>
      <c r="Y137" s="14" t="s">
        <v>3299</v>
      </c>
      <c r="Z137" s="14"/>
      <c r="AA137" s="16"/>
      <c r="AB137" s="16"/>
      <c r="AC137" s="16"/>
      <c r="AD137" s="16"/>
      <c r="AE137" s="16"/>
    </row>
    <row r="138" ht="15.75" customHeight="1">
      <c r="A138" s="14">
        <v>169.0</v>
      </c>
      <c r="B138" s="14" t="s">
        <v>3300</v>
      </c>
      <c r="C138" s="75" t="s">
        <v>3301</v>
      </c>
      <c r="D138" s="146">
        <v>45329.0</v>
      </c>
      <c r="E138" s="131">
        <v>45334.0</v>
      </c>
      <c r="F138" s="14">
        <v>20979.0</v>
      </c>
      <c r="G138" s="75" t="s">
        <v>84</v>
      </c>
      <c r="H138" s="14" t="s">
        <v>205</v>
      </c>
      <c r="I138" s="73" t="s">
        <v>3302</v>
      </c>
      <c r="J138" s="50" t="s">
        <v>1803</v>
      </c>
      <c r="K138" s="14" t="s">
        <v>1010</v>
      </c>
      <c r="L138" s="14" t="s">
        <v>210</v>
      </c>
      <c r="M138" s="50" t="s">
        <v>3303</v>
      </c>
      <c r="N138" s="14" t="s">
        <v>32</v>
      </c>
      <c r="O138" s="50" t="s">
        <v>3304</v>
      </c>
      <c r="P138" s="50" t="s">
        <v>3305</v>
      </c>
      <c r="Q138" s="14" t="s">
        <v>3306</v>
      </c>
      <c r="R138" s="14">
        <v>9.46064066E8</v>
      </c>
      <c r="S138" s="75" t="s">
        <v>3307</v>
      </c>
      <c r="T138" s="14">
        <v>1.0</v>
      </c>
      <c r="U138" s="14">
        <v>0.0</v>
      </c>
      <c r="V138" s="14">
        <v>2.0</v>
      </c>
      <c r="W138" s="14">
        <v>0.0</v>
      </c>
      <c r="X138" s="75" t="s">
        <v>3308</v>
      </c>
      <c r="Y138" s="14" t="s">
        <v>147</v>
      </c>
      <c r="Z138" s="14"/>
      <c r="AA138" s="16"/>
      <c r="AB138" s="16"/>
      <c r="AC138" s="16"/>
      <c r="AD138" s="16"/>
      <c r="AE138" s="16"/>
    </row>
    <row r="139" ht="15.75" customHeight="1">
      <c r="A139" s="14">
        <v>134.0</v>
      </c>
      <c r="B139" s="14" t="s">
        <v>3309</v>
      </c>
      <c r="C139" s="14" t="s">
        <v>3310</v>
      </c>
      <c r="D139" s="146">
        <v>45191.0</v>
      </c>
      <c r="E139" s="131">
        <v>45201.0</v>
      </c>
      <c r="F139" s="14">
        <v>12170.0</v>
      </c>
      <c r="G139" s="75" t="s">
        <v>84</v>
      </c>
      <c r="H139" s="14" t="s">
        <v>2273</v>
      </c>
      <c r="I139" s="80" t="s">
        <v>3311</v>
      </c>
      <c r="J139" s="50" t="s">
        <v>2854</v>
      </c>
      <c r="K139" s="14" t="s">
        <v>1466</v>
      </c>
      <c r="L139" s="14" t="s">
        <v>1003</v>
      </c>
      <c r="M139" s="50" t="s">
        <v>3312</v>
      </c>
      <c r="N139" s="14" t="s">
        <v>32</v>
      </c>
      <c r="O139" s="50" t="s">
        <v>3313</v>
      </c>
      <c r="P139" s="50" t="s">
        <v>3314</v>
      </c>
      <c r="Q139" s="14" t="s">
        <v>3315</v>
      </c>
      <c r="R139" s="14" t="s">
        <v>3316</v>
      </c>
      <c r="S139" s="50" t="s">
        <v>3317</v>
      </c>
      <c r="T139" s="14">
        <v>0.0</v>
      </c>
      <c r="U139" s="14">
        <v>1.0</v>
      </c>
      <c r="V139" s="14">
        <v>2.0</v>
      </c>
      <c r="W139" s="14">
        <v>1.0</v>
      </c>
      <c r="X139" s="14" t="s">
        <v>3318</v>
      </c>
      <c r="Y139" s="14" t="s">
        <v>61</v>
      </c>
      <c r="Z139" s="14"/>
      <c r="AA139" s="16"/>
      <c r="AB139" s="16"/>
      <c r="AC139" s="16"/>
      <c r="AD139" s="16"/>
      <c r="AE139" s="16"/>
    </row>
    <row r="140" ht="15.75" customHeight="1">
      <c r="A140" s="14">
        <v>135.0</v>
      </c>
      <c r="B140" s="14" t="s">
        <v>3319</v>
      </c>
      <c r="C140" s="14" t="s">
        <v>3320</v>
      </c>
      <c r="D140" s="141">
        <v>45191.0</v>
      </c>
      <c r="E140" s="131">
        <v>45201.0</v>
      </c>
      <c r="F140" s="14">
        <v>6918.0</v>
      </c>
      <c r="G140" s="75" t="s">
        <v>63</v>
      </c>
      <c r="H140" s="14" t="s">
        <v>315</v>
      </c>
      <c r="I140" s="227" t="s">
        <v>3321</v>
      </c>
      <c r="J140" s="50" t="s">
        <v>509</v>
      </c>
      <c r="K140" s="14" t="s">
        <v>322</v>
      </c>
      <c r="L140" s="14" t="s">
        <v>322</v>
      </c>
      <c r="M140" s="16" t="s">
        <v>3322</v>
      </c>
      <c r="N140" s="14" t="s">
        <v>50</v>
      </c>
      <c r="O140" s="16" t="s">
        <v>3323</v>
      </c>
      <c r="P140" s="50" t="s">
        <v>3324</v>
      </c>
      <c r="Q140" s="16" t="s">
        <v>3325</v>
      </c>
      <c r="R140" s="14">
        <v>9.88585197E8</v>
      </c>
      <c r="S140" s="50" t="s">
        <v>3326</v>
      </c>
      <c r="T140" s="14">
        <v>1.0</v>
      </c>
      <c r="U140" s="14">
        <v>0.0</v>
      </c>
      <c r="V140" s="14">
        <v>6.0</v>
      </c>
      <c r="W140" s="14">
        <v>0.0</v>
      </c>
      <c r="X140" s="16" t="s">
        <v>3327</v>
      </c>
      <c r="Y140" s="14" t="s">
        <v>61</v>
      </c>
      <c r="Z140" s="14"/>
      <c r="AA140" s="16"/>
      <c r="AB140" s="16"/>
      <c r="AC140" s="16"/>
      <c r="AD140" s="16"/>
      <c r="AE140" s="16"/>
    </row>
    <row r="141" ht="15.75" customHeight="1">
      <c r="A141" s="14">
        <v>136.0</v>
      </c>
      <c r="B141" s="14" t="s">
        <v>3329</v>
      </c>
      <c r="C141" s="14" t="s">
        <v>3330</v>
      </c>
      <c r="D141" s="146">
        <v>45191.0</v>
      </c>
      <c r="E141" s="131">
        <v>45201.0</v>
      </c>
      <c r="F141" s="14">
        <v>10475.0</v>
      </c>
      <c r="G141" s="14" t="s">
        <v>170</v>
      </c>
      <c r="H141" s="14" t="s">
        <v>942</v>
      </c>
      <c r="I141" s="80" t="s">
        <v>3331</v>
      </c>
      <c r="J141" s="50" t="s">
        <v>3332</v>
      </c>
      <c r="K141" s="14" t="s">
        <v>3333</v>
      </c>
      <c r="L141" s="14" t="s">
        <v>948</v>
      </c>
      <c r="M141" s="50" t="s">
        <v>3334</v>
      </c>
      <c r="N141" s="14" t="s">
        <v>32</v>
      </c>
      <c r="O141" s="50" t="s">
        <v>3335</v>
      </c>
      <c r="P141" s="172" t="s">
        <v>3336</v>
      </c>
      <c r="Q141" s="75" t="s">
        <v>3337</v>
      </c>
      <c r="R141" s="75">
        <v>9.43955279E8</v>
      </c>
      <c r="S141" s="57" t="s">
        <v>3338</v>
      </c>
      <c r="T141" s="75">
        <v>1.0</v>
      </c>
      <c r="U141" s="75">
        <v>0.0</v>
      </c>
      <c r="V141" s="75">
        <v>3.0</v>
      </c>
      <c r="W141" s="75">
        <v>0.0</v>
      </c>
      <c r="X141" s="75" t="s">
        <v>3340</v>
      </c>
      <c r="Y141" s="14" t="s">
        <v>61</v>
      </c>
      <c r="Z141" s="14"/>
      <c r="AA141" s="16"/>
      <c r="AB141" s="16"/>
      <c r="AC141" s="16"/>
      <c r="AD141" s="16"/>
      <c r="AE141" s="16"/>
    </row>
    <row r="142" ht="15.75" customHeight="1">
      <c r="A142" s="14">
        <v>137.0</v>
      </c>
      <c r="B142" s="14" t="s">
        <v>3341</v>
      </c>
      <c r="C142" s="14" t="s">
        <v>3342</v>
      </c>
      <c r="D142" s="146">
        <v>45191.0</v>
      </c>
      <c r="E142" s="131">
        <v>45201.0</v>
      </c>
      <c r="F142" s="14">
        <v>15718.0</v>
      </c>
      <c r="G142" s="14" t="s">
        <v>170</v>
      </c>
      <c r="H142" s="14" t="s">
        <v>43</v>
      </c>
      <c r="I142" s="80" t="s">
        <v>3343</v>
      </c>
      <c r="J142" s="50" t="s">
        <v>1525</v>
      </c>
      <c r="K142" s="14" t="s">
        <v>47</v>
      </c>
      <c r="L142" s="14" t="s">
        <v>47</v>
      </c>
      <c r="M142" s="14" t="s">
        <v>3344</v>
      </c>
      <c r="N142" s="14" t="s">
        <v>32</v>
      </c>
      <c r="O142" s="50" t="s">
        <v>3345</v>
      </c>
      <c r="P142" s="50" t="s">
        <v>3347</v>
      </c>
      <c r="Q142" s="14" t="s">
        <v>3348</v>
      </c>
      <c r="R142" s="14">
        <v>9.92891041E8</v>
      </c>
      <c r="S142" s="50" t="s">
        <v>3349</v>
      </c>
      <c r="T142" s="14">
        <v>1.0</v>
      </c>
      <c r="U142" s="14">
        <v>0.0</v>
      </c>
      <c r="V142" s="14">
        <v>2.0</v>
      </c>
      <c r="W142" s="14">
        <v>0.0</v>
      </c>
      <c r="X142" s="14" t="s">
        <v>3350</v>
      </c>
      <c r="Y142" s="14" t="s">
        <v>3351</v>
      </c>
      <c r="Z142" s="14"/>
      <c r="AA142" s="16"/>
      <c r="AB142" s="16"/>
      <c r="AC142" s="16"/>
      <c r="AD142" s="16"/>
      <c r="AE142" s="16"/>
    </row>
    <row r="143" ht="15.75" customHeight="1">
      <c r="A143" s="14">
        <v>138.0</v>
      </c>
      <c r="B143" s="14" t="s">
        <v>3352</v>
      </c>
      <c r="C143" s="14" t="s">
        <v>3353</v>
      </c>
      <c r="D143" s="141">
        <v>45191.0</v>
      </c>
      <c r="E143" s="131">
        <v>45201.0</v>
      </c>
      <c r="F143" s="14">
        <v>26411.0</v>
      </c>
      <c r="G143" s="14" t="s">
        <v>170</v>
      </c>
      <c r="H143" s="14" t="s">
        <v>315</v>
      </c>
      <c r="I143" s="227" t="s">
        <v>3355</v>
      </c>
      <c r="J143" s="50" t="s">
        <v>509</v>
      </c>
      <c r="K143" s="14" t="s">
        <v>322</v>
      </c>
      <c r="L143" s="14" t="s">
        <v>322</v>
      </c>
      <c r="M143" s="14" t="s">
        <v>3356</v>
      </c>
      <c r="N143" s="14" t="s">
        <v>32</v>
      </c>
      <c r="O143" s="50" t="s">
        <v>3357</v>
      </c>
      <c r="P143" s="50" t="s">
        <v>3358</v>
      </c>
      <c r="Q143" s="14" t="s">
        <v>3359</v>
      </c>
      <c r="R143" s="14">
        <v>9.43764563E8</v>
      </c>
      <c r="S143" s="50" t="s">
        <v>3360</v>
      </c>
      <c r="T143" s="14">
        <v>1.0</v>
      </c>
      <c r="U143" s="14">
        <v>0.0</v>
      </c>
      <c r="V143" s="14">
        <v>2.0</v>
      </c>
      <c r="W143" s="14">
        <v>1.0</v>
      </c>
      <c r="X143" s="14" t="s">
        <v>3361</v>
      </c>
      <c r="Y143" s="14" t="s">
        <v>61</v>
      </c>
      <c r="Z143" s="14"/>
      <c r="AA143" s="16"/>
      <c r="AB143" s="16"/>
      <c r="AC143" s="16"/>
      <c r="AD143" s="16"/>
      <c r="AE143" s="16"/>
    </row>
    <row r="144" ht="15.75" customHeight="1">
      <c r="A144" s="14">
        <v>139.0</v>
      </c>
      <c r="B144" s="14" t="s">
        <v>3362</v>
      </c>
      <c r="C144" s="14" t="s">
        <v>3363</v>
      </c>
      <c r="D144" s="146">
        <v>45191.0</v>
      </c>
      <c r="E144" s="131">
        <v>45201.0</v>
      </c>
      <c r="F144" s="14">
        <v>9749.0</v>
      </c>
      <c r="G144" s="14" t="s">
        <v>170</v>
      </c>
      <c r="H144" s="14" t="s">
        <v>1604</v>
      </c>
      <c r="I144" s="80" t="s">
        <v>3364</v>
      </c>
      <c r="J144" s="50" t="s">
        <v>3365</v>
      </c>
      <c r="K144" s="14" t="s">
        <v>1319</v>
      </c>
      <c r="L144" s="14" t="s">
        <v>1319</v>
      </c>
      <c r="M144" s="16" t="s">
        <v>3366</v>
      </c>
      <c r="N144" s="14" t="s">
        <v>69</v>
      </c>
      <c r="O144" s="113" t="s">
        <v>3367</v>
      </c>
      <c r="P144" s="50"/>
      <c r="Q144" s="16" t="s">
        <v>3368</v>
      </c>
      <c r="R144" s="14">
        <v>9.58638111E8</v>
      </c>
      <c r="S144" s="113" t="s">
        <v>3369</v>
      </c>
      <c r="T144" s="14">
        <v>1.0</v>
      </c>
      <c r="U144" s="14">
        <v>0.0</v>
      </c>
      <c r="V144" s="14">
        <v>2.0</v>
      </c>
      <c r="W144" s="14">
        <v>0.0</v>
      </c>
      <c r="X144" s="14" t="s">
        <v>3370</v>
      </c>
      <c r="Y144" s="14" t="s">
        <v>61</v>
      </c>
      <c r="Z144" s="14"/>
      <c r="AA144" s="16"/>
      <c r="AB144" s="16"/>
      <c r="AC144" s="16"/>
      <c r="AD144" s="16"/>
      <c r="AE144" s="16"/>
    </row>
    <row r="145" ht="15.75" customHeight="1">
      <c r="A145" s="14">
        <v>140.0</v>
      </c>
      <c r="B145" s="14" t="s">
        <v>3371</v>
      </c>
      <c r="C145" s="14" t="s">
        <v>3372</v>
      </c>
      <c r="D145" s="183">
        <v>45209.0</v>
      </c>
      <c r="E145" s="68">
        <v>45212.0</v>
      </c>
      <c r="F145" s="14">
        <v>18659.0</v>
      </c>
      <c r="G145" s="75" t="s">
        <v>84</v>
      </c>
      <c r="H145" s="14" t="s">
        <v>140</v>
      </c>
      <c r="I145" s="80" t="s">
        <v>3373</v>
      </c>
      <c r="J145" s="50" t="s">
        <v>3283</v>
      </c>
      <c r="K145" s="14" t="s">
        <v>142</v>
      </c>
      <c r="L145" s="14" t="s">
        <v>142</v>
      </c>
      <c r="M145" s="50" t="s">
        <v>3374</v>
      </c>
      <c r="N145" s="14" t="s">
        <v>146</v>
      </c>
      <c r="O145" s="50" t="s">
        <v>3375</v>
      </c>
      <c r="P145" s="50" t="s">
        <v>3376</v>
      </c>
      <c r="Q145" s="14" t="s">
        <v>3377</v>
      </c>
      <c r="R145" s="14">
        <v>9.79715393E8</v>
      </c>
      <c r="S145" s="50" t="s">
        <v>3378</v>
      </c>
      <c r="T145" s="14">
        <v>1.0</v>
      </c>
      <c r="U145" s="14">
        <v>0.0</v>
      </c>
      <c r="V145" s="14">
        <v>4.0</v>
      </c>
      <c r="W145" s="14">
        <v>1.0</v>
      </c>
      <c r="X145" s="14" t="s">
        <v>3379</v>
      </c>
      <c r="Y145" s="14" t="s">
        <v>61</v>
      </c>
      <c r="Z145" s="14"/>
      <c r="AA145" s="16"/>
      <c r="AB145" s="16"/>
      <c r="AC145" s="16"/>
      <c r="AD145" s="16"/>
      <c r="AE145" s="16"/>
    </row>
    <row r="146" ht="15.75" customHeight="1">
      <c r="A146" s="14">
        <v>141.0</v>
      </c>
      <c r="B146" s="14" t="s">
        <v>3380</v>
      </c>
      <c r="C146" s="14" t="s">
        <v>3381</v>
      </c>
      <c r="D146" s="183">
        <v>45209.0</v>
      </c>
      <c r="E146" s="68">
        <v>45225.0</v>
      </c>
      <c r="F146" s="14">
        <v>21551.0</v>
      </c>
      <c r="G146" s="14" t="s">
        <v>170</v>
      </c>
      <c r="H146" s="14" t="s">
        <v>140</v>
      </c>
      <c r="I146" s="80" t="s">
        <v>3382</v>
      </c>
      <c r="J146" s="50" t="s">
        <v>1809</v>
      </c>
      <c r="K146" s="14" t="s">
        <v>142</v>
      </c>
      <c r="L146" s="14" t="s">
        <v>142</v>
      </c>
      <c r="M146" s="50" t="s">
        <v>3383</v>
      </c>
      <c r="N146" s="14" t="s">
        <v>50</v>
      </c>
      <c r="O146" s="50" t="s">
        <v>3384</v>
      </c>
      <c r="P146" s="50" t="s">
        <v>3385</v>
      </c>
      <c r="Q146" s="14" t="s">
        <v>3386</v>
      </c>
      <c r="R146" s="14">
        <v>9.61960751E8</v>
      </c>
      <c r="S146" s="50" t="s">
        <v>3387</v>
      </c>
      <c r="T146" s="14">
        <v>1.0</v>
      </c>
      <c r="U146" s="14">
        <v>0.0</v>
      </c>
      <c r="V146" s="14">
        <v>3.0</v>
      </c>
      <c r="W146" s="14">
        <v>0.0</v>
      </c>
      <c r="X146" s="14" t="s">
        <v>3388</v>
      </c>
      <c r="Y146" s="14" t="s">
        <v>61</v>
      </c>
      <c r="Z146" s="14"/>
      <c r="AA146" s="16"/>
      <c r="AB146" s="16"/>
      <c r="AC146" s="16"/>
      <c r="AD146" s="16"/>
      <c r="AE146" s="16"/>
    </row>
    <row r="147" ht="15.75" customHeight="1">
      <c r="A147" s="14">
        <v>142.0</v>
      </c>
      <c r="B147" s="14" t="s">
        <v>3389</v>
      </c>
      <c r="C147" s="14" t="s">
        <v>3390</v>
      </c>
      <c r="D147" s="146">
        <v>45191.0</v>
      </c>
      <c r="E147" s="131">
        <v>45201.0</v>
      </c>
      <c r="F147" s="14">
        <v>16552.0</v>
      </c>
      <c r="G147" s="75" t="s">
        <v>84</v>
      </c>
      <c r="H147" s="14" t="s">
        <v>942</v>
      </c>
      <c r="I147" s="80" t="s">
        <v>3391</v>
      </c>
      <c r="J147" s="50" t="s">
        <v>945</v>
      </c>
      <c r="K147" s="14" t="s">
        <v>946</v>
      </c>
      <c r="L147" s="14" t="s">
        <v>948</v>
      </c>
      <c r="M147" s="50" t="s">
        <v>3392</v>
      </c>
      <c r="N147" s="14" t="s">
        <v>32</v>
      </c>
      <c r="O147" s="50" t="s">
        <v>3393</v>
      </c>
      <c r="P147" s="50" t="s">
        <v>3394</v>
      </c>
      <c r="Q147" s="14" t="s">
        <v>3395</v>
      </c>
      <c r="R147" s="75" t="s">
        <v>3396</v>
      </c>
      <c r="S147" s="50" t="s">
        <v>3397</v>
      </c>
      <c r="T147" s="14">
        <v>1.0</v>
      </c>
      <c r="U147" s="14">
        <v>0.0</v>
      </c>
      <c r="V147" s="14">
        <v>4.0</v>
      </c>
      <c r="W147" s="14">
        <v>0.0</v>
      </c>
      <c r="X147" s="16" t="s">
        <v>3398</v>
      </c>
      <c r="Y147" s="14" t="s">
        <v>61</v>
      </c>
      <c r="Z147" s="14"/>
      <c r="AA147" s="16"/>
      <c r="AB147" s="16"/>
      <c r="AC147" s="16"/>
      <c r="AD147" s="16"/>
      <c r="AE147" s="16"/>
    </row>
    <row r="148" ht="15.75" customHeight="1">
      <c r="A148" s="14">
        <v>143.0</v>
      </c>
      <c r="B148" s="14" t="s">
        <v>3399</v>
      </c>
      <c r="C148" s="14" t="s">
        <v>3400</v>
      </c>
      <c r="D148" s="146">
        <v>45191.0</v>
      </c>
      <c r="E148" s="131">
        <v>45201.0</v>
      </c>
      <c r="F148" s="14">
        <v>3792.0</v>
      </c>
      <c r="G148" s="14" t="s">
        <v>170</v>
      </c>
      <c r="H148" s="14" t="s">
        <v>1566</v>
      </c>
      <c r="I148" s="80" t="s">
        <v>3401</v>
      </c>
      <c r="J148" s="50" t="s">
        <v>540</v>
      </c>
      <c r="K148" s="14" t="s">
        <v>3402</v>
      </c>
      <c r="L148" s="14" t="s">
        <v>1293</v>
      </c>
      <c r="M148" s="50" t="s">
        <v>3403</v>
      </c>
      <c r="N148" s="14" t="s">
        <v>50</v>
      </c>
      <c r="O148" s="50" t="s">
        <v>3404</v>
      </c>
      <c r="P148" s="50" t="s">
        <v>3405</v>
      </c>
      <c r="Q148" s="14" t="s">
        <v>3406</v>
      </c>
      <c r="R148" s="14">
        <v>9.47319862E8</v>
      </c>
      <c r="S148" s="50" t="s">
        <v>3407</v>
      </c>
      <c r="T148" s="14">
        <v>0.0</v>
      </c>
      <c r="U148" s="14">
        <v>1.0</v>
      </c>
      <c r="V148" s="14">
        <v>0.0</v>
      </c>
      <c r="W148" s="14">
        <v>2.0</v>
      </c>
      <c r="X148" s="14" t="s">
        <v>3408</v>
      </c>
      <c r="Y148" s="14" t="s">
        <v>61</v>
      </c>
      <c r="Z148" s="14"/>
      <c r="AA148" s="16"/>
      <c r="AB148" s="16"/>
      <c r="AC148" s="16"/>
      <c r="AD148" s="16"/>
      <c r="AE148" s="16"/>
    </row>
    <row r="149" ht="15.75" customHeight="1">
      <c r="A149" s="14">
        <v>144.0</v>
      </c>
      <c r="B149" s="119" t="s">
        <v>3409</v>
      </c>
      <c r="C149" s="14" t="s">
        <v>3410</v>
      </c>
      <c r="D149" s="183">
        <v>45219.0</v>
      </c>
      <c r="E149" s="68">
        <v>45224.0</v>
      </c>
      <c r="F149" s="14">
        <v>3655.0</v>
      </c>
      <c r="G149" s="75" t="s">
        <v>84</v>
      </c>
      <c r="H149" s="14" t="s">
        <v>1566</v>
      </c>
      <c r="I149" s="80" t="s">
        <v>3411</v>
      </c>
      <c r="J149" s="50" t="s">
        <v>3412</v>
      </c>
      <c r="K149" s="14" t="s">
        <v>3412</v>
      </c>
      <c r="L149" s="14" t="s">
        <v>1293</v>
      </c>
      <c r="M149" s="50" t="s">
        <v>3413</v>
      </c>
      <c r="N149" s="14" t="s">
        <v>50</v>
      </c>
      <c r="O149" s="50" t="s">
        <v>3414</v>
      </c>
      <c r="P149" s="50" t="s">
        <v>3415</v>
      </c>
      <c r="Q149" s="14" t="s">
        <v>3416</v>
      </c>
      <c r="R149" s="14">
        <v>9.66880028E8</v>
      </c>
      <c r="S149" s="50" t="s">
        <v>3417</v>
      </c>
      <c r="T149" s="14">
        <v>0.0</v>
      </c>
      <c r="U149" s="14">
        <v>1.0</v>
      </c>
      <c r="V149" s="14">
        <v>0.0</v>
      </c>
      <c r="W149" s="14">
        <v>3.0</v>
      </c>
      <c r="X149" s="14" t="s">
        <v>3418</v>
      </c>
      <c r="Y149" s="14" t="s">
        <v>61</v>
      </c>
      <c r="Z149" s="14"/>
      <c r="AA149" s="16"/>
      <c r="AB149" s="16"/>
      <c r="AC149" s="16"/>
      <c r="AD149" s="16"/>
      <c r="AE149" s="16"/>
    </row>
    <row r="150" ht="15.75" customHeight="1">
      <c r="A150" s="14">
        <v>145.0</v>
      </c>
      <c r="B150" s="75" t="s">
        <v>3419</v>
      </c>
      <c r="C150" s="14" t="s">
        <v>3420</v>
      </c>
      <c r="D150" s="183">
        <v>45219.0</v>
      </c>
      <c r="E150" s="68">
        <v>45224.0</v>
      </c>
      <c r="F150" s="14">
        <v>24173.0</v>
      </c>
      <c r="G150" s="14" t="s">
        <v>170</v>
      </c>
      <c r="H150" s="14" t="s">
        <v>1299</v>
      </c>
      <c r="I150" s="285" t="s">
        <v>3421</v>
      </c>
      <c r="J150" s="50" t="s">
        <v>2474</v>
      </c>
      <c r="K150" s="14" t="s">
        <v>586</v>
      </c>
      <c r="L150" s="14" t="s">
        <v>586</v>
      </c>
      <c r="M150" s="14" t="s">
        <v>3422</v>
      </c>
      <c r="N150" s="14" t="s">
        <v>32</v>
      </c>
      <c r="O150" s="50" t="s">
        <v>3423</v>
      </c>
      <c r="P150" s="50" t="s">
        <v>3424</v>
      </c>
      <c r="Q150" s="14" t="s">
        <v>3425</v>
      </c>
      <c r="R150" s="14" t="s">
        <v>3426</v>
      </c>
      <c r="S150" s="50" t="s">
        <v>3427</v>
      </c>
      <c r="T150" s="14">
        <v>1.0</v>
      </c>
      <c r="U150" s="14">
        <v>0.0</v>
      </c>
      <c r="V150" s="14">
        <v>3.0</v>
      </c>
      <c r="W150" s="14">
        <v>0.0</v>
      </c>
      <c r="X150" s="14" t="s">
        <v>3428</v>
      </c>
      <c r="Y150" s="14" t="s">
        <v>61</v>
      </c>
      <c r="Z150" s="14"/>
      <c r="AA150" s="16"/>
      <c r="AB150" s="16"/>
      <c r="AC150" s="16"/>
      <c r="AD150" s="16"/>
      <c r="AE150" s="16"/>
    </row>
    <row r="151" ht="18.0" customHeight="1">
      <c r="A151" s="14">
        <v>146.0</v>
      </c>
      <c r="B151" s="14" t="s">
        <v>3429</v>
      </c>
      <c r="C151" s="14" t="s">
        <v>3430</v>
      </c>
      <c r="D151" s="183">
        <v>45219.0</v>
      </c>
      <c r="E151" s="68">
        <v>45224.0</v>
      </c>
      <c r="F151" s="14">
        <v>16758.0</v>
      </c>
      <c r="G151" s="14" t="s">
        <v>170</v>
      </c>
      <c r="H151" s="14" t="s">
        <v>1299</v>
      </c>
      <c r="I151" s="80" t="s">
        <v>3431</v>
      </c>
      <c r="J151" s="50" t="s">
        <v>586</v>
      </c>
      <c r="K151" s="14" t="s">
        <v>586</v>
      </c>
      <c r="L151" s="14" t="s">
        <v>586</v>
      </c>
      <c r="M151" s="50" t="s">
        <v>3432</v>
      </c>
      <c r="N151" s="14" t="s">
        <v>32</v>
      </c>
      <c r="O151" s="50" t="s">
        <v>3433</v>
      </c>
      <c r="P151" s="50" t="s">
        <v>3434</v>
      </c>
      <c r="Q151" s="136" t="s">
        <v>3435</v>
      </c>
      <c r="R151" s="14" t="s">
        <v>3436</v>
      </c>
      <c r="S151" s="50" t="s">
        <v>3437</v>
      </c>
      <c r="T151" s="14">
        <v>1.0</v>
      </c>
      <c r="U151" s="14">
        <v>0.0</v>
      </c>
      <c r="V151" s="14">
        <v>0.0</v>
      </c>
      <c r="W151" s="14">
        <v>1.0</v>
      </c>
      <c r="X151" s="14" t="s">
        <v>3438</v>
      </c>
      <c r="Y151" s="14" t="s">
        <v>3439</v>
      </c>
      <c r="Z151" s="14"/>
      <c r="AA151" s="16"/>
      <c r="AB151" s="16"/>
      <c r="AC151" s="16"/>
      <c r="AD151" s="16"/>
      <c r="AE151" s="16"/>
    </row>
    <row r="152" ht="15.75" customHeight="1">
      <c r="A152" s="14">
        <v>147.0</v>
      </c>
      <c r="B152" s="14" t="s">
        <v>3440</v>
      </c>
      <c r="C152" s="14" t="s">
        <v>3441</v>
      </c>
      <c r="D152" s="183">
        <v>45219.0</v>
      </c>
      <c r="E152" s="68">
        <v>45224.0</v>
      </c>
      <c r="F152" s="14">
        <v>23570.0</v>
      </c>
      <c r="G152" s="14" t="s">
        <v>170</v>
      </c>
      <c r="H152" s="14" t="s">
        <v>1299</v>
      </c>
      <c r="I152" s="80" t="s">
        <v>3442</v>
      </c>
      <c r="J152" s="50" t="s">
        <v>2474</v>
      </c>
      <c r="K152" s="14" t="s">
        <v>586</v>
      </c>
      <c r="L152" s="14" t="s">
        <v>586</v>
      </c>
      <c r="M152" s="50" t="s">
        <v>3443</v>
      </c>
      <c r="N152" s="14" t="s">
        <v>32</v>
      </c>
      <c r="O152" s="50" t="s">
        <v>3444</v>
      </c>
      <c r="P152" s="50" t="s">
        <v>3445</v>
      </c>
      <c r="Q152" s="14" t="s">
        <v>3446</v>
      </c>
      <c r="R152" s="14" t="s">
        <v>2972</v>
      </c>
      <c r="S152" s="50" t="s">
        <v>3447</v>
      </c>
      <c r="T152" s="14">
        <v>1.0</v>
      </c>
      <c r="U152" s="14">
        <v>0.0</v>
      </c>
      <c r="V152" s="14">
        <v>3.0</v>
      </c>
      <c r="W152" s="14">
        <v>0.0</v>
      </c>
      <c r="X152" s="14" t="s">
        <v>3448</v>
      </c>
      <c r="Y152" s="14" t="s">
        <v>61</v>
      </c>
      <c r="Z152" s="14"/>
      <c r="AA152" s="16"/>
      <c r="AB152" s="16"/>
      <c r="AC152" s="16"/>
      <c r="AD152" s="16"/>
      <c r="AE152" s="16"/>
    </row>
    <row r="153" ht="15.75" customHeight="1">
      <c r="A153" s="14">
        <v>148.0</v>
      </c>
      <c r="B153" s="14" t="s">
        <v>3449</v>
      </c>
      <c r="C153" s="14" t="s">
        <v>3450</v>
      </c>
      <c r="D153" s="146">
        <v>45232.0</v>
      </c>
      <c r="E153" s="131">
        <v>45236.0</v>
      </c>
      <c r="F153" s="14">
        <v>10467.0</v>
      </c>
      <c r="G153" s="14" t="s">
        <v>170</v>
      </c>
      <c r="H153" s="14" t="s">
        <v>43</v>
      </c>
      <c r="I153" s="80" t="s">
        <v>3451</v>
      </c>
      <c r="J153" s="50" t="s">
        <v>46</v>
      </c>
      <c r="K153" s="14" t="s">
        <v>47</v>
      </c>
      <c r="L153" s="14" t="s">
        <v>47</v>
      </c>
      <c r="M153" s="50" t="s">
        <v>3452</v>
      </c>
      <c r="N153" s="14" t="s">
        <v>32</v>
      </c>
      <c r="O153" s="50" t="s">
        <v>3453</v>
      </c>
      <c r="P153" s="50" t="s">
        <v>3454</v>
      </c>
      <c r="Q153" s="14" t="s">
        <v>3455</v>
      </c>
      <c r="R153" s="14">
        <v>9.67690642E8</v>
      </c>
      <c r="S153" s="50" t="s">
        <v>3456</v>
      </c>
      <c r="T153" s="14">
        <v>2.0</v>
      </c>
      <c r="U153" s="14">
        <v>0.0</v>
      </c>
      <c r="V153" s="14">
        <v>4.0</v>
      </c>
      <c r="W153" s="14">
        <v>0.0</v>
      </c>
      <c r="X153" s="14" t="s">
        <v>3457</v>
      </c>
      <c r="Y153" s="14" t="s">
        <v>3458</v>
      </c>
      <c r="Z153" s="14"/>
      <c r="AA153" s="16"/>
      <c r="AB153" s="16"/>
      <c r="AC153" s="16"/>
      <c r="AD153" s="16"/>
      <c r="AE153" s="16"/>
    </row>
    <row r="154" ht="15.75" customHeight="1">
      <c r="A154" s="14">
        <v>149.0</v>
      </c>
      <c r="B154" s="14" t="s">
        <v>3459</v>
      </c>
      <c r="C154" s="14" t="s">
        <v>3460</v>
      </c>
      <c r="D154" s="183">
        <v>45223.0</v>
      </c>
      <c r="E154" s="68">
        <v>45229.0</v>
      </c>
      <c r="F154" s="14">
        <v>10136.0</v>
      </c>
      <c r="G154" s="75" t="s">
        <v>84</v>
      </c>
      <c r="H154" s="14" t="s">
        <v>506</v>
      </c>
      <c r="I154" s="80" t="s">
        <v>3461</v>
      </c>
      <c r="J154" s="50" t="s">
        <v>839</v>
      </c>
      <c r="K154" s="14" t="s">
        <v>839</v>
      </c>
      <c r="L154" s="14" t="s">
        <v>496</v>
      </c>
      <c r="M154" s="50" t="s">
        <v>3462</v>
      </c>
      <c r="N154" s="14" t="s">
        <v>69</v>
      </c>
      <c r="O154" s="50" t="s">
        <v>3463</v>
      </c>
      <c r="P154" s="50" t="s">
        <v>3464</v>
      </c>
      <c r="Q154" s="14" t="s">
        <v>3465</v>
      </c>
      <c r="R154" s="14">
        <v>9.15066247E8</v>
      </c>
      <c r="S154" s="240" t="s">
        <v>3456</v>
      </c>
      <c r="T154" s="14">
        <v>1.0</v>
      </c>
      <c r="U154" s="14">
        <v>0.0</v>
      </c>
      <c r="V154" s="14">
        <v>6.0</v>
      </c>
      <c r="W154" s="14">
        <v>0.0</v>
      </c>
      <c r="X154" s="50" t="s">
        <v>3466</v>
      </c>
      <c r="Y154" s="14" t="s">
        <v>61</v>
      </c>
      <c r="Z154" s="14"/>
      <c r="AA154" s="16"/>
      <c r="AB154" s="16"/>
      <c r="AC154" s="16"/>
      <c r="AD154" s="16"/>
      <c r="AE154" s="16"/>
    </row>
    <row r="155" ht="15.75" customHeight="1">
      <c r="A155" s="14">
        <v>150.0</v>
      </c>
      <c r="B155" s="14" t="s">
        <v>3467</v>
      </c>
      <c r="C155" s="14" t="s">
        <v>3468</v>
      </c>
      <c r="D155" s="146">
        <v>45239.0</v>
      </c>
      <c r="E155" s="68">
        <v>45245.0</v>
      </c>
      <c r="F155" s="14">
        <v>17847.0</v>
      </c>
      <c r="G155" s="14" t="s">
        <v>170</v>
      </c>
      <c r="H155" s="14" t="s">
        <v>153</v>
      </c>
      <c r="I155" s="285" t="s">
        <v>3469</v>
      </c>
      <c r="J155" s="50" t="s">
        <v>156</v>
      </c>
      <c r="K155" s="14" t="s">
        <v>47</v>
      </c>
      <c r="L155" s="14" t="s">
        <v>47</v>
      </c>
      <c r="M155" s="14" t="s">
        <v>3470</v>
      </c>
      <c r="N155" s="14" t="s">
        <v>32</v>
      </c>
      <c r="O155" s="50" t="s">
        <v>3471</v>
      </c>
      <c r="P155" s="50" t="s">
        <v>3472</v>
      </c>
      <c r="Q155" s="14" t="s">
        <v>3473</v>
      </c>
      <c r="R155" s="14">
        <v>9.81839312E8</v>
      </c>
      <c r="S155" s="50" t="s">
        <v>3474</v>
      </c>
      <c r="T155" s="14">
        <v>1.0</v>
      </c>
      <c r="U155" s="14">
        <v>0.0</v>
      </c>
      <c r="V155" s="14">
        <v>3.0</v>
      </c>
      <c r="W155" s="14">
        <v>0.0</v>
      </c>
      <c r="X155" s="14" t="s">
        <v>3475</v>
      </c>
      <c r="Y155" s="14" t="s">
        <v>61</v>
      </c>
      <c r="Z155" s="14"/>
      <c r="AA155" s="16"/>
      <c r="AB155" s="16"/>
      <c r="AC155" s="16"/>
      <c r="AD155" s="16"/>
      <c r="AE155" s="16"/>
    </row>
    <row r="156" ht="15.75" customHeight="1">
      <c r="A156" s="14">
        <v>151.0</v>
      </c>
      <c r="B156" s="14" t="s">
        <v>3476</v>
      </c>
      <c r="C156" s="14" t="s">
        <v>3477</v>
      </c>
      <c r="D156" s="120">
        <v>45257.0</v>
      </c>
      <c r="E156" s="131">
        <v>45265.0</v>
      </c>
      <c r="F156" s="14">
        <v>8269.0</v>
      </c>
      <c r="G156" s="14" t="s">
        <v>170</v>
      </c>
      <c r="H156" s="14" t="s">
        <v>315</v>
      </c>
      <c r="I156" s="227" t="s">
        <v>3478</v>
      </c>
      <c r="J156" s="50" t="s">
        <v>509</v>
      </c>
      <c r="K156" s="14" t="s">
        <v>322</v>
      </c>
      <c r="L156" s="14" t="s">
        <v>322</v>
      </c>
      <c r="M156" s="14" t="s">
        <v>3479</v>
      </c>
      <c r="N156" s="14" t="s">
        <v>32</v>
      </c>
      <c r="O156" s="14" t="s">
        <v>3480</v>
      </c>
      <c r="P156" s="50" t="s">
        <v>3481</v>
      </c>
      <c r="Q156" s="14" t="s">
        <v>3482</v>
      </c>
      <c r="R156" s="14">
        <v>9.50442335E8</v>
      </c>
      <c r="S156" s="50" t="s">
        <v>3483</v>
      </c>
      <c r="T156" s="14">
        <v>1.0</v>
      </c>
      <c r="U156" s="14">
        <v>0.0</v>
      </c>
      <c r="V156" s="14">
        <v>3.0</v>
      </c>
      <c r="W156" s="14">
        <v>0.0</v>
      </c>
      <c r="X156" s="14" t="s">
        <v>3484</v>
      </c>
      <c r="Y156" s="50" t="s">
        <v>3485</v>
      </c>
      <c r="Z156" s="14"/>
      <c r="AA156" s="16"/>
      <c r="AB156" s="16"/>
      <c r="AC156" s="16"/>
      <c r="AD156" s="16"/>
      <c r="AE156" s="16"/>
    </row>
    <row r="157" ht="15.75" customHeight="1">
      <c r="A157" s="14">
        <v>152.0</v>
      </c>
      <c r="B157" s="14" t="s">
        <v>3486</v>
      </c>
      <c r="C157" s="14" t="s">
        <v>3487</v>
      </c>
      <c r="D157" s="141">
        <v>45266.0</v>
      </c>
      <c r="E157" s="68">
        <v>45278.0</v>
      </c>
      <c r="F157" s="14">
        <v>3754.0</v>
      </c>
      <c r="G157" s="75" t="s">
        <v>84</v>
      </c>
      <c r="H157" s="14" t="s">
        <v>1566</v>
      </c>
      <c r="I157" s="80" t="s">
        <v>3488</v>
      </c>
      <c r="J157" s="50" t="s">
        <v>3489</v>
      </c>
      <c r="K157" s="14" t="s">
        <v>3402</v>
      </c>
      <c r="L157" s="14" t="s">
        <v>1293</v>
      </c>
      <c r="M157" s="50" t="s">
        <v>3490</v>
      </c>
      <c r="N157" s="14" t="s">
        <v>50</v>
      </c>
      <c r="O157" s="50" t="s">
        <v>3491</v>
      </c>
      <c r="P157" s="50" t="s">
        <v>3492</v>
      </c>
      <c r="Q157" s="14" t="s">
        <v>3493</v>
      </c>
      <c r="R157" s="14">
        <v>9.94308118E8</v>
      </c>
      <c r="S157" s="50" t="s">
        <v>3494</v>
      </c>
      <c r="T157" s="14">
        <v>0.0</v>
      </c>
      <c r="U157" s="14">
        <v>1.0</v>
      </c>
      <c r="V157" s="14">
        <v>0.0</v>
      </c>
      <c r="W157" s="14">
        <v>2.0</v>
      </c>
      <c r="X157" s="14" t="s">
        <v>3495</v>
      </c>
      <c r="Y157" s="14" t="s">
        <v>61</v>
      </c>
      <c r="Z157" s="14"/>
      <c r="AA157" s="16"/>
      <c r="AB157" s="16"/>
      <c r="AC157" s="16"/>
      <c r="AD157" s="16"/>
      <c r="AE157" s="16"/>
    </row>
    <row r="158" ht="15.75" customHeight="1">
      <c r="A158" s="14">
        <v>153.0</v>
      </c>
      <c r="B158" s="14" t="s">
        <v>3496</v>
      </c>
      <c r="C158" s="14" t="s">
        <v>3497</v>
      </c>
      <c r="D158" s="141">
        <v>45274.0</v>
      </c>
      <c r="E158" s="68">
        <v>45281.0</v>
      </c>
      <c r="F158" s="14">
        <v>8012.0</v>
      </c>
      <c r="G158" s="14" t="s">
        <v>170</v>
      </c>
      <c r="H158" s="14" t="s">
        <v>1901</v>
      </c>
      <c r="I158" s="80" t="s">
        <v>3498</v>
      </c>
      <c r="J158" s="50" t="s">
        <v>1581</v>
      </c>
      <c r="K158" s="14" t="s">
        <v>1581</v>
      </c>
      <c r="L158" s="14" t="s">
        <v>322</v>
      </c>
      <c r="M158" s="50" t="s">
        <v>3499</v>
      </c>
      <c r="N158" s="14" t="s">
        <v>32</v>
      </c>
      <c r="O158" s="50" t="s">
        <v>3500</v>
      </c>
      <c r="P158" s="50" t="s">
        <v>3501</v>
      </c>
      <c r="Q158" s="14" t="s">
        <v>3502</v>
      </c>
      <c r="R158" s="14">
        <v>9.89355036E8</v>
      </c>
      <c r="S158" s="50" t="s">
        <v>3503</v>
      </c>
      <c r="T158" s="14">
        <v>1.0</v>
      </c>
      <c r="U158" s="14">
        <v>0.0</v>
      </c>
      <c r="V158" s="14">
        <v>4.0</v>
      </c>
      <c r="W158" s="14">
        <v>0.0</v>
      </c>
      <c r="X158" s="14" t="s">
        <v>3504</v>
      </c>
      <c r="Y158" s="14" t="s">
        <v>537</v>
      </c>
      <c r="Z158" s="14"/>
      <c r="AA158" s="16"/>
      <c r="AB158" s="16"/>
      <c r="AC158" s="16"/>
      <c r="AD158" s="16"/>
      <c r="AE158" s="16"/>
    </row>
    <row r="159" ht="15.75" customHeight="1">
      <c r="A159" s="14">
        <v>154.0</v>
      </c>
      <c r="B159" s="14" t="s">
        <v>3505</v>
      </c>
      <c r="C159" s="14" t="s">
        <v>3506</v>
      </c>
      <c r="D159" s="120">
        <v>45257.0</v>
      </c>
      <c r="E159" s="147">
        <v>45272.0</v>
      </c>
      <c r="F159" s="16">
        <v>12262.0</v>
      </c>
      <c r="G159" s="75" t="s">
        <v>84</v>
      </c>
      <c r="H159" s="14" t="s">
        <v>603</v>
      </c>
      <c r="I159" s="153" t="s">
        <v>3507</v>
      </c>
      <c r="J159" s="50" t="s">
        <v>2704</v>
      </c>
      <c r="K159" s="14" t="s">
        <v>2704</v>
      </c>
      <c r="L159" s="14" t="s">
        <v>610</v>
      </c>
      <c r="M159" s="171" t="s">
        <v>3508</v>
      </c>
      <c r="N159" s="14" t="s">
        <v>32</v>
      </c>
      <c r="O159" s="171" t="s">
        <v>3509</v>
      </c>
      <c r="P159" s="50" t="s">
        <v>3510</v>
      </c>
      <c r="Q159" s="171" t="s">
        <v>3511</v>
      </c>
      <c r="R159" s="14">
        <v>9.69442106E8</v>
      </c>
      <c r="S159" s="50" t="s">
        <v>3512</v>
      </c>
      <c r="T159" s="14">
        <v>0.0</v>
      </c>
      <c r="U159" s="14">
        <v>1.0</v>
      </c>
      <c r="V159" s="14">
        <v>3.0</v>
      </c>
      <c r="W159" s="14">
        <v>0.0</v>
      </c>
      <c r="X159" s="16" t="s">
        <v>3513</v>
      </c>
      <c r="Y159" s="14" t="s">
        <v>61</v>
      </c>
      <c r="Z159" s="14"/>
      <c r="AA159" s="16"/>
      <c r="AB159" s="16"/>
      <c r="AC159" s="16"/>
      <c r="AD159" s="16"/>
      <c r="AE159" s="16"/>
    </row>
    <row r="160" ht="15.75" customHeight="1">
      <c r="A160" s="14">
        <v>155.0</v>
      </c>
      <c r="B160" s="14" t="s">
        <v>3514</v>
      </c>
      <c r="C160" s="75" t="s">
        <v>3515</v>
      </c>
      <c r="D160" s="141">
        <v>45274.0</v>
      </c>
      <c r="E160" s="68">
        <v>45281.0</v>
      </c>
      <c r="F160" s="14">
        <v>28456.0</v>
      </c>
      <c r="G160" s="75" t="s">
        <v>84</v>
      </c>
      <c r="H160" s="14" t="s">
        <v>85</v>
      </c>
      <c r="I160" s="80" t="s">
        <v>3516</v>
      </c>
      <c r="J160" s="50" t="s">
        <v>2088</v>
      </c>
      <c r="K160" s="14" t="s">
        <v>125</v>
      </c>
      <c r="L160" s="14" t="s">
        <v>88</v>
      </c>
      <c r="M160" s="50" t="s">
        <v>3517</v>
      </c>
      <c r="N160" s="14" t="s">
        <v>32</v>
      </c>
      <c r="O160" s="50" t="s">
        <v>3518</v>
      </c>
      <c r="P160" s="50" t="s">
        <v>3519</v>
      </c>
      <c r="Q160" s="14" t="s">
        <v>3520</v>
      </c>
      <c r="R160" s="14">
        <v>9.13932375E8</v>
      </c>
      <c r="S160" s="50" t="s">
        <v>3521</v>
      </c>
      <c r="T160" s="14">
        <v>1.0</v>
      </c>
      <c r="U160" s="14">
        <v>0.0</v>
      </c>
      <c r="V160" s="14">
        <v>4.0</v>
      </c>
      <c r="W160" s="14">
        <v>0.0</v>
      </c>
      <c r="X160" s="14" t="s">
        <v>3522</v>
      </c>
      <c r="Y160" s="14" t="s">
        <v>61</v>
      </c>
      <c r="Z160" s="14"/>
      <c r="AA160" s="16"/>
      <c r="AB160" s="100"/>
      <c r="AC160" s="100"/>
      <c r="AD160" s="16"/>
      <c r="AE160" s="16"/>
    </row>
    <row r="161" ht="15.75" customHeight="1">
      <c r="A161" s="110">
        <v>156.0</v>
      </c>
      <c r="B161" s="110" t="s">
        <v>3523</v>
      </c>
      <c r="C161" s="110" t="s">
        <v>3524</v>
      </c>
      <c r="D161" s="288">
        <v>45279.0</v>
      </c>
      <c r="E161" s="289">
        <v>45281.0</v>
      </c>
      <c r="F161" s="110">
        <v>12292.0</v>
      </c>
      <c r="G161" s="110" t="s">
        <v>84</v>
      </c>
      <c r="H161" s="110" t="s">
        <v>85</v>
      </c>
      <c r="I161" s="118" t="s">
        <v>3525</v>
      </c>
      <c r="J161" s="103" t="s">
        <v>125</v>
      </c>
      <c r="K161" s="110" t="s">
        <v>125</v>
      </c>
      <c r="L161" s="110" t="s">
        <v>88</v>
      </c>
      <c r="M161" s="103" t="s">
        <v>3526</v>
      </c>
      <c r="N161" s="110" t="s">
        <v>32</v>
      </c>
      <c r="O161" s="103" t="s">
        <v>3527</v>
      </c>
      <c r="P161" s="103" t="s">
        <v>3528</v>
      </c>
      <c r="Q161" s="110" t="s">
        <v>3529</v>
      </c>
      <c r="R161" s="110">
        <v>9.83995755E8</v>
      </c>
      <c r="S161" s="103" t="s">
        <v>3530</v>
      </c>
      <c r="T161" s="110">
        <v>1.0</v>
      </c>
      <c r="U161" s="110">
        <v>0.0</v>
      </c>
      <c r="V161" s="110">
        <v>2.0</v>
      </c>
      <c r="W161" s="110">
        <v>0.0</v>
      </c>
      <c r="X161" s="110" t="s">
        <v>3531</v>
      </c>
      <c r="Y161" s="110" t="s">
        <v>61</v>
      </c>
      <c r="Z161" s="110"/>
      <c r="AA161" s="100"/>
      <c r="AB161" s="16"/>
      <c r="AC161" s="16"/>
      <c r="AD161" s="100"/>
      <c r="AE161" s="100"/>
    </row>
    <row r="162" ht="15.75" customHeight="1">
      <c r="A162" s="14">
        <v>21.0</v>
      </c>
      <c r="B162" s="14" t="s">
        <v>3532</v>
      </c>
      <c r="C162" s="50" t="s">
        <v>3533</v>
      </c>
      <c r="D162" s="128">
        <v>44939.0</v>
      </c>
      <c r="E162" s="167">
        <v>44953.0</v>
      </c>
      <c r="F162" s="75">
        <v>13386.0</v>
      </c>
      <c r="G162" s="75" t="s">
        <v>84</v>
      </c>
      <c r="H162" s="75" t="s">
        <v>205</v>
      </c>
      <c r="I162" s="73" t="s">
        <v>3534</v>
      </c>
      <c r="J162" s="50" t="s">
        <v>210</v>
      </c>
      <c r="K162" s="14" t="s">
        <v>210</v>
      </c>
      <c r="L162" s="14" t="s">
        <v>210</v>
      </c>
      <c r="M162" s="50" t="s">
        <v>3535</v>
      </c>
      <c r="N162" s="14" t="s">
        <v>32</v>
      </c>
      <c r="O162" s="50" t="s">
        <v>3536</v>
      </c>
      <c r="P162" s="50" t="s">
        <v>3537</v>
      </c>
      <c r="Q162" s="14" t="s">
        <v>3538</v>
      </c>
      <c r="R162" s="14">
        <v>9.39942065E8</v>
      </c>
      <c r="S162" s="50" t="s">
        <v>3539</v>
      </c>
      <c r="T162" s="14">
        <v>1.0</v>
      </c>
      <c r="U162" s="14">
        <v>0.0</v>
      </c>
      <c r="V162" s="14">
        <v>2.0</v>
      </c>
      <c r="W162" s="14">
        <v>0.0</v>
      </c>
      <c r="X162" s="14" t="s">
        <v>3540</v>
      </c>
      <c r="Y162" s="14" t="s">
        <v>61</v>
      </c>
      <c r="Z162" s="14"/>
      <c r="AA162" s="16"/>
      <c r="AB162" s="16"/>
      <c r="AC162" s="16"/>
      <c r="AD162" s="16"/>
      <c r="AE162" s="16"/>
    </row>
    <row r="163" ht="15.75" customHeight="1">
      <c r="A163" s="14">
        <v>158.0</v>
      </c>
      <c r="B163" s="14" t="s">
        <v>3541</v>
      </c>
      <c r="C163" s="14" t="s">
        <v>3542</v>
      </c>
      <c r="D163" s="120">
        <v>45281.0</v>
      </c>
      <c r="E163" s="68">
        <v>45290.0</v>
      </c>
      <c r="F163" s="14">
        <v>3523.0</v>
      </c>
      <c r="G163" s="75" t="s">
        <v>84</v>
      </c>
      <c r="H163" s="14" t="s">
        <v>1566</v>
      </c>
      <c r="I163" s="198" t="s">
        <v>3543</v>
      </c>
      <c r="J163" s="50" t="s">
        <v>3544</v>
      </c>
      <c r="K163" s="14" t="s">
        <v>3545</v>
      </c>
      <c r="L163" s="14" t="s">
        <v>1293</v>
      </c>
      <c r="M163" s="50" t="s">
        <v>3546</v>
      </c>
      <c r="N163" s="14" t="s">
        <v>50</v>
      </c>
      <c r="O163" s="50" t="s">
        <v>3547</v>
      </c>
      <c r="P163" s="50" t="s">
        <v>3548</v>
      </c>
      <c r="Q163" s="14" t="s">
        <v>3549</v>
      </c>
      <c r="R163" s="14">
        <v>9.52292032E8</v>
      </c>
      <c r="S163" s="50" t="s">
        <v>3550</v>
      </c>
      <c r="T163" s="14">
        <v>1.0</v>
      </c>
      <c r="U163" s="14">
        <v>0.0</v>
      </c>
      <c r="V163" s="14">
        <v>1.0</v>
      </c>
      <c r="W163" s="14">
        <v>2.0</v>
      </c>
      <c r="X163" s="16" t="s">
        <v>3551</v>
      </c>
      <c r="Y163" s="14" t="s">
        <v>61</v>
      </c>
      <c r="Z163" s="14"/>
      <c r="AA163" s="16"/>
      <c r="AB163" s="16"/>
      <c r="AC163" s="16"/>
      <c r="AD163" s="16"/>
      <c r="AE163" s="16"/>
    </row>
    <row r="164" ht="15.75" customHeight="1">
      <c r="A164" s="14">
        <v>159.0</v>
      </c>
      <c r="B164" s="14" t="s">
        <v>3552</v>
      </c>
      <c r="C164" s="14" t="s">
        <v>3553</v>
      </c>
      <c r="D164" s="141">
        <v>45274.0</v>
      </c>
      <c r="E164" s="68">
        <v>45281.0</v>
      </c>
      <c r="F164" s="14">
        <v>11163.0</v>
      </c>
      <c r="G164" s="14" t="s">
        <v>170</v>
      </c>
      <c r="H164" s="14" t="s">
        <v>1299</v>
      </c>
      <c r="I164" s="80" t="s">
        <v>3554</v>
      </c>
      <c r="J164" s="50" t="s">
        <v>3555</v>
      </c>
      <c r="K164" s="14" t="s">
        <v>586</v>
      </c>
      <c r="L164" s="14" t="s">
        <v>586</v>
      </c>
      <c r="M164" s="50" t="s">
        <v>3556</v>
      </c>
      <c r="N164" s="14" t="s">
        <v>32</v>
      </c>
      <c r="O164" s="50" t="s">
        <v>3557</v>
      </c>
      <c r="P164" s="172" t="s">
        <v>3558</v>
      </c>
      <c r="Q164" s="50" t="s">
        <v>3559</v>
      </c>
      <c r="R164" s="14" t="s">
        <v>3436</v>
      </c>
      <c r="S164" s="50" t="s">
        <v>3560</v>
      </c>
      <c r="T164" s="14">
        <v>1.0</v>
      </c>
      <c r="U164" s="14">
        <v>0.0</v>
      </c>
      <c r="V164" s="14">
        <v>4.0</v>
      </c>
      <c r="W164" s="14">
        <v>0.0</v>
      </c>
      <c r="X164" s="14" t="s">
        <v>3561</v>
      </c>
      <c r="Y164" s="14" t="s">
        <v>61</v>
      </c>
      <c r="Z164" s="14"/>
      <c r="AA164" s="16"/>
      <c r="AB164" s="16"/>
      <c r="AC164" s="16"/>
      <c r="AD164" s="16"/>
      <c r="AE164" s="16"/>
    </row>
    <row r="165" ht="15.75" customHeight="1">
      <c r="A165" s="14">
        <v>160.0</v>
      </c>
      <c r="B165" s="14" t="s">
        <v>3562</v>
      </c>
      <c r="C165" s="75" t="s">
        <v>3563</v>
      </c>
      <c r="D165" s="146">
        <v>45302.0</v>
      </c>
      <c r="E165" s="131">
        <v>45309.0</v>
      </c>
      <c r="F165" s="14">
        <v>31235.0</v>
      </c>
      <c r="G165" s="14" t="s">
        <v>170</v>
      </c>
      <c r="H165" s="14" t="s">
        <v>603</v>
      </c>
      <c r="I165" s="80" t="s">
        <v>3564</v>
      </c>
      <c r="J165" s="50" t="s">
        <v>606</v>
      </c>
      <c r="K165" s="14" t="s">
        <v>608</v>
      </c>
      <c r="L165" s="14" t="s">
        <v>610</v>
      </c>
      <c r="M165" s="50" t="s">
        <v>3565</v>
      </c>
      <c r="N165" s="14" t="s">
        <v>32</v>
      </c>
      <c r="O165" s="50" t="s">
        <v>3566</v>
      </c>
      <c r="P165" s="50" t="s">
        <v>3567</v>
      </c>
      <c r="Q165" s="14" t="s">
        <v>3568</v>
      </c>
      <c r="R165" s="14">
        <v>9.65162804E8</v>
      </c>
      <c r="S165" s="16" t="s">
        <v>3569</v>
      </c>
      <c r="T165" s="14">
        <v>1.0</v>
      </c>
      <c r="U165" s="14">
        <v>0.0</v>
      </c>
      <c r="V165" s="14">
        <v>3.0</v>
      </c>
      <c r="W165" s="14">
        <v>0.0</v>
      </c>
      <c r="X165" s="14" t="s">
        <v>3570</v>
      </c>
      <c r="Y165" s="14" t="s">
        <v>61</v>
      </c>
      <c r="Z165" s="14"/>
      <c r="AA165" s="16"/>
      <c r="AB165" s="16"/>
      <c r="AC165" s="16"/>
      <c r="AD165" s="16"/>
      <c r="AE165" s="16"/>
    </row>
    <row r="166" ht="15.75" customHeight="1">
      <c r="A166" s="14">
        <v>161.0</v>
      </c>
      <c r="B166" s="14" t="s">
        <v>3571</v>
      </c>
      <c r="C166" s="75" t="s">
        <v>3572</v>
      </c>
      <c r="D166" s="146">
        <v>45302.0</v>
      </c>
      <c r="E166" s="131">
        <v>45309.0</v>
      </c>
      <c r="F166" s="14">
        <v>15179.0</v>
      </c>
      <c r="G166" s="14" t="s">
        <v>170</v>
      </c>
      <c r="H166" s="14" t="s">
        <v>43</v>
      </c>
      <c r="I166" s="80" t="s">
        <v>3573</v>
      </c>
      <c r="J166" s="50" t="s">
        <v>46</v>
      </c>
      <c r="K166" s="14" t="s">
        <v>47</v>
      </c>
      <c r="L166" s="14" t="s">
        <v>47</v>
      </c>
      <c r="M166" s="50" t="s">
        <v>3574</v>
      </c>
      <c r="N166" s="14" t="s">
        <v>32</v>
      </c>
      <c r="O166" s="50" t="s">
        <v>3575</v>
      </c>
      <c r="P166" s="50" t="s">
        <v>3576</v>
      </c>
      <c r="Q166" s="14" t="s">
        <v>3577</v>
      </c>
      <c r="R166" s="75">
        <v>9.3538855E8</v>
      </c>
      <c r="S166" s="75" t="s">
        <v>3578</v>
      </c>
      <c r="T166" s="75">
        <v>1.0</v>
      </c>
      <c r="U166" s="75">
        <v>0.0</v>
      </c>
      <c r="V166" s="75">
        <v>3.0</v>
      </c>
      <c r="W166" s="75">
        <v>0.0</v>
      </c>
      <c r="X166" s="14" t="s">
        <v>3579</v>
      </c>
      <c r="Y166" s="14" t="s">
        <v>3580</v>
      </c>
      <c r="Z166" s="14"/>
      <c r="AA166" s="16"/>
      <c r="AB166" s="16"/>
      <c r="AC166" s="16"/>
      <c r="AD166" s="16"/>
      <c r="AE166" s="16"/>
    </row>
    <row r="167" ht="15.75" customHeight="1">
      <c r="A167" s="14">
        <v>162.0</v>
      </c>
      <c r="B167" s="14" t="s">
        <v>3581</v>
      </c>
      <c r="C167" s="75" t="s">
        <v>3582</v>
      </c>
      <c r="D167" s="146">
        <v>45310.0</v>
      </c>
      <c r="E167" s="167">
        <v>45313.0</v>
      </c>
      <c r="F167" s="75">
        <v>34685.0</v>
      </c>
      <c r="G167" s="14" t="s">
        <v>170</v>
      </c>
      <c r="H167" s="14" t="s">
        <v>2102</v>
      </c>
      <c r="I167" s="80" t="s">
        <v>3583</v>
      </c>
      <c r="J167" s="50" t="s">
        <v>142</v>
      </c>
      <c r="K167" s="14" t="s">
        <v>142</v>
      </c>
      <c r="L167" s="14" t="s">
        <v>142</v>
      </c>
      <c r="M167" s="50" t="s">
        <v>3584</v>
      </c>
      <c r="N167" s="14" t="s">
        <v>32</v>
      </c>
      <c r="O167" s="50" t="s">
        <v>3585</v>
      </c>
      <c r="P167" s="50" t="s">
        <v>3586</v>
      </c>
      <c r="Q167" s="14" t="s">
        <v>3587</v>
      </c>
      <c r="R167" s="14">
        <v>9.80764365E8</v>
      </c>
      <c r="S167" s="240" t="s">
        <v>3588</v>
      </c>
      <c r="T167" s="14">
        <v>1.0</v>
      </c>
      <c r="U167" s="14">
        <v>0.0</v>
      </c>
      <c r="V167" s="14">
        <v>1.0</v>
      </c>
      <c r="W167" s="14">
        <v>3.0</v>
      </c>
      <c r="X167" s="240" t="s">
        <v>3589</v>
      </c>
      <c r="Y167" s="14" t="s">
        <v>3590</v>
      </c>
      <c r="Z167" s="14" t="s">
        <v>3591</v>
      </c>
      <c r="AA167" s="16"/>
      <c r="AB167" s="16"/>
      <c r="AC167" s="16"/>
      <c r="AD167" s="16"/>
      <c r="AE167" s="16"/>
    </row>
    <row r="168" ht="15.75" customHeight="1">
      <c r="A168" s="14">
        <v>163.0</v>
      </c>
      <c r="B168" s="14" t="s">
        <v>3592</v>
      </c>
      <c r="C168" s="75" t="s">
        <v>3593</v>
      </c>
      <c r="D168" s="146">
        <v>45310.0</v>
      </c>
      <c r="E168" s="131">
        <v>45314.0</v>
      </c>
      <c r="F168" s="14">
        <v>25657.0</v>
      </c>
      <c r="G168" s="290" t="s">
        <v>2203</v>
      </c>
      <c r="H168" s="14" t="s">
        <v>773</v>
      </c>
      <c r="I168" s="80" t="s">
        <v>3594</v>
      </c>
      <c r="J168" s="50" t="s">
        <v>3595</v>
      </c>
      <c r="K168" s="14" t="s">
        <v>3596</v>
      </c>
      <c r="L168" s="14" t="s">
        <v>419</v>
      </c>
      <c r="M168" s="50" t="s">
        <v>3597</v>
      </c>
      <c r="N168" s="14" t="s">
        <v>32</v>
      </c>
      <c r="O168" s="50" t="s">
        <v>3598</v>
      </c>
      <c r="P168" s="50" t="s">
        <v>3599</v>
      </c>
      <c r="Q168" s="14" t="s">
        <v>3600</v>
      </c>
      <c r="R168" s="75">
        <v>9.70909791E8</v>
      </c>
      <c r="S168" s="14" t="s">
        <v>3601</v>
      </c>
      <c r="T168" s="14">
        <v>1.0</v>
      </c>
      <c r="U168" s="14">
        <v>0.0</v>
      </c>
      <c r="V168" s="14">
        <v>3.0</v>
      </c>
      <c r="W168" s="14">
        <v>0.0</v>
      </c>
      <c r="X168" s="14" t="s">
        <v>3602</v>
      </c>
      <c r="Y168" s="14" t="s">
        <v>3603</v>
      </c>
      <c r="Z168" s="14"/>
      <c r="AA168" s="16"/>
      <c r="AB168" s="16"/>
      <c r="AC168" s="16"/>
      <c r="AD168" s="16"/>
      <c r="AE168" s="16"/>
    </row>
    <row r="169" ht="15.75" customHeight="1">
      <c r="A169" s="14">
        <v>164.0</v>
      </c>
      <c r="B169" s="14" t="s">
        <v>3604</v>
      </c>
      <c r="C169" s="14" t="s">
        <v>3605</v>
      </c>
      <c r="D169" s="128">
        <v>45310.0</v>
      </c>
      <c r="E169" s="131">
        <v>45313.0</v>
      </c>
      <c r="F169" s="14">
        <v>4223.0</v>
      </c>
      <c r="G169" s="75" t="s">
        <v>84</v>
      </c>
      <c r="H169" s="14" t="s">
        <v>506</v>
      </c>
      <c r="I169" s="168" t="s">
        <v>3606</v>
      </c>
      <c r="J169" s="50" t="s">
        <v>876</v>
      </c>
      <c r="K169" s="14" t="s">
        <v>839</v>
      </c>
      <c r="L169" s="14" t="s">
        <v>496</v>
      </c>
      <c r="M169" s="197" t="s">
        <v>3607</v>
      </c>
      <c r="N169" s="14" t="s">
        <v>50</v>
      </c>
      <c r="O169" s="50" t="s">
        <v>3608</v>
      </c>
      <c r="P169" s="50" t="s">
        <v>3609</v>
      </c>
      <c r="Q169" s="14" t="s">
        <v>3610</v>
      </c>
      <c r="R169" s="14">
        <v>9.32122822E8</v>
      </c>
      <c r="S169" s="14" t="s">
        <v>3611</v>
      </c>
      <c r="T169" s="14">
        <v>1.0</v>
      </c>
      <c r="U169" s="14">
        <v>0.0</v>
      </c>
      <c r="V169" s="14">
        <v>3.0</v>
      </c>
      <c r="W169" s="14">
        <v>0.0</v>
      </c>
      <c r="X169" s="16" t="s">
        <v>3612</v>
      </c>
      <c r="Y169" s="14" t="s">
        <v>61</v>
      </c>
      <c r="Z169" s="14"/>
      <c r="AA169" s="16"/>
      <c r="AB169" s="16"/>
      <c r="AC169" s="16"/>
      <c r="AD169" s="16"/>
      <c r="AE169" s="16"/>
    </row>
    <row r="170" ht="15.75" customHeight="1">
      <c r="A170" s="14">
        <v>165.0</v>
      </c>
      <c r="B170" s="14" t="s">
        <v>3613</v>
      </c>
      <c r="C170" s="75" t="s">
        <v>3614</v>
      </c>
      <c r="D170" s="146">
        <v>45329.0</v>
      </c>
      <c r="E170" s="131">
        <v>45334.0</v>
      </c>
      <c r="F170" s="14">
        <v>24924.0</v>
      </c>
      <c r="G170" s="14" t="s">
        <v>170</v>
      </c>
      <c r="H170" s="14" t="s">
        <v>43</v>
      </c>
      <c r="I170" s="271" t="s">
        <v>3615</v>
      </c>
      <c r="J170" s="50" t="s">
        <v>67</v>
      </c>
      <c r="K170" s="14" t="s">
        <v>47</v>
      </c>
      <c r="L170" s="14" t="s">
        <v>47</v>
      </c>
      <c r="M170" s="197" t="s">
        <v>3616</v>
      </c>
      <c r="N170" s="14" t="s">
        <v>32</v>
      </c>
      <c r="O170" s="171" t="s">
        <v>3617</v>
      </c>
      <c r="P170" s="50" t="s">
        <v>3618</v>
      </c>
      <c r="Q170" s="14" t="s">
        <v>3619</v>
      </c>
      <c r="R170" s="14">
        <v>9.92335539E8</v>
      </c>
      <c r="S170" s="50" t="s">
        <v>3620</v>
      </c>
      <c r="T170" s="14">
        <v>0.0</v>
      </c>
      <c r="U170" s="14">
        <v>1.0</v>
      </c>
      <c r="V170" s="14">
        <v>2.0</v>
      </c>
      <c r="W170" s="14">
        <v>0.0</v>
      </c>
      <c r="X170" s="14" t="s">
        <v>3621</v>
      </c>
      <c r="Y170" s="14" t="s">
        <v>3458</v>
      </c>
      <c r="Z170" s="14"/>
      <c r="AA170" s="16"/>
      <c r="AB170" s="16"/>
      <c r="AC170" s="16"/>
      <c r="AD170" s="16"/>
      <c r="AE170" s="16"/>
    </row>
    <row r="171" ht="15.75" customHeight="1">
      <c r="A171" s="14">
        <v>166.0</v>
      </c>
      <c r="B171" s="14" t="s">
        <v>3622</v>
      </c>
      <c r="C171" s="75" t="s">
        <v>3623</v>
      </c>
      <c r="D171" s="146">
        <v>45329.0</v>
      </c>
      <c r="E171" s="131">
        <v>45334.0</v>
      </c>
      <c r="F171" s="14">
        <v>1587.0</v>
      </c>
      <c r="G171" s="75" t="s">
        <v>84</v>
      </c>
      <c r="H171" s="14" t="s">
        <v>942</v>
      </c>
      <c r="I171" s="73" t="s">
        <v>3624</v>
      </c>
      <c r="J171" s="50" t="s">
        <v>3625</v>
      </c>
      <c r="K171" s="14" t="s">
        <v>3626</v>
      </c>
      <c r="L171" s="14" t="s">
        <v>948</v>
      </c>
      <c r="M171" s="50" t="s">
        <v>3627</v>
      </c>
      <c r="N171" s="14" t="s">
        <v>50</v>
      </c>
      <c r="O171" s="50" t="s">
        <v>3628</v>
      </c>
      <c r="P171" s="50" t="s">
        <v>3629</v>
      </c>
      <c r="Q171" s="14" t="s">
        <v>3630</v>
      </c>
      <c r="R171" s="14">
        <v>9.57620516E8</v>
      </c>
      <c r="S171" s="50" t="s">
        <v>3631</v>
      </c>
      <c r="T171" s="14">
        <v>0.0</v>
      </c>
      <c r="U171" s="14">
        <v>1.0</v>
      </c>
      <c r="V171" s="14">
        <v>1.0</v>
      </c>
      <c r="W171" s="14">
        <v>6.0</v>
      </c>
      <c r="X171" s="16" t="s">
        <v>3632</v>
      </c>
      <c r="Y171" s="14" t="s">
        <v>61</v>
      </c>
      <c r="Z171" s="14"/>
      <c r="AA171" s="16"/>
      <c r="AB171" s="100"/>
      <c r="AC171" s="100"/>
      <c r="AD171" s="16"/>
      <c r="AE171" s="16"/>
    </row>
    <row r="172" ht="33.0" customHeight="1">
      <c r="A172" s="110">
        <v>167.0</v>
      </c>
      <c r="B172" s="110" t="s">
        <v>3633</v>
      </c>
      <c r="C172" s="110" t="s">
        <v>3634</v>
      </c>
      <c r="D172" s="229">
        <v>45329.0</v>
      </c>
      <c r="E172" s="266">
        <v>45334.0</v>
      </c>
      <c r="F172" s="110">
        <v>16113.0</v>
      </c>
      <c r="G172" s="110" t="s">
        <v>170</v>
      </c>
      <c r="H172" s="110" t="s">
        <v>43</v>
      </c>
      <c r="I172" s="291" t="s">
        <v>3635</v>
      </c>
      <c r="J172" s="103" t="s">
        <v>126</v>
      </c>
      <c r="K172" s="110" t="s">
        <v>47</v>
      </c>
      <c r="L172" s="110"/>
      <c r="M172" s="103" t="s">
        <v>3636</v>
      </c>
      <c r="N172" s="110"/>
      <c r="O172" s="103" t="s">
        <v>3637</v>
      </c>
      <c r="P172" s="103" t="s">
        <v>3638</v>
      </c>
      <c r="Q172" s="110" t="s">
        <v>3639</v>
      </c>
      <c r="R172" s="110">
        <v>9.37677826E8</v>
      </c>
      <c r="S172" s="103" t="s">
        <v>3640</v>
      </c>
      <c r="T172" s="110">
        <v>1.0</v>
      </c>
      <c r="U172" s="110">
        <v>0.0</v>
      </c>
      <c r="V172" s="110">
        <v>2.0</v>
      </c>
      <c r="W172" s="110">
        <v>0.0</v>
      </c>
      <c r="X172" s="110" t="s">
        <v>3641</v>
      </c>
      <c r="Y172" s="110" t="s">
        <v>61</v>
      </c>
      <c r="Z172" s="110"/>
      <c r="AA172" s="100"/>
      <c r="AB172" s="16"/>
      <c r="AC172" s="16"/>
      <c r="AD172" s="100"/>
      <c r="AE172" s="100"/>
    </row>
    <row r="173" ht="15.75" customHeight="1">
      <c r="A173" s="14">
        <v>168.0</v>
      </c>
      <c r="B173" s="14" t="s">
        <v>3642</v>
      </c>
      <c r="C173" s="75" t="s">
        <v>3643</v>
      </c>
      <c r="D173" s="146">
        <v>45342.0</v>
      </c>
      <c r="E173" s="167">
        <v>45343.0</v>
      </c>
      <c r="F173" s="75">
        <v>34355.0</v>
      </c>
      <c r="G173" s="14" t="s">
        <v>170</v>
      </c>
      <c r="H173" s="14" t="s">
        <v>76</v>
      </c>
      <c r="I173" s="73" t="s">
        <v>3644</v>
      </c>
      <c r="J173" s="50" t="s">
        <v>79</v>
      </c>
      <c r="K173" s="14" t="s">
        <v>47</v>
      </c>
      <c r="L173" s="14" t="s">
        <v>47</v>
      </c>
      <c r="M173" s="50" t="s">
        <v>3645</v>
      </c>
      <c r="N173" s="14" t="s">
        <v>32</v>
      </c>
      <c r="O173" s="50" t="s">
        <v>3646</v>
      </c>
      <c r="P173" s="50" t="s">
        <v>3647</v>
      </c>
      <c r="Q173" s="217" t="s">
        <v>3648</v>
      </c>
      <c r="R173" s="14">
        <v>9.51074143E8</v>
      </c>
      <c r="S173" s="50" t="s">
        <v>3649</v>
      </c>
      <c r="T173" s="14">
        <v>1.0</v>
      </c>
      <c r="U173" s="14">
        <v>0.0</v>
      </c>
      <c r="V173" s="14">
        <v>6.0</v>
      </c>
      <c r="W173" s="14">
        <v>0.0</v>
      </c>
      <c r="X173" s="16" t="s">
        <v>3650</v>
      </c>
      <c r="Y173" s="14" t="s">
        <v>61</v>
      </c>
      <c r="Z173" s="14"/>
      <c r="AA173" s="16"/>
      <c r="AB173" s="16"/>
      <c r="AC173" s="16"/>
      <c r="AD173" s="16"/>
      <c r="AE173" s="16"/>
    </row>
    <row r="174" ht="15.75" customHeight="1">
      <c r="A174" s="14">
        <v>98.0</v>
      </c>
      <c r="B174" s="14" t="s">
        <v>3651</v>
      </c>
      <c r="C174" s="14" t="s">
        <v>3652</v>
      </c>
      <c r="D174" s="269">
        <v>45056.0</v>
      </c>
      <c r="E174" s="131">
        <v>45058.0</v>
      </c>
      <c r="F174" s="14">
        <v>28248.0</v>
      </c>
      <c r="G174" s="292" t="s">
        <v>2525</v>
      </c>
      <c r="H174" s="14" t="s">
        <v>205</v>
      </c>
      <c r="I174" s="80" t="s">
        <v>3653</v>
      </c>
      <c r="J174" s="50" t="s">
        <v>210</v>
      </c>
      <c r="K174" s="14" t="s">
        <v>210</v>
      </c>
      <c r="L174" s="14" t="s">
        <v>210</v>
      </c>
      <c r="M174" s="50" t="s">
        <v>3654</v>
      </c>
      <c r="N174" s="14" t="s">
        <v>32</v>
      </c>
      <c r="O174" s="50" t="s">
        <v>3655</v>
      </c>
      <c r="P174" s="50" t="s">
        <v>3656</v>
      </c>
      <c r="Q174" s="14" t="s">
        <v>3657</v>
      </c>
      <c r="R174" s="14" t="s">
        <v>3658</v>
      </c>
      <c r="S174" s="10" t="s">
        <v>3659</v>
      </c>
      <c r="T174" s="14">
        <v>1.0</v>
      </c>
      <c r="U174" s="14">
        <v>0.0</v>
      </c>
      <c r="V174" s="14">
        <v>3.0</v>
      </c>
      <c r="W174" s="14">
        <v>0.0</v>
      </c>
      <c r="X174" s="14" t="s">
        <v>3660</v>
      </c>
      <c r="Y174" s="14" t="s">
        <v>61</v>
      </c>
      <c r="Z174" s="14"/>
      <c r="AA174" s="16"/>
      <c r="AB174" s="16"/>
      <c r="AC174" s="16"/>
      <c r="AD174" s="16"/>
      <c r="AE174" s="16"/>
    </row>
    <row r="175" ht="15.75" customHeight="1">
      <c r="A175" s="14">
        <v>170.0</v>
      </c>
      <c r="B175" s="14" t="s">
        <v>3661</v>
      </c>
      <c r="C175" s="75" t="s">
        <v>3662</v>
      </c>
      <c r="D175" s="146">
        <v>45329.0</v>
      </c>
      <c r="E175" s="131">
        <v>45334.0</v>
      </c>
      <c r="F175" s="14">
        <v>9010.0</v>
      </c>
      <c r="G175" s="14" t="s">
        <v>170</v>
      </c>
      <c r="H175" s="14" t="s">
        <v>76</v>
      </c>
      <c r="I175" s="73" t="s">
        <v>3663</v>
      </c>
      <c r="J175" s="50" t="s">
        <v>79</v>
      </c>
      <c r="K175" s="14" t="s">
        <v>47</v>
      </c>
      <c r="L175" s="14" t="s">
        <v>47</v>
      </c>
      <c r="M175" s="197" t="s">
        <v>3664</v>
      </c>
      <c r="N175" s="14" t="s">
        <v>32</v>
      </c>
      <c r="O175" s="50" t="s">
        <v>3665</v>
      </c>
      <c r="P175" s="50" t="s">
        <v>3666</v>
      </c>
      <c r="Q175" s="14" t="s">
        <v>3667</v>
      </c>
      <c r="R175" s="14"/>
      <c r="S175" s="50" t="s">
        <v>3668</v>
      </c>
      <c r="T175" s="14">
        <v>0.0</v>
      </c>
      <c r="U175" s="14">
        <v>1.0</v>
      </c>
      <c r="V175" s="14">
        <v>4.0</v>
      </c>
      <c r="W175" s="14">
        <v>0.0</v>
      </c>
      <c r="X175" s="16" t="s">
        <v>3669</v>
      </c>
      <c r="Y175" s="14" t="s">
        <v>2259</v>
      </c>
      <c r="Z175" s="14" t="s">
        <v>3670</v>
      </c>
      <c r="AA175" s="16"/>
      <c r="AB175" s="16"/>
      <c r="AC175" s="16"/>
      <c r="AD175" s="16"/>
      <c r="AE175" s="16"/>
    </row>
    <row r="176" ht="15.75" customHeight="1">
      <c r="A176" s="14">
        <v>171.0</v>
      </c>
      <c r="B176" s="14" t="s">
        <v>3671</v>
      </c>
      <c r="C176" s="75" t="s">
        <v>3672</v>
      </c>
      <c r="D176" s="146">
        <v>45342.0</v>
      </c>
      <c r="E176" s="131">
        <v>45343.0</v>
      </c>
      <c r="F176" s="14">
        <v>10014.0</v>
      </c>
      <c r="G176" s="14" t="s">
        <v>170</v>
      </c>
      <c r="H176" s="14" t="s">
        <v>1299</v>
      </c>
      <c r="I176" s="73" t="s">
        <v>3673</v>
      </c>
      <c r="J176" s="50" t="s">
        <v>586</v>
      </c>
      <c r="K176" s="14" t="s">
        <v>586</v>
      </c>
      <c r="L176" s="14" t="s">
        <v>586</v>
      </c>
      <c r="M176" s="50" t="s">
        <v>3674</v>
      </c>
      <c r="N176" s="14" t="s">
        <v>32</v>
      </c>
      <c r="O176" s="50" t="s">
        <v>3675</v>
      </c>
      <c r="P176" s="50" t="s">
        <v>3676</v>
      </c>
      <c r="Q176" s="14" t="s">
        <v>3677</v>
      </c>
      <c r="R176" s="14">
        <v>9.91413986E8</v>
      </c>
      <c r="S176" s="50" t="s">
        <v>3678</v>
      </c>
      <c r="T176" s="14">
        <v>1.0</v>
      </c>
      <c r="U176" s="14">
        <v>0.0</v>
      </c>
      <c r="V176" s="14">
        <v>4.0</v>
      </c>
      <c r="W176" s="14">
        <v>0.0</v>
      </c>
      <c r="X176" s="14" t="s">
        <v>3679</v>
      </c>
      <c r="Y176" s="14" t="s">
        <v>61</v>
      </c>
      <c r="Z176" s="14"/>
      <c r="AA176" s="16"/>
      <c r="AB176" s="16"/>
      <c r="AC176" s="16"/>
      <c r="AD176" s="16"/>
      <c r="AE176" s="16"/>
    </row>
    <row r="177" ht="15.75" customHeight="1">
      <c r="A177" s="14">
        <v>172.0</v>
      </c>
      <c r="B177" s="14" t="s">
        <v>3680</v>
      </c>
      <c r="C177" s="14" t="s">
        <v>3681</v>
      </c>
      <c r="D177" s="128">
        <v>45342.0</v>
      </c>
      <c r="E177" s="131">
        <v>45343.0</v>
      </c>
      <c r="F177" s="14">
        <v>34252.0</v>
      </c>
      <c r="G177" s="14" t="s">
        <v>84</v>
      </c>
      <c r="H177" s="14" t="s">
        <v>173</v>
      </c>
      <c r="I177" s="80" t="s">
        <v>3682</v>
      </c>
      <c r="J177" s="50" t="s">
        <v>1285</v>
      </c>
      <c r="K177" s="14" t="s">
        <v>1285</v>
      </c>
      <c r="L177" s="14" t="s">
        <v>179</v>
      </c>
      <c r="M177" s="50" t="s">
        <v>3683</v>
      </c>
      <c r="N177" s="14" t="s">
        <v>69</v>
      </c>
      <c r="O177" s="50" t="s">
        <v>3684</v>
      </c>
      <c r="P177" s="50" t="s">
        <v>3685</v>
      </c>
      <c r="Q177" s="14" t="s">
        <v>3686</v>
      </c>
      <c r="R177" s="14" t="s">
        <v>3687</v>
      </c>
      <c r="S177" s="14" t="s">
        <v>3688</v>
      </c>
      <c r="T177" s="14">
        <v>1.0</v>
      </c>
      <c r="U177" s="14">
        <v>0.0</v>
      </c>
      <c r="V177" s="14">
        <v>6.0</v>
      </c>
      <c r="W177" s="14">
        <v>0.0</v>
      </c>
      <c r="X177" s="14" t="s">
        <v>3689</v>
      </c>
      <c r="Y177" s="14" t="s">
        <v>61</v>
      </c>
      <c r="Z177" s="14"/>
      <c r="AA177" s="16"/>
      <c r="AB177" s="16"/>
      <c r="AC177" s="16"/>
      <c r="AD177" s="16"/>
      <c r="AE177" s="16"/>
    </row>
    <row r="178" ht="15.75" customHeight="1">
      <c r="A178" s="14">
        <v>173.0</v>
      </c>
      <c r="B178" s="14" t="s">
        <v>3690</v>
      </c>
      <c r="C178" s="14" t="s">
        <v>3691</v>
      </c>
      <c r="D178" s="294">
        <v>45348.0</v>
      </c>
      <c r="E178" s="131">
        <v>45352.0</v>
      </c>
      <c r="F178" s="14">
        <v>34471.0</v>
      </c>
      <c r="G178" s="14" t="s">
        <v>84</v>
      </c>
      <c r="H178" s="14" t="s">
        <v>506</v>
      </c>
      <c r="I178" s="80" t="s">
        <v>3692</v>
      </c>
      <c r="J178" s="50" t="s">
        <v>496</v>
      </c>
      <c r="K178" s="14" t="s">
        <v>496</v>
      </c>
      <c r="L178" s="14" t="s">
        <v>496</v>
      </c>
      <c r="M178" s="50" t="s">
        <v>3693</v>
      </c>
      <c r="N178" s="14" t="s">
        <v>32</v>
      </c>
      <c r="O178" s="50"/>
      <c r="P178" s="50"/>
      <c r="Q178" s="14"/>
      <c r="R178" s="14"/>
      <c r="S178" s="14"/>
      <c r="T178" s="14"/>
      <c r="U178" s="14"/>
      <c r="V178" s="14"/>
      <c r="W178" s="14"/>
      <c r="X178" s="14" t="s">
        <v>3694</v>
      </c>
      <c r="Y178" s="14" t="s">
        <v>61</v>
      </c>
      <c r="Z178" s="14"/>
      <c r="AA178" s="16"/>
      <c r="AB178" s="16"/>
      <c r="AC178" s="16"/>
      <c r="AD178" s="16"/>
      <c r="AE178" s="16"/>
    </row>
    <row r="179" ht="15.75" customHeight="1">
      <c r="A179" s="14">
        <v>174.0</v>
      </c>
      <c r="B179" s="14" t="s">
        <v>3695</v>
      </c>
      <c r="C179" s="75" t="s">
        <v>3696</v>
      </c>
      <c r="D179" s="146">
        <v>45366.0</v>
      </c>
      <c r="E179" s="131">
        <v>45372.0</v>
      </c>
      <c r="F179" s="14">
        <v>23151.0</v>
      </c>
      <c r="G179" s="14" t="s">
        <v>170</v>
      </c>
      <c r="H179" s="14" t="s">
        <v>153</v>
      </c>
      <c r="I179" s="73" t="s">
        <v>3697</v>
      </c>
      <c r="J179" s="50" t="s">
        <v>156</v>
      </c>
      <c r="K179" s="14" t="s">
        <v>47</v>
      </c>
      <c r="L179" s="14" t="s">
        <v>47</v>
      </c>
      <c r="M179" s="50" t="s">
        <v>3698</v>
      </c>
      <c r="N179" s="14" t="s">
        <v>32</v>
      </c>
      <c r="O179" s="16" t="s">
        <v>3699</v>
      </c>
      <c r="P179" s="50" t="s">
        <v>3700</v>
      </c>
      <c r="Q179" s="14" t="s">
        <v>3701</v>
      </c>
      <c r="R179" s="14">
        <v>9.92505201E8</v>
      </c>
      <c r="S179" s="14" t="s">
        <v>3702</v>
      </c>
      <c r="T179" s="14">
        <v>1.0</v>
      </c>
      <c r="U179" s="14">
        <v>0.0</v>
      </c>
      <c r="V179" s="14">
        <v>1.0</v>
      </c>
      <c r="W179" s="14">
        <v>0.0</v>
      </c>
      <c r="X179" s="14" t="s">
        <v>3703</v>
      </c>
      <c r="Y179" s="14" t="s">
        <v>61</v>
      </c>
      <c r="Z179" s="14"/>
      <c r="AA179" s="16"/>
      <c r="AB179" s="16"/>
      <c r="AC179" s="16"/>
      <c r="AD179" s="16"/>
      <c r="AE179" s="16"/>
    </row>
    <row r="180" ht="15.75" customHeight="1">
      <c r="A180" s="14">
        <v>175.0</v>
      </c>
      <c r="B180" s="14" t="s">
        <v>3704</v>
      </c>
      <c r="C180" s="75" t="s">
        <v>3705</v>
      </c>
      <c r="D180" s="146">
        <v>45366.0</v>
      </c>
      <c r="E180" s="242">
        <v>45372.0</v>
      </c>
      <c r="F180" s="243" t="s">
        <v>3706</v>
      </c>
      <c r="G180" s="243"/>
      <c r="H180" s="14" t="s">
        <v>172</v>
      </c>
      <c r="I180" s="73" t="s">
        <v>3707</v>
      </c>
      <c r="J180" s="50" t="s">
        <v>176</v>
      </c>
      <c r="K180" s="14" t="s">
        <v>47</v>
      </c>
      <c r="L180" s="14" t="s">
        <v>47</v>
      </c>
      <c r="M180" s="50" t="s">
        <v>3708</v>
      </c>
      <c r="N180" s="14" t="s">
        <v>32</v>
      </c>
      <c r="O180" s="50" t="s">
        <v>3709</v>
      </c>
      <c r="P180" s="135" t="s">
        <v>3711</v>
      </c>
      <c r="Q180" s="14" t="s">
        <v>3712</v>
      </c>
      <c r="R180" s="14" t="s">
        <v>3713</v>
      </c>
      <c r="S180" s="50" t="s">
        <v>3714</v>
      </c>
      <c r="T180" s="14">
        <v>1.0</v>
      </c>
      <c r="U180" s="14">
        <v>0.0</v>
      </c>
      <c r="V180" s="14">
        <v>1.0</v>
      </c>
      <c r="W180" s="14">
        <v>0.0</v>
      </c>
      <c r="X180" s="14" t="s">
        <v>3715</v>
      </c>
      <c r="Y180" s="14" t="s">
        <v>61</v>
      </c>
      <c r="Z180" s="14"/>
      <c r="AA180" s="16"/>
      <c r="AB180" s="16"/>
      <c r="AC180" s="16"/>
      <c r="AD180" s="16"/>
      <c r="AE180" s="16"/>
    </row>
    <row r="181" ht="15.75" customHeight="1">
      <c r="A181" s="14">
        <v>176.0</v>
      </c>
      <c r="B181" s="14" t="s">
        <v>3716</v>
      </c>
      <c r="C181" s="75" t="s">
        <v>3717</v>
      </c>
      <c r="D181" s="146">
        <v>45383.0</v>
      </c>
      <c r="E181" s="167">
        <v>45390.0</v>
      </c>
      <c r="F181" s="75">
        <v>35222.0</v>
      </c>
      <c r="G181" s="14" t="s">
        <v>170</v>
      </c>
      <c r="H181" s="14" t="s">
        <v>140</v>
      </c>
      <c r="I181" s="73" t="s">
        <v>3718</v>
      </c>
      <c r="J181" s="50" t="s">
        <v>637</v>
      </c>
      <c r="K181" s="14" t="s">
        <v>142</v>
      </c>
      <c r="L181" s="14" t="s">
        <v>142</v>
      </c>
      <c r="M181" s="50" t="s">
        <v>3719</v>
      </c>
      <c r="N181" s="14" t="s">
        <v>32</v>
      </c>
      <c r="O181" s="50" t="s">
        <v>3720</v>
      </c>
      <c r="P181" s="50" t="s">
        <v>3721</v>
      </c>
      <c r="Q181" s="14" t="s">
        <v>3722</v>
      </c>
      <c r="R181" s="14">
        <v>9.40186108E8</v>
      </c>
      <c r="S181" s="50" t="s">
        <v>3723</v>
      </c>
      <c r="T181" s="14">
        <v>1.0</v>
      </c>
      <c r="U181" s="14">
        <v>0.0</v>
      </c>
      <c r="V181" s="14">
        <v>3.0</v>
      </c>
      <c r="W181" s="14">
        <v>1.0</v>
      </c>
      <c r="X181" s="14" t="s">
        <v>3724</v>
      </c>
      <c r="Y181" s="14" t="s">
        <v>61</v>
      </c>
      <c r="Z181" s="14"/>
      <c r="AA181" s="16"/>
      <c r="AB181" s="16"/>
      <c r="AC181" s="16"/>
      <c r="AD181" s="16"/>
      <c r="AE181" s="16"/>
    </row>
    <row r="182" ht="15.75" customHeight="1">
      <c r="A182" s="14">
        <v>177.0</v>
      </c>
      <c r="B182" s="14" t="s">
        <v>3726</v>
      </c>
      <c r="C182" s="75" t="s">
        <v>3727</v>
      </c>
      <c r="D182" s="146">
        <v>45393.0</v>
      </c>
      <c r="E182" s="131">
        <v>45397.0</v>
      </c>
      <c r="F182" s="14">
        <v>9068.0</v>
      </c>
      <c r="G182" s="75" t="s">
        <v>84</v>
      </c>
      <c r="H182" s="14" t="s">
        <v>656</v>
      </c>
      <c r="I182" s="73" t="s">
        <v>3729</v>
      </c>
      <c r="J182" s="50" t="s">
        <v>659</v>
      </c>
      <c r="K182" s="14" t="s">
        <v>659</v>
      </c>
      <c r="L182" s="14" t="s">
        <v>663</v>
      </c>
      <c r="M182" s="50" t="s">
        <v>3731</v>
      </c>
      <c r="N182" s="14" t="s">
        <v>69</v>
      </c>
      <c r="O182" s="50" t="s">
        <v>3733</v>
      </c>
      <c r="P182" s="50" t="s">
        <v>3735</v>
      </c>
      <c r="Q182" s="14" t="s">
        <v>3736</v>
      </c>
      <c r="R182" s="14">
        <v>9.392084E8</v>
      </c>
      <c r="S182" s="50" t="s">
        <v>3737</v>
      </c>
      <c r="T182" s="14">
        <v>0.0</v>
      </c>
      <c r="U182" s="14">
        <v>1.0</v>
      </c>
      <c r="V182" s="14">
        <v>6.0</v>
      </c>
      <c r="W182" s="14">
        <v>0.0</v>
      </c>
      <c r="X182" s="14" t="s">
        <v>3739</v>
      </c>
      <c r="Y182" s="14" t="s">
        <v>3740</v>
      </c>
      <c r="Z182" s="50" t="s">
        <v>3741</v>
      </c>
      <c r="AA182" s="16"/>
      <c r="AB182" s="16"/>
      <c r="AC182" s="16"/>
      <c r="AD182" s="16"/>
      <c r="AE182" s="16"/>
    </row>
    <row r="183" ht="15.75" customHeight="1">
      <c r="A183" s="14">
        <v>178.0</v>
      </c>
      <c r="B183" s="14" t="s">
        <v>3743</v>
      </c>
      <c r="C183" s="75" t="s">
        <v>3744</v>
      </c>
      <c r="D183" s="146">
        <v>45387.0</v>
      </c>
      <c r="E183" s="131">
        <v>45394.0</v>
      </c>
      <c r="F183" s="14">
        <v>36519.0</v>
      </c>
      <c r="G183" s="14" t="s">
        <v>170</v>
      </c>
      <c r="H183" s="14" t="s">
        <v>43</v>
      </c>
      <c r="I183" s="73" t="s">
        <v>3747</v>
      </c>
      <c r="J183" s="50" t="s">
        <v>1921</v>
      </c>
      <c r="K183" s="14" t="s">
        <v>47</v>
      </c>
      <c r="L183" s="14" t="s">
        <v>47</v>
      </c>
      <c r="M183" s="14" t="s">
        <v>3749</v>
      </c>
      <c r="N183" s="14" t="s">
        <v>32</v>
      </c>
      <c r="O183" s="16" t="s">
        <v>3750</v>
      </c>
      <c r="P183" s="50" t="s">
        <v>3751</v>
      </c>
      <c r="Q183" s="119" t="s">
        <v>3752</v>
      </c>
      <c r="R183" s="14">
        <v>9.91928687E8</v>
      </c>
      <c r="S183" s="50" t="s">
        <v>3753</v>
      </c>
      <c r="T183" s="14">
        <v>1.0</v>
      </c>
      <c r="U183" s="14">
        <v>0.0</v>
      </c>
      <c r="V183" s="14">
        <v>2.0</v>
      </c>
      <c r="W183" s="14">
        <v>0.0</v>
      </c>
      <c r="X183" s="16" t="s">
        <v>3755</v>
      </c>
      <c r="Y183" s="14" t="s">
        <v>3458</v>
      </c>
      <c r="Z183" s="14"/>
      <c r="AA183" s="16"/>
      <c r="AB183" s="16"/>
      <c r="AC183" s="16"/>
      <c r="AD183" s="16"/>
      <c r="AE183" s="16"/>
    </row>
    <row r="184" ht="15.75" customHeight="1">
      <c r="A184" s="14">
        <v>179.0</v>
      </c>
      <c r="B184" s="14" t="s">
        <v>3756</v>
      </c>
      <c r="C184" s="14" t="s">
        <v>3757</v>
      </c>
      <c r="D184" s="146">
        <v>45392.0</v>
      </c>
      <c r="E184" s="131">
        <v>45394.0</v>
      </c>
      <c r="F184" s="14">
        <v>9067.0</v>
      </c>
      <c r="G184" s="75" t="s">
        <v>84</v>
      </c>
      <c r="H184" s="14" t="s">
        <v>656</v>
      </c>
      <c r="I184" s="73" t="s">
        <v>3758</v>
      </c>
      <c r="J184" s="50" t="s">
        <v>3759</v>
      </c>
      <c r="K184" s="14" t="s">
        <v>3760</v>
      </c>
      <c r="L184" s="14" t="s">
        <v>663</v>
      </c>
      <c r="M184" s="311" t="s">
        <v>3761</v>
      </c>
      <c r="N184" s="14" t="s">
        <v>69</v>
      </c>
      <c r="O184" s="50" t="s">
        <v>3762</v>
      </c>
      <c r="P184" s="50" t="s">
        <v>3763</v>
      </c>
      <c r="Q184" s="14" t="s">
        <v>3764</v>
      </c>
      <c r="R184" s="14">
        <v>9.7663836E8</v>
      </c>
      <c r="S184" s="50" t="s">
        <v>3765</v>
      </c>
      <c r="T184" s="14">
        <v>1.0</v>
      </c>
      <c r="U184" s="14">
        <v>0.0</v>
      </c>
      <c r="V184" s="14">
        <v>5.0</v>
      </c>
      <c r="W184" s="14">
        <v>1.0</v>
      </c>
      <c r="X184" s="14" t="s">
        <v>3766</v>
      </c>
      <c r="Y184" s="50" t="s">
        <v>3767</v>
      </c>
      <c r="Z184" s="14"/>
      <c r="AA184" s="16"/>
      <c r="AB184" s="16"/>
      <c r="AC184" s="16"/>
      <c r="AD184" s="16"/>
      <c r="AE184" s="16"/>
    </row>
    <row r="185" ht="15.75" customHeight="1">
      <c r="A185" s="14">
        <v>180.0</v>
      </c>
      <c r="B185" s="14" t="s">
        <v>3769</v>
      </c>
      <c r="C185" s="14" t="s">
        <v>3770</v>
      </c>
      <c r="D185" s="146">
        <v>45425.0</v>
      </c>
      <c r="E185" s="131">
        <v>45425.0</v>
      </c>
      <c r="F185" s="14">
        <v>12220.0</v>
      </c>
      <c r="G185" s="14" t="s">
        <v>170</v>
      </c>
      <c r="H185" s="14" t="s">
        <v>172</v>
      </c>
      <c r="I185" s="73" t="s">
        <v>3771</v>
      </c>
      <c r="J185" s="50" t="s">
        <v>1939</v>
      </c>
      <c r="K185" s="14" t="s">
        <v>47</v>
      </c>
      <c r="L185" s="14" t="s">
        <v>47</v>
      </c>
      <c r="M185" s="50" t="s">
        <v>3772</v>
      </c>
      <c r="N185" s="14" t="s">
        <v>32</v>
      </c>
      <c r="O185" s="50" t="s">
        <v>3773</v>
      </c>
      <c r="P185" s="50" t="s">
        <v>3774</v>
      </c>
      <c r="Q185" s="14" t="s">
        <v>3173</v>
      </c>
      <c r="R185" s="14"/>
      <c r="S185" s="50" t="s">
        <v>3775</v>
      </c>
      <c r="T185" s="14">
        <v>1.0</v>
      </c>
      <c r="U185" s="14">
        <v>0.0</v>
      </c>
      <c r="V185" s="14">
        <v>3.0</v>
      </c>
      <c r="W185" s="14">
        <v>0.0</v>
      </c>
      <c r="X185" s="14" t="s">
        <v>3777</v>
      </c>
      <c r="Y185" s="14" t="s">
        <v>61</v>
      </c>
      <c r="Z185" s="14"/>
      <c r="AA185" s="16"/>
      <c r="AB185" s="16"/>
      <c r="AC185" s="16"/>
      <c r="AD185" s="16"/>
      <c r="AE185" s="16"/>
    </row>
    <row r="186" ht="15.75" customHeight="1">
      <c r="A186" s="14">
        <v>181.0</v>
      </c>
      <c r="B186" s="14" t="s">
        <v>3779</v>
      </c>
      <c r="C186" s="14" t="s">
        <v>3780</v>
      </c>
      <c r="D186" s="146">
        <v>45401.0</v>
      </c>
      <c r="E186" s="131">
        <v>45405.0</v>
      </c>
      <c r="F186" s="14">
        <v>27358.0</v>
      </c>
      <c r="G186" s="75" t="s">
        <v>84</v>
      </c>
      <c r="H186" s="14" t="s">
        <v>3781</v>
      </c>
      <c r="I186" s="73" t="s">
        <v>3783</v>
      </c>
      <c r="J186" s="50" t="s">
        <v>125</v>
      </c>
      <c r="K186" s="14" t="s">
        <v>125</v>
      </c>
      <c r="L186" s="14" t="s">
        <v>88</v>
      </c>
      <c r="M186" s="16" t="s">
        <v>3785</v>
      </c>
      <c r="N186" s="14" t="s">
        <v>32</v>
      </c>
      <c r="O186" s="50" t="s">
        <v>3786</v>
      </c>
      <c r="P186" s="50" t="s">
        <v>3787</v>
      </c>
      <c r="Q186" s="16" t="s">
        <v>3788</v>
      </c>
      <c r="R186" s="14">
        <v>9.40180313E8</v>
      </c>
      <c r="S186" s="50" t="s">
        <v>3789</v>
      </c>
      <c r="T186" s="14">
        <v>1.0</v>
      </c>
      <c r="U186" s="14">
        <v>3.0</v>
      </c>
      <c r="V186" s="14">
        <v>0.0</v>
      </c>
      <c r="W186" s="14">
        <v>0.0</v>
      </c>
      <c r="X186" s="16" t="s">
        <v>3790</v>
      </c>
      <c r="Y186" s="14" t="s">
        <v>3791</v>
      </c>
      <c r="Z186" s="14"/>
      <c r="AA186" s="16"/>
      <c r="AB186" s="16"/>
      <c r="AC186" s="16"/>
      <c r="AD186" s="16"/>
      <c r="AE186" s="16"/>
    </row>
    <row r="187" ht="15.75" customHeight="1">
      <c r="A187" s="14">
        <v>182.0</v>
      </c>
      <c r="B187" s="14" t="s">
        <v>3793</v>
      </c>
      <c r="C187" s="14" t="s">
        <v>3794</v>
      </c>
      <c r="D187" s="146">
        <v>45432.0</v>
      </c>
      <c r="E187" s="131">
        <v>45434.0</v>
      </c>
      <c r="F187" s="14">
        <v>11396.0</v>
      </c>
      <c r="G187" s="75" t="s">
        <v>84</v>
      </c>
      <c r="H187" s="14" t="s">
        <v>603</v>
      </c>
      <c r="I187" s="80" t="s">
        <v>3795</v>
      </c>
      <c r="J187" s="50" t="s">
        <v>2393</v>
      </c>
      <c r="K187" s="14" t="s">
        <v>2394</v>
      </c>
      <c r="L187" s="14" t="s">
        <v>610</v>
      </c>
      <c r="M187" s="50" t="s">
        <v>3796</v>
      </c>
      <c r="N187" s="14" t="s">
        <v>32</v>
      </c>
      <c r="O187" s="50" t="s">
        <v>3798</v>
      </c>
      <c r="P187" s="50" t="s">
        <v>3799</v>
      </c>
      <c r="Q187" s="14" t="s">
        <v>3800</v>
      </c>
      <c r="R187" s="14">
        <v>9.65405506E8</v>
      </c>
      <c r="S187" s="50" t="s">
        <v>3801</v>
      </c>
      <c r="T187" s="14">
        <v>0.0</v>
      </c>
      <c r="U187" s="14">
        <v>1.0</v>
      </c>
      <c r="V187" s="14">
        <v>2.0</v>
      </c>
      <c r="W187" s="14">
        <v>1.0</v>
      </c>
      <c r="X187" s="14" t="s">
        <v>3802</v>
      </c>
      <c r="Y187" s="14" t="s">
        <v>3791</v>
      </c>
      <c r="Z187" s="14"/>
      <c r="AA187" s="16"/>
      <c r="AB187" s="16"/>
      <c r="AC187" s="16"/>
      <c r="AD187" s="16"/>
      <c r="AE187" s="16"/>
    </row>
    <row r="188" ht="33.0" customHeight="1">
      <c r="A188" s="14">
        <v>183.0</v>
      </c>
      <c r="B188" s="14" t="s">
        <v>3804</v>
      </c>
      <c r="C188" s="14" t="s">
        <v>3805</v>
      </c>
      <c r="D188" s="146">
        <v>45426.0</v>
      </c>
      <c r="E188" s="167">
        <v>45434.0</v>
      </c>
      <c r="F188" s="75">
        <v>34726.0</v>
      </c>
      <c r="G188" s="75" t="s">
        <v>84</v>
      </c>
      <c r="H188" s="14" t="s">
        <v>603</v>
      </c>
      <c r="I188" s="80" t="s">
        <v>3808</v>
      </c>
      <c r="J188" s="50" t="s">
        <v>1815</v>
      </c>
      <c r="K188" s="14" t="s">
        <v>610</v>
      </c>
      <c r="L188" s="14" t="s">
        <v>610</v>
      </c>
      <c r="M188" s="16" t="s">
        <v>3809</v>
      </c>
      <c r="N188" s="14" t="s">
        <v>32</v>
      </c>
      <c r="O188" s="50" t="s">
        <v>3811</v>
      </c>
      <c r="P188" s="50" t="s">
        <v>3812</v>
      </c>
      <c r="Q188" s="16" t="s">
        <v>3813</v>
      </c>
      <c r="R188" s="14">
        <v>9.65162804E8</v>
      </c>
      <c r="S188" s="50" t="s">
        <v>3814</v>
      </c>
      <c r="T188" s="14">
        <v>1.0</v>
      </c>
      <c r="U188" s="14">
        <v>0.0</v>
      </c>
      <c r="V188" s="14">
        <v>4.0</v>
      </c>
      <c r="W188" s="14">
        <v>0.0</v>
      </c>
      <c r="X188" s="16" t="s">
        <v>3816</v>
      </c>
      <c r="Y188" s="14" t="s">
        <v>3791</v>
      </c>
      <c r="Z188" s="14"/>
      <c r="AA188" s="16"/>
      <c r="AB188" s="16"/>
      <c r="AC188" s="16"/>
      <c r="AD188" s="16"/>
      <c r="AE188" s="16"/>
    </row>
    <row r="189" ht="30.75" customHeight="1">
      <c r="A189" s="14">
        <v>184.0</v>
      </c>
      <c r="B189" s="14" t="s">
        <v>3819</v>
      </c>
      <c r="C189" s="14" t="s">
        <v>3821</v>
      </c>
      <c r="D189" s="146">
        <v>45443.0</v>
      </c>
      <c r="E189" s="131">
        <v>45454.0</v>
      </c>
      <c r="F189" s="14">
        <v>12692.0</v>
      </c>
      <c r="G189" s="14" t="s">
        <v>170</v>
      </c>
      <c r="H189" s="14" t="s">
        <v>1807</v>
      </c>
      <c r="I189" s="285" t="s">
        <v>3823</v>
      </c>
      <c r="J189" s="50" t="s">
        <v>477</v>
      </c>
      <c r="K189" s="14" t="s">
        <v>142</v>
      </c>
      <c r="L189" s="14" t="s">
        <v>142</v>
      </c>
      <c r="M189" s="50" t="s">
        <v>3825</v>
      </c>
      <c r="N189" s="14" t="s">
        <v>32</v>
      </c>
      <c r="O189" s="50" t="s">
        <v>3826</v>
      </c>
      <c r="P189" s="50" t="s">
        <v>3827</v>
      </c>
      <c r="Q189" s="14" t="s">
        <v>3828</v>
      </c>
      <c r="R189" s="14"/>
      <c r="S189" s="50" t="s">
        <v>3829</v>
      </c>
      <c r="T189" s="14">
        <v>1.0</v>
      </c>
      <c r="U189" s="14">
        <v>0.0</v>
      </c>
      <c r="V189" s="14">
        <v>2.0</v>
      </c>
      <c r="W189" s="14">
        <v>0.0</v>
      </c>
      <c r="X189" s="14" t="s">
        <v>3830</v>
      </c>
      <c r="Y189" s="14" t="s">
        <v>3791</v>
      </c>
      <c r="Z189" s="14"/>
      <c r="AA189" s="16"/>
      <c r="AB189" s="16"/>
      <c r="AC189" s="16"/>
      <c r="AD189" s="16"/>
      <c r="AE189" s="16"/>
    </row>
    <row r="190" ht="15.75" customHeight="1">
      <c r="A190" s="14">
        <v>185.0</v>
      </c>
      <c r="B190" s="14" t="s">
        <v>3832</v>
      </c>
      <c r="C190" s="14" t="s">
        <v>3833</v>
      </c>
      <c r="D190" s="128">
        <v>45448.0</v>
      </c>
      <c r="E190" s="131">
        <v>45453.0</v>
      </c>
      <c r="F190" s="14">
        <v>9132.0</v>
      </c>
      <c r="G190" s="14" t="s">
        <v>84</v>
      </c>
      <c r="H190" s="14" t="s">
        <v>921</v>
      </c>
      <c r="I190" s="80" t="s">
        <v>3835</v>
      </c>
      <c r="J190" s="50" t="s">
        <v>3838</v>
      </c>
      <c r="K190" s="14" t="s">
        <v>634</v>
      </c>
      <c r="L190" s="14" t="s">
        <v>634</v>
      </c>
      <c r="M190" s="50" t="s">
        <v>3840</v>
      </c>
      <c r="N190" s="14" t="s">
        <v>69</v>
      </c>
      <c r="O190" s="50" t="s">
        <v>3842</v>
      </c>
      <c r="P190" s="196" t="s">
        <v>3845</v>
      </c>
      <c r="Q190" s="14" t="s">
        <v>3852</v>
      </c>
      <c r="R190" s="14" t="s">
        <v>3853</v>
      </c>
      <c r="S190" s="50" t="s">
        <v>3859</v>
      </c>
      <c r="T190" s="14">
        <v>0.0</v>
      </c>
      <c r="U190" s="14">
        <v>1.0</v>
      </c>
      <c r="V190" s="14">
        <v>8.0</v>
      </c>
      <c r="W190" s="14">
        <v>0.0</v>
      </c>
      <c r="X190" s="14" t="s">
        <v>3860</v>
      </c>
      <c r="Y190" s="16" t="s">
        <v>3861</v>
      </c>
      <c r="Z190" s="14"/>
      <c r="AA190" s="16"/>
      <c r="AB190" s="100"/>
      <c r="AC190" s="100"/>
      <c r="AD190" s="16"/>
      <c r="AE190" s="16"/>
    </row>
    <row r="191" ht="28.5" customHeight="1">
      <c r="A191" s="110">
        <v>186.0</v>
      </c>
      <c r="B191" s="110" t="s">
        <v>3862</v>
      </c>
      <c r="C191" s="103" t="s">
        <v>3863</v>
      </c>
      <c r="D191" s="354" t="s">
        <v>3864</v>
      </c>
      <c r="E191" s="249" t="s">
        <v>3865</v>
      </c>
      <c r="F191" s="110">
        <v>34353.0</v>
      </c>
      <c r="G191" s="110" t="s">
        <v>170</v>
      </c>
      <c r="H191" s="110" t="s">
        <v>85</v>
      </c>
      <c r="I191" s="118" t="s">
        <v>3866</v>
      </c>
      <c r="J191" s="103" t="s">
        <v>125</v>
      </c>
      <c r="K191" s="110" t="s">
        <v>125</v>
      </c>
      <c r="L191" s="110"/>
      <c r="M191" s="103" t="s">
        <v>3867</v>
      </c>
      <c r="N191" s="110"/>
      <c r="O191" s="359" t="s">
        <v>3868</v>
      </c>
      <c r="P191" s="103" t="s">
        <v>3870</v>
      </c>
      <c r="Q191" s="110" t="s">
        <v>3871</v>
      </c>
      <c r="R191" s="110" t="s">
        <v>3872</v>
      </c>
      <c r="S191" s="103" t="s">
        <v>3873</v>
      </c>
      <c r="T191" s="110">
        <v>1.0</v>
      </c>
      <c r="U191" s="110">
        <v>0.0</v>
      </c>
      <c r="V191" s="110">
        <v>2.0</v>
      </c>
      <c r="W191" s="110">
        <v>0.0</v>
      </c>
      <c r="X191" s="363" t="s">
        <v>3875</v>
      </c>
      <c r="Y191" s="110" t="s">
        <v>3791</v>
      </c>
      <c r="Z191" s="110"/>
      <c r="AA191" s="100"/>
      <c r="AB191" s="16"/>
      <c r="AC191" s="16"/>
      <c r="AD191" s="100"/>
      <c r="AE191" s="100"/>
    </row>
    <row r="192" ht="15.75" customHeight="1">
      <c r="A192" s="14">
        <v>187.0</v>
      </c>
      <c r="B192" s="14" t="s">
        <v>3879</v>
      </c>
      <c r="C192" s="14" t="s">
        <v>3880</v>
      </c>
      <c r="D192" s="146">
        <v>45491.0</v>
      </c>
      <c r="E192" s="131">
        <v>45497.0</v>
      </c>
      <c r="F192" s="14">
        <v>26080.0</v>
      </c>
      <c r="G192" s="14" t="s">
        <v>170</v>
      </c>
      <c r="H192" s="14" t="s">
        <v>1299</v>
      </c>
      <c r="I192" s="80" t="s">
        <v>3881</v>
      </c>
      <c r="J192" s="50" t="s">
        <v>3041</v>
      </c>
      <c r="K192" s="14" t="s">
        <v>3042</v>
      </c>
      <c r="L192" s="14" t="s">
        <v>586</v>
      </c>
      <c r="M192" s="50" t="s">
        <v>3882</v>
      </c>
      <c r="N192" s="14" t="s">
        <v>32</v>
      </c>
      <c r="O192" s="50" t="s">
        <v>3883</v>
      </c>
      <c r="P192" s="50" t="s">
        <v>3884</v>
      </c>
      <c r="Q192" s="14" t="s">
        <v>3885</v>
      </c>
      <c r="R192" s="14" t="s">
        <v>3886</v>
      </c>
      <c r="S192" s="50" t="s">
        <v>3887</v>
      </c>
      <c r="T192" s="14">
        <v>1.0</v>
      </c>
      <c r="U192" s="14">
        <v>0.0</v>
      </c>
      <c r="V192" s="14">
        <v>0.0</v>
      </c>
      <c r="W192" s="14">
        <v>3.0</v>
      </c>
      <c r="X192" s="14" t="s">
        <v>3888</v>
      </c>
      <c r="Y192" s="14" t="s">
        <v>61</v>
      </c>
      <c r="Z192" s="14"/>
      <c r="AA192" s="16"/>
      <c r="AB192" s="16"/>
      <c r="AC192" s="16"/>
      <c r="AD192" s="16"/>
      <c r="AE192" s="16"/>
    </row>
    <row r="193" ht="30.0" customHeight="1">
      <c r="A193" s="110">
        <v>188.0</v>
      </c>
      <c r="B193" s="110" t="s">
        <v>3889</v>
      </c>
      <c r="C193" s="103" t="s">
        <v>3890</v>
      </c>
      <c r="D193" s="354" t="s">
        <v>3891</v>
      </c>
      <c r="E193" s="249" t="s">
        <v>3892</v>
      </c>
      <c r="F193" s="110">
        <v>11737.0</v>
      </c>
      <c r="G193" s="110" t="s">
        <v>84</v>
      </c>
      <c r="H193" s="110" t="s">
        <v>2273</v>
      </c>
      <c r="I193" s="118" t="s">
        <v>3893</v>
      </c>
      <c r="J193" s="103" t="s">
        <v>2854</v>
      </c>
      <c r="K193" s="110" t="s">
        <v>1466</v>
      </c>
      <c r="L193" s="110"/>
      <c r="M193" s="103" t="s">
        <v>3894</v>
      </c>
      <c r="N193" s="110"/>
      <c r="O193" s="103" t="s">
        <v>3895</v>
      </c>
      <c r="P193" s="103" t="s">
        <v>3896</v>
      </c>
      <c r="Q193" s="110" t="s">
        <v>3897</v>
      </c>
      <c r="R193" s="110">
        <v>9.65865379E8</v>
      </c>
      <c r="S193" s="103" t="s">
        <v>3898</v>
      </c>
      <c r="T193" s="110">
        <v>1.0</v>
      </c>
      <c r="U193" s="110">
        <v>0.0</v>
      </c>
      <c r="V193" s="110">
        <v>3.0</v>
      </c>
      <c r="W193" s="110">
        <v>0.0</v>
      </c>
      <c r="X193" s="110" t="s">
        <v>3900</v>
      </c>
      <c r="Y193" s="110" t="s">
        <v>61</v>
      </c>
      <c r="Z193" s="14"/>
      <c r="AA193" s="16"/>
      <c r="AB193" s="16"/>
      <c r="AC193" s="16"/>
      <c r="AD193" s="16"/>
      <c r="AE193" s="16"/>
    </row>
    <row r="194" ht="15.75" customHeight="1">
      <c r="A194" s="14">
        <v>189.0</v>
      </c>
      <c r="B194" s="14" t="s">
        <v>3902</v>
      </c>
      <c r="C194" s="75" t="s">
        <v>3904</v>
      </c>
      <c r="D194" s="146">
        <v>45469.0</v>
      </c>
      <c r="E194" s="131">
        <v>45481.0</v>
      </c>
      <c r="F194" s="14">
        <v>16794.0</v>
      </c>
      <c r="G194" s="14" t="s">
        <v>170</v>
      </c>
      <c r="H194" s="14" t="s">
        <v>172</v>
      </c>
      <c r="I194" s="80" t="s">
        <v>3906</v>
      </c>
      <c r="J194" s="50" t="s">
        <v>389</v>
      </c>
      <c r="K194" s="14" t="s">
        <v>47</v>
      </c>
      <c r="L194" s="14" t="s">
        <v>47</v>
      </c>
      <c r="M194" s="50" t="s">
        <v>3907</v>
      </c>
      <c r="N194" s="14" t="s">
        <v>32</v>
      </c>
      <c r="O194" s="50" t="s">
        <v>3908</v>
      </c>
      <c r="P194" s="50" t="s">
        <v>3909</v>
      </c>
      <c r="Q194" s="14" t="s">
        <v>3910</v>
      </c>
      <c r="R194" s="14">
        <v>9.43685224E8</v>
      </c>
      <c r="S194" s="50" t="s">
        <v>3911</v>
      </c>
      <c r="T194" s="14">
        <v>1.0</v>
      </c>
      <c r="U194" s="14">
        <v>0.0</v>
      </c>
      <c r="V194" s="14">
        <v>4.0</v>
      </c>
      <c r="W194" s="14">
        <v>0.0</v>
      </c>
      <c r="X194" s="14" t="s">
        <v>3912</v>
      </c>
      <c r="Y194" s="14" t="s">
        <v>61</v>
      </c>
      <c r="Z194" s="14"/>
      <c r="AA194" s="16"/>
      <c r="AB194" s="16"/>
      <c r="AC194" s="16"/>
      <c r="AD194" s="16"/>
      <c r="AE194" s="16"/>
    </row>
    <row r="195" ht="15.75" customHeight="1">
      <c r="A195" s="14">
        <v>190.0</v>
      </c>
      <c r="B195" s="14" t="s">
        <v>3913</v>
      </c>
      <c r="C195" s="75" t="s">
        <v>3914</v>
      </c>
      <c r="D195" s="141">
        <v>45470.0</v>
      </c>
      <c r="E195" s="131">
        <v>45481.0</v>
      </c>
      <c r="F195" s="14">
        <v>8730.0</v>
      </c>
      <c r="G195" s="14" t="s">
        <v>170</v>
      </c>
      <c r="H195" s="14" t="s">
        <v>273</v>
      </c>
      <c r="I195" s="80" t="s">
        <v>3918</v>
      </c>
      <c r="J195" s="50" t="s">
        <v>277</v>
      </c>
      <c r="K195" s="14" t="s">
        <v>277</v>
      </c>
      <c r="L195" s="14" t="s">
        <v>281</v>
      </c>
      <c r="M195" s="50" t="s">
        <v>3919</v>
      </c>
      <c r="N195" s="14" t="s">
        <v>32</v>
      </c>
      <c r="O195" s="50" t="s">
        <v>3920</v>
      </c>
      <c r="P195" s="50" t="s">
        <v>3922</v>
      </c>
      <c r="Q195" s="14" t="s">
        <v>3924</v>
      </c>
      <c r="R195" s="14"/>
      <c r="S195" s="50" t="s">
        <v>3925</v>
      </c>
      <c r="T195" s="14">
        <v>1.0</v>
      </c>
      <c r="U195" s="14">
        <v>0.0</v>
      </c>
      <c r="V195" s="14">
        <v>1.0</v>
      </c>
      <c r="W195" s="14">
        <v>0.0</v>
      </c>
      <c r="X195" s="14" t="s">
        <v>3928</v>
      </c>
      <c r="Y195" s="14" t="s">
        <v>3791</v>
      </c>
      <c r="Z195" s="14"/>
      <c r="AA195" s="16"/>
      <c r="AB195" s="10"/>
      <c r="AC195" s="10"/>
      <c r="AD195" s="16"/>
      <c r="AE195" s="16"/>
    </row>
    <row r="196" ht="15.75" customHeight="1">
      <c r="A196" s="50">
        <v>191.0</v>
      </c>
      <c r="B196" s="50" t="s">
        <v>3929</v>
      </c>
      <c r="C196" s="57" t="s">
        <v>3930</v>
      </c>
      <c r="D196" s="205">
        <v>45506.0</v>
      </c>
      <c r="E196" s="63">
        <v>45525.0</v>
      </c>
      <c r="F196" s="50">
        <v>7688.0</v>
      </c>
      <c r="G196" s="50" t="s">
        <v>170</v>
      </c>
      <c r="H196" s="50" t="s">
        <v>1014</v>
      </c>
      <c r="I196" s="80" t="s">
        <v>3933</v>
      </c>
      <c r="J196" s="50" t="s">
        <v>1022</v>
      </c>
      <c r="K196" s="50" t="s">
        <v>1022</v>
      </c>
      <c r="L196" s="50" t="s">
        <v>1024</v>
      </c>
      <c r="M196" s="50" t="s">
        <v>3934</v>
      </c>
      <c r="N196" s="50" t="s">
        <v>32</v>
      </c>
      <c r="O196" s="50" t="s">
        <v>3935</v>
      </c>
      <c r="P196" s="50" t="s">
        <v>3936</v>
      </c>
      <c r="Q196" s="50" t="s">
        <v>3937</v>
      </c>
      <c r="R196" s="50">
        <v>9.83637581E8</v>
      </c>
      <c r="S196" s="50" t="s">
        <v>3939</v>
      </c>
      <c r="T196" s="50">
        <v>1.0</v>
      </c>
      <c r="U196" s="50">
        <v>0.0</v>
      </c>
      <c r="V196" s="50">
        <v>1.0</v>
      </c>
      <c r="W196" s="50">
        <v>1.0</v>
      </c>
      <c r="X196" s="50" t="s">
        <v>3940</v>
      </c>
      <c r="Y196" s="14" t="s">
        <v>3791</v>
      </c>
      <c r="Z196" s="50"/>
      <c r="AA196" s="10"/>
      <c r="AB196" s="16"/>
      <c r="AC196" s="16"/>
      <c r="AD196" s="10"/>
      <c r="AE196" s="10"/>
    </row>
    <row r="197" ht="15.75" customHeight="1">
      <c r="A197" s="14">
        <v>192.0</v>
      </c>
      <c r="B197" s="50" t="s">
        <v>3943</v>
      </c>
      <c r="C197" s="57" t="s">
        <v>3944</v>
      </c>
      <c r="D197" s="205">
        <v>45525.0</v>
      </c>
      <c r="E197" s="131">
        <v>45530.0</v>
      </c>
      <c r="F197" s="14">
        <v>20674.0</v>
      </c>
      <c r="G197" s="14" t="s">
        <v>170</v>
      </c>
      <c r="H197" s="14" t="s">
        <v>172</v>
      </c>
      <c r="I197" s="153" t="s">
        <v>3945</v>
      </c>
      <c r="J197" s="50" t="s">
        <v>176</v>
      </c>
      <c r="K197" s="14" t="s">
        <v>47</v>
      </c>
      <c r="L197" s="14" t="s">
        <v>47</v>
      </c>
      <c r="M197" s="16" t="s">
        <v>3946</v>
      </c>
      <c r="N197" s="14" t="s">
        <v>32</v>
      </c>
      <c r="O197" s="50" t="s">
        <v>3947</v>
      </c>
      <c r="P197" s="50" t="s">
        <v>3948</v>
      </c>
      <c r="Q197" s="16" t="s">
        <v>3949</v>
      </c>
      <c r="R197" s="14" t="s">
        <v>3950</v>
      </c>
      <c r="S197" s="50" t="s">
        <v>3951</v>
      </c>
      <c r="T197" s="14">
        <v>1.0</v>
      </c>
      <c r="U197" s="14">
        <v>0.0</v>
      </c>
      <c r="V197" s="14">
        <v>2.0</v>
      </c>
      <c r="W197" s="14">
        <v>1.0</v>
      </c>
      <c r="X197" s="14" t="s">
        <v>3952</v>
      </c>
      <c r="Y197" s="14" t="s">
        <v>3791</v>
      </c>
      <c r="Z197" s="14"/>
      <c r="AA197" s="16"/>
      <c r="AB197" s="16"/>
      <c r="AC197" s="16"/>
      <c r="AD197" s="16"/>
      <c r="AE197" s="16"/>
    </row>
    <row r="198" ht="15.75" customHeight="1">
      <c r="A198" s="14">
        <v>193.0</v>
      </c>
      <c r="B198" s="50" t="s">
        <v>3954</v>
      </c>
      <c r="C198" s="57" t="s">
        <v>3955</v>
      </c>
      <c r="D198" s="205">
        <v>45525.0</v>
      </c>
      <c r="E198" s="131">
        <v>45530.0</v>
      </c>
      <c r="F198" s="14">
        <v>30151.0</v>
      </c>
      <c r="G198" s="14" t="s">
        <v>170</v>
      </c>
      <c r="H198" s="14" t="s">
        <v>506</v>
      </c>
      <c r="I198" s="80" t="s">
        <v>3957</v>
      </c>
      <c r="J198" s="50" t="s">
        <v>839</v>
      </c>
      <c r="K198" s="14" t="s">
        <v>839</v>
      </c>
      <c r="L198" s="14" t="s">
        <v>496</v>
      </c>
      <c r="M198" s="50" t="s">
        <v>3960</v>
      </c>
      <c r="N198" s="14" t="s">
        <v>32</v>
      </c>
      <c r="O198" s="50" t="s">
        <v>3961</v>
      </c>
      <c r="P198" s="50" t="s">
        <v>3963</v>
      </c>
      <c r="Q198" s="14" t="s">
        <v>3964</v>
      </c>
      <c r="R198" s="14"/>
      <c r="S198" s="50" t="s">
        <v>3965</v>
      </c>
      <c r="T198" s="14">
        <v>1.0</v>
      </c>
      <c r="U198" s="14">
        <v>0.0</v>
      </c>
      <c r="V198" s="14">
        <v>4.0</v>
      </c>
      <c r="W198" s="14">
        <v>0.0</v>
      </c>
      <c r="X198" s="16" t="s">
        <v>3967</v>
      </c>
      <c r="Y198" s="14" t="s">
        <v>3791</v>
      </c>
      <c r="Z198" s="14"/>
      <c r="AA198" s="16"/>
      <c r="AB198" s="16"/>
      <c r="AC198" s="16"/>
      <c r="AD198" s="16"/>
      <c r="AE198" s="16"/>
    </row>
    <row r="199" ht="15.75" customHeight="1">
      <c r="A199" s="14">
        <v>194.0</v>
      </c>
      <c r="B199" s="14" t="s">
        <v>3968</v>
      </c>
      <c r="C199" s="119" t="s">
        <v>3969</v>
      </c>
      <c r="D199" s="205">
        <v>45525.0</v>
      </c>
      <c r="E199" s="131">
        <v>45530.0</v>
      </c>
      <c r="F199" s="14">
        <v>16291.0</v>
      </c>
      <c r="G199" s="75" t="s">
        <v>84</v>
      </c>
      <c r="H199" s="14" t="s">
        <v>43</v>
      </c>
      <c r="I199" s="80" t="s">
        <v>3970</v>
      </c>
      <c r="J199" s="50" t="s">
        <v>1838</v>
      </c>
      <c r="K199" s="14" t="s">
        <v>47</v>
      </c>
      <c r="L199" s="14" t="s">
        <v>47</v>
      </c>
      <c r="M199" s="50" t="s">
        <v>3971</v>
      </c>
      <c r="N199" s="14" t="s">
        <v>32</v>
      </c>
      <c r="O199" s="50" t="s">
        <v>3972</v>
      </c>
      <c r="P199" s="50"/>
      <c r="Q199" s="14" t="s">
        <v>3973</v>
      </c>
      <c r="R199" s="14">
        <v>9.99852184E8</v>
      </c>
      <c r="S199" s="50" t="s">
        <v>3974</v>
      </c>
      <c r="T199" s="14">
        <v>1.0</v>
      </c>
      <c r="U199" s="14">
        <v>0.0</v>
      </c>
      <c r="V199" s="14">
        <v>2.0</v>
      </c>
      <c r="W199" s="14">
        <v>0.0</v>
      </c>
      <c r="X199" s="14" t="s">
        <v>3977</v>
      </c>
      <c r="Y199" s="14" t="s">
        <v>61</v>
      </c>
      <c r="Z199" s="14"/>
      <c r="AA199" s="16"/>
      <c r="AB199" s="16"/>
      <c r="AC199" s="16"/>
      <c r="AD199" s="16"/>
      <c r="AE199" s="16"/>
    </row>
    <row r="200" ht="15.75" customHeight="1">
      <c r="A200" s="14">
        <v>195.0</v>
      </c>
      <c r="B200" s="14" t="s">
        <v>3979</v>
      </c>
      <c r="C200" s="75" t="s">
        <v>3980</v>
      </c>
      <c r="D200" s="146">
        <v>45531.0</v>
      </c>
      <c r="E200" s="131">
        <v>45532.0</v>
      </c>
      <c r="F200" s="14">
        <v>5314.0</v>
      </c>
      <c r="G200" s="75" t="s">
        <v>84</v>
      </c>
      <c r="H200" s="14" t="s">
        <v>85</v>
      </c>
      <c r="I200" s="80" t="s">
        <v>3983</v>
      </c>
      <c r="J200" s="50" t="s">
        <v>3984</v>
      </c>
      <c r="K200" s="14" t="s">
        <v>3984</v>
      </c>
      <c r="L200" s="14" t="s">
        <v>88</v>
      </c>
      <c r="M200" s="50" t="s">
        <v>3985</v>
      </c>
      <c r="N200" s="14" t="s">
        <v>50</v>
      </c>
      <c r="O200" s="50" t="s">
        <v>3986</v>
      </c>
      <c r="P200" s="50"/>
      <c r="Q200" s="14" t="s">
        <v>3987</v>
      </c>
      <c r="R200" s="14">
        <v>9.72150751E8</v>
      </c>
      <c r="S200" s="50" t="s">
        <v>3988</v>
      </c>
      <c r="T200" s="14">
        <v>1.0</v>
      </c>
      <c r="U200" s="14">
        <v>0.0</v>
      </c>
      <c r="V200" s="14">
        <v>3.0</v>
      </c>
      <c r="W200" s="14">
        <v>1.0</v>
      </c>
      <c r="X200" s="14" t="s">
        <v>3990</v>
      </c>
      <c r="Y200" s="14" t="s">
        <v>61</v>
      </c>
      <c r="Z200" s="14"/>
      <c r="AA200" s="16"/>
      <c r="AB200" s="16"/>
      <c r="AC200" s="16"/>
      <c r="AD200" s="16"/>
      <c r="AE200" s="16"/>
    </row>
    <row r="201" ht="15.75" customHeight="1">
      <c r="A201" s="14">
        <v>196.0</v>
      </c>
      <c r="B201" s="14" t="s">
        <v>3991</v>
      </c>
      <c r="C201" s="75" t="s">
        <v>3992</v>
      </c>
      <c r="D201" s="205">
        <v>45527.0</v>
      </c>
      <c r="E201" s="131">
        <v>45530.0</v>
      </c>
      <c r="F201" s="14">
        <v>34335.0</v>
      </c>
      <c r="G201" s="14" t="s">
        <v>170</v>
      </c>
      <c r="H201" s="14" t="s">
        <v>2066</v>
      </c>
      <c r="I201" s="80" t="s">
        <v>3993</v>
      </c>
      <c r="J201" s="50" t="s">
        <v>126</v>
      </c>
      <c r="K201" s="14" t="s">
        <v>47</v>
      </c>
      <c r="L201" s="14" t="s">
        <v>47</v>
      </c>
      <c r="M201" s="16" t="s">
        <v>3995</v>
      </c>
      <c r="N201" s="14" t="s">
        <v>32</v>
      </c>
      <c r="O201" s="50" t="s">
        <v>3998</v>
      </c>
      <c r="P201" s="50" t="s">
        <v>4000</v>
      </c>
      <c r="Q201" s="14" t="s">
        <v>4001</v>
      </c>
      <c r="R201" s="14">
        <v>9.79066317E8</v>
      </c>
      <c r="S201" s="14" t="s">
        <v>4002</v>
      </c>
      <c r="T201" s="14">
        <v>1.0</v>
      </c>
      <c r="U201" s="14">
        <v>0.0</v>
      </c>
      <c r="V201" s="14">
        <v>3.0</v>
      </c>
      <c r="W201" s="14">
        <v>0.0</v>
      </c>
      <c r="X201" s="16" t="s">
        <v>4003</v>
      </c>
      <c r="Y201" s="14" t="s">
        <v>61</v>
      </c>
      <c r="Z201" s="14"/>
      <c r="AA201" s="16"/>
      <c r="AB201" s="16"/>
      <c r="AC201" s="16"/>
      <c r="AD201" s="16"/>
      <c r="AE201" s="16"/>
    </row>
    <row r="202" ht="15.75" customHeight="1">
      <c r="A202" s="14">
        <v>157.0</v>
      </c>
      <c r="B202" s="14" t="s">
        <v>4005</v>
      </c>
      <c r="C202" s="75" t="s">
        <v>4006</v>
      </c>
      <c r="D202" s="146">
        <v>45302.0</v>
      </c>
      <c r="E202" s="131">
        <v>45309.0</v>
      </c>
      <c r="F202" s="14">
        <v>15963.0</v>
      </c>
      <c r="G202" s="75" t="s">
        <v>84</v>
      </c>
      <c r="H202" s="14" t="s">
        <v>205</v>
      </c>
      <c r="I202" s="80" t="s">
        <v>4009</v>
      </c>
      <c r="J202" s="50" t="s">
        <v>210</v>
      </c>
      <c r="K202" s="14" t="s">
        <v>210</v>
      </c>
      <c r="L202" s="14" t="s">
        <v>210</v>
      </c>
      <c r="M202" s="50" t="s">
        <v>4011</v>
      </c>
      <c r="N202" s="14" t="s">
        <v>32</v>
      </c>
      <c r="O202" s="50" t="s">
        <v>4012</v>
      </c>
      <c r="P202" s="50" t="s">
        <v>4013</v>
      </c>
      <c r="Q202" s="14" t="s">
        <v>4014</v>
      </c>
      <c r="R202" s="14">
        <v>9.56000218E8</v>
      </c>
      <c r="S202" s="50" t="s">
        <v>4015</v>
      </c>
      <c r="T202" s="14">
        <v>1.0</v>
      </c>
      <c r="U202" s="14">
        <v>0.0</v>
      </c>
      <c r="V202" s="14">
        <v>4.0</v>
      </c>
      <c r="W202" s="14">
        <v>0.0</v>
      </c>
      <c r="X202" s="14" t="s">
        <v>4016</v>
      </c>
      <c r="Y202" s="14" t="s">
        <v>61</v>
      </c>
      <c r="Z202" s="14"/>
      <c r="AA202" s="16"/>
      <c r="AB202" s="16"/>
      <c r="AC202" s="16"/>
      <c r="AD202" s="16"/>
      <c r="AE202" s="16"/>
    </row>
    <row r="203" ht="15.75" customHeight="1">
      <c r="A203" s="14">
        <v>198.0</v>
      </c>
      <c r="B203" s="14" t="s">
        <v>4019</v>
      </c>
      <c r="C203" s="75" t="s">
        <v>4020</v>
      </c>
      <c r="D203" s="166">
        <v>45558.0</v>
      </c>
      <c r="E203" s="131">
        <v>45560.0</v>
      </c>
      <c r="F203" s="14">
        <v>23733.0</v>
      </c>
      <c r="G203" s="50" t="s">
        <v>170</v>
      </c>
      <c r="H203" s="14" t="s">
        <v>4023</v>
      </c>
      <c r="I203" s="80" t="s">
        <v>4024</v>
      </c>
      <c r="J203" s="50" t="s">
        <v>4025</v>
      </c>
      <c r="K203" s="14" t="s">
        <v>319</v>
      </c>
      <c r="L203" s="14" t="s">
        <v>322</v>
      </c>
      <c r="M203" s="50" t="s">
        <v>4027</v>
      </c>
      <c r="N203" s="14" t="s">
        <v>32</v>
      </c>
      <c r="O203" s="50" t="s">
        <v>4029</v>
      </c>
      <c r="P203" s="50" t="s">
        <v>4031</v>
      </c>
      <c r="Q203" s="14" t="s">
        <v>4033</v>
      </c>
      <c r="R203" s="14" t="s">
        <v>4034</v>
      </c>
      <c r="S203" s="176" t="s">
        <v>4035</v>
      </c>
      <c r="T203" s="14">
        <v>1.0</v>
      </c>
      <c r="U203" s="14">
        <v>0.0</v>
      </c>
      <c r="V203" s="14">
        <v>3.0</v>
      </c>
      <c r="W203" s="14">
        <v>0.0</v>
      </c>
      <c r="X203" s="16" t="s">
        <v>4037</v>
      </c>
      <c r="Y203" s="14" t="s">
        <v>61</v>
      </c>
      <c r="Z203" s="14"/>
      <c r="AA203" s="16"/>
      <c r="AB203" s="16"/>
      <c r="AC203" s="16"/>
      <c r="AD203" s="16"/>
      <c r="AE203" s="16"/>
    </row>
    <row r="204" ht="15.75" customHeight="1">
      <c r="A204" s="14">
        <v>199.0</v>
      </c>
      <c r="B204" s="14" t="s">
        <v>4039</v>
      </c>
      <c r="C204" s="75" t="s">
        <v>4040</v>
      </c>
      <c r="D204" s="166">
        <v>45562.0</v>
      </c>
      <c r="E204" s="131">
        <v>45566.0</v>
      </c>
      <c r="F204" s="14">
        <v>9319.0</v>
      </c>
      <c r="G204" s="75" t="s">
        <v>84</v>
      </c>
      <c r="H204" s="14" t="s">
        <v>4043</v>
      </c>
      <c r="I204" s="80" t="s">
        <v>4044</v>
      </c>
      <c r="J204" s="50" t="s">
        <v>2587</v>
      </c>
      <c r="K204" s="14" t="s">
        <v>2587</v>
      </c>
      <c r="L204" s="14" t="s">
        <v>1252</v>
      </c>
      <c r="M204" s="50" t="s">
        <v>4045</v>
      </c>
      <c r="N204" s="14" t="s">
        <v>69</v>
      </c>
      <c r="O204" s="50" t="s">
        <v>4046</v>
      </c>
      <c r="P204" s="50"/>
      <c r="Q204" s="14" t="s">
        <v>4047</v>
      </c>
      <c r="R204" s="14">
        <v>9.4172013E8</v>
      </c>
      <c r="S204" s="50" t="s">
        <v>4048</v>
      </c>
      <c r="T204" s="14">
        <v>1.0</v>
      </c>
      <c r="U204" s="14">
        <v>0.0</v>
      </c>
      <c r="V204" s="14">
        <v>9.0</v>
      </c>
      <c r="W204" s="14">
        <v>0.0</v>
      </c>
      <c r="X204" s="14" t="s">
        <v>4052</v>
      </c>
      <c r="Y204" s="14" t="s">
        <v>61</v>
      </c>
      <c r="Z204" s="14"/>
      <c r="AA204" s="16"/>
      <c r="AB204" s="16"/>
      <c r="AC204" s="16"/>
      <c r="AD204" s="16"/>
      <c r="AE204" s="16"/>
    </row>
    <row r="205" ht="15.75" customHeight="1">
      <c r="A205" s="14">
        <v>200.0</v>
      </c>
      <c r="B205" s="14" t="s">
        <v>4057</v>
      </c>
      <c r="C205" s="75" t="s">
        <v>4058</v>
      </c>
      <c r="D205" s="141">
        <v>45574.0</v>
      </c>
      <c r="E205" s="68">
        <v>45576.0</v>
      </c>
      <c r="F205" s="14">
        <v>11978.0</v>
      </c>
      <c r="G205" s="14" t="s">
        <v>170</v>
      </c>
      <c r="H205" s="14" t="s">
        <v>4061</v>
      </c>
      <c r="I205" s="80" t="s">
        <v>4062</v>
      </c>
      <c r="J205" s="50" t="s">
        <v>1978</v>
      </c>
      <c r="K205" s="14" t="s">
        <v>1980</v>
      </c>
      <c r="L205" s="14" t="s">
        <v>1222</v>
      </c>
      <c r="M205" s="50" t="s">
        <v>4064</v>
      </c>
      <c r="N205" s="14" t="s">
        <v>32</v>
      </c>
      <c r="O205" s="50" t="s">
        <v>4065</v>
      </c>
      <c r="P205" s="50" t="s">
        <v>4066</v>
      </c>
      <c r="Q205" s="14" t="s">
        <v>4068</v>
      </c>
      <c r="R205" s="14">
        <v>9.96396642E8</v>
      </c>
      <c r="S205" s="402" t="s">
        <v>4070</v>
      </c>
      <c r="T205" s="14">
        <v>1.0</v>
      </c>
      <c r="U205" s="14">
        <v>0.0</v>
      </c>
      <c r="V205" s="14">
        <v>2.0</v>
      </c>
      <c r="W205" s="14">
        <v>0.0</v>
      </c>
      <c r="X205" s="14" t="s">
        <v>4073</v>
      </c>
      <c r="Y205" s="14" t="s">
        <v>4074</v>
      </c>
      <c r="Z205" s="14"/>
      <c r="AA205" s="16"/>
      <c r="AB205" s="16"/>
      <c r="AC205" s="16"/>
      <c r="AD205" s="16"/>
      <c r="AE205" s="16"/>
    </row>
    <row r="206" ht="15.75" customHeight="1">
      <c r="A206" s="14">
        <v>201.0</v>
      </c>
      <c r="B206" s="14" t="s">
        <v>4076</v>
      </c>
      <c r="C206" s="75" t="s">
        <v>4077</v>
      </c>
      <c r="D206" s="146">
        <v>45568.0</v>
      </c>
      <c r="E206" s="68">
        <v>45575.0</v>
      </c>
      <c r="F206" s="14">
        <v>11995.0</v>
      </c>
      <c r="G206" s="14" t="s">
        <v>170</v>
      </c>
      <c r="H206" s="14" t="s">
        <v>140</v>
      </c>
      <c r="I206" s="80" t="s">
        <v>4084</v>
      </c>
      <c r="J206" s="50" t="s">
        <v>142</v>
      </c>
      <c r="K206" s="14" t="s">
        <v>142</v>
      </c>
      <c r="L206" s="14" t="s">
        <v>142</v>
      </c>
      <c r="M206" s="50" t="s">
        <v>4087</v>
      </c>
      <c r="N206" s="14" t="s">
        <v>32</v>
      </c>
      <c r="O206" s="50" t="s">
        <v>4090</v>
      </c>
      <c r="P206" s="50" t="s">
        <v>4092</v>
      </c>
      <c r="Q206" s="14" t="s">
        <v>4093</v>
      </c>
      <c r="R206" s="14">
        <v>9.66361695E8</v>
      </c>
      <c r="S206" s="50" t="s">
        <v>4094</v>
      </c>
      <c r="T206" s="14">
        <v>1.0</v>
      </c>
      <c r="U206" s="14">
        <v>0.0</v>
      </c>
      <c r="V206" s="14">
        <v>2.0</v>
      </c>
      <c r="W206" s="14">
        <v>0.0</v>
      </c>
      <c r="X206" s="14" t="s">
        <v>4096</v>
      </c>
      <c r="Y206" s="14" t="s">
        <v>61</v>
      </c>
      <c r="Z206" s="14"/>
      <c r="AA206" s="16"/>
      <c r="AB206" s="100"/>
      <c r="AC206" s="100"/>
      <c r="AD206" s="16"/>
      <c r="AE206" s="16"/>
    </row>
    <row r="207" ht="15.75" customHeight="1">
      <c r="A207" s="110">
        <v>202.0</v>
      </c>
      <c r="B207" s="110" t="s">
        <v>4049</v>
      </c>
      <c r="C207" s="110" t="s">
        <v>4050</v>
      </c>
      <c r="D207" s="229">
        <v>45574.0</v>
      </c>
      <c r="E207" s="289">
        <v>45579.0</v>
      </c>
      <c r="F207" s="110" t="s">
        <v>3706</v>
      </c>
      <c r="G207" s="110"/>
      <c r="H207" s="110" t="s">
        <v>43</v>
      </c>
      <c r="I207" s="118" t="s">
        <v>4056</v>
      </c>
      <c r="J207" s="103" t="s">
        <v>1639</v>
      </c>
      <c r="K207" s="110" t="s">
        <v>47</v>
      </c>
      <c r="L207" s="110"/>
      <c r="M207" s="103" t="s">
        <v>4103</v>
      </c>
      <c r="N207" s="110"/>
      <c r="O207" s="103"/>
      <c r="P207" s="103"/>
      <c r="Q207" s="110" t="s">
        <v>4105</v>
      </c>
      <c r="R207" s="110"/>
      <c r="S207" s="103" t="s">
        <v>4109</v>
      </c>
      <c r="T207" s="110">
        <v>1.0</v>
      </c>
      <c r="U207" s="110">
        <v>0.0</v>
      </c>
      <c r="V207" s="110">
        <v>2.0</v>
      </c>
      <c r="W207" s="110">
        <v>0.0</v>
      </c>
      <c r="X207" s="110" t="s">
        <v>4111</v>
      </c>
      <c r="Y207" s="110" t="s">
        <v>61</v>
      </c>
      <c r="Z207" s="110"/>
      <c r="AA207" s="100"/>
      <c r="AB207" s="16"/>
      <c r="AC207" s="16"/>
      <c r="AD207" s="100"/>
      <c r="AE207" s="100"/>
    </row>
    <row r="208" ht="15.75" customHeight="1">
      <c r="A208" s="14">
        <v>203.0</v>
      </c>
      <c r="B208" s="14" t="s">
        <v>4117</v>
      </c>
      <c r="C208" s="14" t="s">
        <v>4118</v>
      </c>
      <c r="D208" s="141">
        <v>45574.0</v>
      </c>
      <c r="E208" s="68">
        <v>45576.0</v>
      </c>
      <c r="F208" s="14">
        <v>9066.0</v>
      </c>
      <c r="G208" s="75" t="s">
        <v>84</v>
      </c>
      <c r="H208" s="14" t="s">
        <v>656</v>
      </c>
      <c r="I208" s="80" t="s">
        <v>4120</v>
      </c>
      <c r="J208" s="50" t="s">
        <v>4122</v>
      </c>
      <c r="K208" s="14" t="s">
        <v>1179</v>
      </c>
      <c r="L208" s="14" t="s">
        <v>663</v>
      </c>
      <c r="M208" s="408" t="s">
        <v>4123</v>
      </c>
      <c r="N208" s="14" t="s">
        <v>69</v>
      </c>
      <c r="O208" s="171" t="s">
        <v>4126</v>
      </c>
      <c r="P208" s="50"/>
      <c r="Q208" s="171" t="s">
        <v>4127</v>
      </c>
      <c r="R208" s="14"/>
      <c r="S208" s="50" t="s">
        <v>4128</v>
      </c>
      <c r="T208" s="14">
        <v>0.0</v>
      </c>
      <c r="U208" s="14">
        <v>1.0</v>
      </c>
      <c r="V208" s="14">
        <v>3.0</v>
      </c>
      <c r="W208" s="14">
        <v>0.0</v>
      </c>
      <c r="X208" s="409" t="s">
        <v>4134</v>
      </c>
      <c r="Y208" s="14" t="s">
        <v>61</v>
      </c>
      <c r="Z208" s="14"/>
      <c r="AA208" s="16"/>
      <c r="AB208" s="16"/>
      <c r="AC208" s="16"/>
      <c r="AD208" s="16"/>
      <c r="AE208" s="16"/>
    </row>
    <row r="209" ht="15.75" customHeight="1">
      <c r="A209" s="14">
        <v>204.0</v>
      </c>
      <c r="B209" s="14" t="s">
        <v>4138</v>
      </c>
      <c r="C209" s="14" t="s">
        <v>4140</v>
      </c>
      <c r="D209" s="141">
        <v>45574.0</v>
      </c>
      <c r="E209" s="68">
        <v>45579.0</v>
      </c>
      <c r="F209" s="14">
        <v>28254.0</v>
      </c>
      <c r="G209" s="14" t="s">
        <v>170</v>
      </c>
      <c r="H209" s="14" t="s">
        <v>1901</v>
      </c>
      <c r="I209" s="80" t="s">
        <v>4143</v>
      </c>
      <c r="J209" s="50" t="s">
        <v>1581</v>
      </c>
      <c r="K209" s="50" t="s">
        <v>1581</v>
      </c>
      <c r="L209" s="14" t="s">
        <v>322</v>
      </c>
      <c r="M209" s="50" t="s">
        <v>4145</v>
      </c>
      <c r="N209" s="14" t="s">
        <v>32</v>
      </c>
      <c r="O209" s="50" t="s">
        <v>4148</v>
      </c>
      <c r="P209" s="50" t="s">
        <v>4149</v>
      </c>
      <c r="Q209" s="14" t="s">
        <v>4151</v>
      </c>
      <c r="R209" s="14">
        <v>9.89355036E8</v>
      </c>
      <c r="S209" s="50" t="s">
        <v>4152</v>
      </c>
      <c r="T209" s="14">
        <v>1.0</v>
      </c>
      <c r="U209" s="14">
        <v>0.0</v>
      </c>
      <c r="V209" s="14">
        <v>5.0</v>
      </c>
      <c r="W209" s="14">
        <v>0.0</v>
      </c>
      <c r="X209" s="14" t="s">
        <v>4154</v>
      </c>
      <c r="Y209" s="14" t="s">
        <v>61</v>
      </c>
      <c r="Z209" s="14"/>
      <c r="AA209" s="16"/>
      <c r="AB209" s="16"/>
      <c r="AC209" s="16"/>
      <c r="AD209" s="16"/>
      <c r="AE209" s="16"/>
    </row>
    <row r="210" ht="15.75" customHeight="1">
      <c r="A210" s="14">
        <v>205.0</v>
      </c>
      <c r="B210" s="14" t="s">
        <v>4157</v>
      </c>
      <c r="C210" s="14" t="s">
        <v>4159</v>
      </c>
      <c r="D210" s="146">
        <v>45574.0</v>
      </c>
      <c r="E210" s="68">
        <v>45579.0</v>
      </c>
      <c r="F210" s="14">
        <v>33263.0</v>
      </c>
      <c r="G210" s="14" t="s">
        <v>170</v>
      </c>
      <c r="H210" s="14" t="s">
        <v>43</v>
      </c>
      <c r="I210" s="80" t="s">
        <v>4160</v>
      </c>
      <c r="J210" s="50" t="s">
        <v>1921</v>
      </c>
      <c r="K210" s="14" t="s">
        <v>47</v>
      </c>
      <c r="L210" s="14" t="s">
        <v>47</v>
      </c>
      <c r="M210" s="50" t="s">
        <v>4161</v>
      </c>
      <c r="N210" s="14" t="s">
        <v>32</v>
      </c>
      <c r="O210" s="50" t="s">
        <v>4163</v>
      </c>
      <c r="P210" s="50" t="s">
        <v>4164</v>
      </c>
      <c r="Q210" s="14" t="s">
        <v>4165</v>
      </c>
      <c r="R210" s="14"/>
      <c r="S210" s="50" t="s">
        <v>4166</v>
      </c>
      <c r="T210" s="14">
        <v>1.0</v>
      </c>
      <c r="U210" s="14">
        <v>0.0</v>
      </c>
      <c r="V210" s="14">
        <v>4.0</v>
      </c>
      <c r="W210" s="14">
        <v>0.0</v>
      </c>
      <c r="X210" s="14" t="s">
        <v>4169</v>
      </c>
      <c r="Y210" s="14" t="s">
        <v>2259</v>
      </c>
      <c r="Z210" s="14" t="s">
        <v>4170</v>
      </c>
      <c r="AA210" s="16"/>
      <c r="AB210" s="16"/>
      <c r="AC210" s="16"/>
      <c r="AD210" s="16"/>
      <c r="AE210" s="16"/>
    </row>
    <row r="211" ht="15.75" customHeight="1">
      <c r="A211" s="14">
        <v>206.0</v>
      </c>
      <c r="B211" s="14" t="s">
        <v>4172</v>
      </c>
      <c r="C211" s="14" t="s">
        <v>4173</v>
      </c>
      <c r="D211" s="183">
        <v>45582.0</v>
      </c>
      <c r="E211" s="68">
        <v>45586.0</v>
      </c>
      <c r="F211" s="14">
        <v>1741.0</v>
      </c>
      <c r="G211" s="14" t="s">
        <v>84</v>
      </c>
      <c r="H211" s="14" t="s">
        <v>2797</v>
      </c>
      <c r="I211" s="80" t="s">
        <v>4174</v>
      </c>
      <c r="J211" s="50" t="s">
        <v>4176</v>
      </c>
      <c r="K211" s="14" t="s">
        <v>4177</v>
      </c>
      <c r="L211" s="14" t="s">
        <v>948</v>
      </c>
      <c r="M211" s="50" t="s">
        <v>4179</v>
      </c>
      <c r="N211" s="14" t="s">
        <v>50</v>
      </c>
      <c r="O211" s="50" t="s">
        <v>4181</v>
      </c>
      <c r="P211" s="50"/>
      <c r="Q211" s="14" t="s">
        <v>4182</v>
      </c>
      <c r="R211" s="14" t="s">
        <v>4183</v>
      </c>
      <c r="S211" s="50" t="s">
        <v>4184</v>
      </c>
      <c r="T211" s="14">
        <v>1.0</v>
      </c>
      <c r="U211" s="14" t="s">
        <v>4186</v>
      </c>
      <c r="V211" s="14">
        <v>3.0</v>
      </c>
      <c r="W211" s="14" t="s">
        <v>4187</v>
      </c>
      <c r="X211" s="14" t="s">
        <v>4188</v>
      </c>
      <c r="Y211" s="14" t="s">
        <v>61</v>
      </c>
      <c r="Z211" s="14"/>
      <c r="AA211" s="16"/>
      <c r="AB211" s="16"/>
      <c r="AC211" s="16"/>
      <c r="AD211" s="16"/>
      <c r="AE211" s="16"/>
    </row>
    <row r="212" ht="15.75" customHeight="1">
      <c r="A212" s="14">
        <v>207.0</v>
      </c>
      <c r="B212" s="14" t="s">
        <v>4190</v>
      </c>
      <c r="C212" s="14" t="s">
        <v>4191</v>
      </c>
      <c r="D212" s="183">
        <v>45582.0</v>
      </c>
      <c r="E212" s="68">
        <v>45586.0</v>
      </c>
      <c r="F212" s="14">
        <v>9748.0</v>
      </c>
      <c r="G212" s="14" t="s">
        <v>84</v>
      </c>
      <c r="H212" s="14" t="s">
        <v>1604</v>
      </c>
      <c r="I212" s="80" t="s">
        <v>4193</v>
      </c>
      <c r="J212" s="50" t="s">
        <v>4194</v>
      </c>
      <c r="K212" s="14" t="s">
        <v>4195</v>
      </c>
      <c r="L212" s="14" t="s">
        <v>1319</v>
      </c>
      <c r="M212" s="50"/>
      <c r="N212" s="14" t="s">
        <v>69</v>
      </c>
      <c r="O212" s="50" t="s">
        <v>4196</v>
      </c>
      <c r="P212" s="50"/>
      <c r="Q212" s="14" t="s">
        <v>4198</v>
      </c>
      <c r="R212" s="14">
        <v>9.58638111E8</v>
      </c>
      <c r="S212" s="50" t="s">
        <v>4199</v>
      </c>
      <c r="T212" s="14">
        <v>1.0</v>
      </c>
      <c r="U212" s="14">
        <v>0.0</v>
      </c>
      <c r="V212" s="14">
        <v>2.0</v>
      </c>
      <c r="W212" s="14">
        <v>0.0</v>
      </c>
      <c r="X212" s="14" t="s">
        <v>4200</v>
      </c>
      <c r="Y212" s="14" t="s">
        <v>61</v>
      </c>
      <c r="Z212" s="14"/>
      <c r="AA212" s="16"/>
      <c r="AB212" s="16"/>
      <c r="AC212" s="16"/>
      <c r="AD212" s="16"/>
      <c r="AE212" s="16"/>
    </row>
    <row r="213" ht="15.75" customHeight="1">
      <c r="A213" s="14">
        <v>208.0</v>
      </c>
      <c r="B213" s="14" t="s">
        <v>4203</v>
      </c>
      <c r="C213" s="14" t="s">
        <v>4205</v>
      </c>
      <c r="D213" s="183">
        <v>45589.0</v>
      </c>
      <c r="E213" s="131">
        <v>45601.0</v>
      </c>
      <c r="F213" s="14">
        <v>11214.0</v>
      </c>
      <c r="G213" s="14" t="s">
        <v>84</v>
      </c>
      <c r="H213" s="14" t="s">
        <v>1014</v>
      </c>
      <c r="I213" s="80" t="s">
        <v>4210</v>
      </c>
      <c r="J213" s="50" t="s">
        <v>1760</v>
      </c>
      <c r="K213" s="14" t="s">
        <v>1760</v>
      </c>
      <c r="L213" s="14" t="s">
        <v>1024</v>
      </c>
      <c r="M213" s="50" t="s">
        <v>4211</v>
      </c>
      <c r="N213" s="14" t="s">
        <v>69</v>
      </c>
      <c r="O213" s="50" t="s">
        <v>4214</v>
      </c>
      <c r="P213" s="50"/>
      <c r="Q213" s="14" t="s">
        <v>4215</v>
      </c>
      <c r="R213" s="14" t="s">
        <v>4216</v>
      </c>
      <c r="S213" s="50" t="s">
        <v>4217</v>
      </c>
      <c r="T213" s="14">
        <v>1.0</v>
      </c>
      <c r="U213" s="14">
        <v>0.0</v>
      </c>
      <c r="V213" s="14">
        <v>3.0</v>
      </c>
      <c r="W213" s="14">
        <v>0.0</v>
      </c>
      <c r="X213" s="14" t="s">
        <v>4219</v>
      </c>
      <c r="Y213" s="14" t="s">
        <v>61</v>
      </c>
      <c r="Z213" s="14"/>
      <c r="AA213" s="16"/>
      <c r="AB213" s="100"/>
      <c r="AC213" s="100"/>
      <c r="AD213" s="16"/>
      <c r="AE213" s="16"/>
    </row>
    <row r="214" ht="15.75" customHeight="1">
      <c r="A214" s="110">
        <v>209.0</v>
      </c>
      <c r="B214" s="110" t="s">
        <v>4220</v>
      </c>
      <c r="C214" s="110" t="s">
        <v>4221</v>
      </c>
      <c r="D214" s="426">
        <v>45593.0</v>
      </c>
      <c r="E214" s="289">
        <v>45596.0</v>
      </c>
      <c r="F214" s="110">
        <v>9089.0</v>
      </c>
      <c r="G214" s="110" t="s">
        <v>170</v>
      </c>
      <c r="H214" s="110" t="s">
        <v>43</v>
      </c>
      <c r="I214" s="118" t="s">
        <v>4227</v>
      </c>
      <c r="J214" s="103" t="s">
        <v>1091</v>
      </c>
      <c r="K214" s="110" t="s">
        <v>47</v>
      </c>
      <c r="L214" s="110"/>
      <c r="M214" s="103" t="s">
        <v>4229</v>
      </c>
      <c r="N214" s="110"/>
      <c r="O214" s="103" t="s">
        <v>4230</v>
      </c>
      <c r="P214" s="103"/>
      <c r="Q214" s="110" t="s">
        <v>4232</v>
      </c>
      <c r="R214" s="110"/>
      <c r="S214" s="103" t="s">
        <v>4234</v>
      </c>
      <c r="T214" s="110">
        <v>1.0</v>
      </c>
      <c r="U214" s="110">
        <v>0.0</v>
      </c>
      <c r="V214" s="110">
        <v>2.0</v>
      </c>
      <c r="W214" s="110">
        <v>0.0</v>
      </c>
      <c r="X214" s="110" t="s">
        <v>4237</v>
      </c>
      <c r="Y214" s="110" t="s">
        <v>61</v>
      </c>
      <c r="Z214" s="110" t="s">
        <v>4238</v>
      </c>
      <c r="AA214" s="100"/>
      <c r="AB214" s="16"/>
      <c r="AC214" s="16"/>
      <c r="AD214" s="100"/>
      <c r="AE214" s="100"/>
    </row>
    <row r="215" ht="15.75" customHeight="1">
      <c r="A215" s="14">
        <v>210.0</v>
      </c>
      <c r="B215" s="14" t="s">
        <v>4240</v>
      </c>
      <c r="C215" s="14" t="s">
        <v>4241</v>
      </c>
      <c r="D215" s="183">
        <v>45593.0</v>
      </c>
      <c r="E215" s="68">
        <v>45596.0</v>
      </c>
      <c r="F215" s="14">
        <v>18769.0</v>
      </c>
      <c r="G215" s="14" t="s">
        <v>170</v>
      </c>
      <c r="H215" s="14" t="s">
        <v>773</v>
      </c>
      <c r="I215" s="80" t="s">
        <v>4244</v>
      </c>
      <c r="J215" s="50" t="s">
        <v>419</v>
      </c>
      <c r="K215" s="14" t="s">
        <v>419</v>
      </c>
      <c r="L215" s="14" t="s">
        <v>419</v>
      </c>
      <c r="M215" s="50" t="s">
        <v>4248</v>
      </c>
      <c r="N215" s="14" t="s">
        <v>32</v>
      </c>
      <c r="O215" s="50" t="s">
        <v>4249</v>
      </c>
      <c r="P215" s="50"/>
      <c r="Q215" s="14" t="s">
        <v>4251</v>
      </c>
      <c r="R215" s="14">
        <v>9.96396642E8</v>
      </c>
      <c r="S215" s="50" t="s">
        <v>4253</v>
      </c>
      <c r="T215" s="14"/>
      <c r="U215" s="14"/>
      <c r="V215" s="14"/>
      <c r="W215" s="14"/>
      <c r="X215" s="14"/>
      <c r="Y215" s="14" t="s">
        <v>61</v>
      </c>
      <c r="Z215" s="14"/>
      <c r="AA215" s="16"/>
      <c r="AB215" s="16"/>
      <c r="AC215" s="16"/>
      <c r="AD215" s="16"/>
      <c r="AE215" s="16"/>
    </row>
    <row r="216" ht="15.75" customHeight="1">
      <c r="A216" s="14">
        <v>211.0</v>
      </c>
      <c r="B216" s="14" t="s">
        <v>4059</v>
      </c>
      <c r="C216" s="14" t="s">
        <v>4060</v>
      </c>
      <c r="D216" s="141">
        <v>45604.0</v>
      </c>
      <c r="E216" s="436">
        <v>45614.0</v>
      </c>
      <c r="F216" s="243" t="s">
        <v>3706</v>
      </c>
      <c r="G216" s="243"/>
      <c r="H216" s="14" t="s">
        <v>43</v>
      </c>
      <c r="I216" s="80" t="s">
        <v>4063</v>
      </c>
      <c r="J216" s="50" t="s">
        <v>717</v>
      </c>
      <c r="K216" s="14" t="s">
        <v>47</v>
      </c>
      <c r="L216" s="14" t="s">
        <v>47</v>
      </c>
      <c r="M216" s="50" t="s">
        <v>4261</v>
      </c>
      <c r="N216" s="14" t="s">
        <v>32</v>
      </c>
      <c r="O216" s="50" t="s">
        <v>4262</v>
      </c>
      <c r="P216" s="50" t="s">
        <v>4263</v>
      </c>
      <c r="Q216" s="50" t="s">
        <v>4264</v>
      </c>
      <c r="R216" s="14">
        <v>9.65378787E8</v>
      </c>
      <c r="S216" s="14" t="s">
        <v>4265</v>
      </c>
      <c r="T216" s="14">
        <v>1.0</v>
      </c>
      <c r="U216" s="14">
        <v>0.0</v>
      </c>
      <c r="V216" s="14">
        <v>4.0</v>
      </c>
      <c r="W216" s="14">
        <v>0.0</v>
      </c>
      <c r="X216" s="14" t="s">
        <v>4269</v>
      </c>
      <c r="Y216" s="135" t="s">
        <v>599</v>
      </c>
      <c r="Z216" s="14"/>
      <c r="AA216" s="16"/>
      <c r="AB216" s="16"/>
      <c r="AC216" s="16"/>
      <c r="AD216" s="16"/>
      <c r="AE216" s="16"/>
    </row>
    <row r="217" ht="18.0" customHeight="1">
      <c r="A217" s="14">
        <v>212.0</v>
      </c>
      <c r="B217" s="14" t="s">
        <v>4274</v>
      </c>
      <c r="C217" s="14" t="s">
        <v>4069</v>
      </c>
      <c r="D217" s="141">
        <v>45604.0</v>
      </c>
      <c r="E217" s="436">
        <v>45614.0</v>
      </c>
      <c r="F217" s="243">
        <v>28029.0</v>
      </c>
      <c r="G217" s="443" t="s">
        <v>2203</v>
      </c>
      <c r="H217" s="14" t="s">
        <v>315</v>
      </c>
      <c r="I217" s="80" t="s">
        <v>4071</v>
      </c>
      <c r="J217" s="50" t="s">
        <v>4276</v>
      </c>
      <c r="K217" s="50" t="s">
        <v>1581</v>
      </c>
      <c r="L217" s="14" t="s">
        <v>322</v>
      </c>
      <c r="M217" s="50" t="s">
        <v>4277</v>
      </c>
      <c r="N217" s="14" t="s">
        <v>32</v>
      </c>
      <c r="O217" s="50" t="s">
        <v>4278</v>
      </c>
      <c r="P217" s="50"/>
      <c r="Q217" s="14"/>
      <c r="R217" s="14"/>
      <c r="S217" s="14"/>
      <c r="T217" s="14"/>
      <c r="U217" s="14"/>
      <c r="V217" s="14"/>
      <c r="W217" s="14"/>
      <c r="X217" s="14"/>
      <c r="Y217" s="14" t="s">
        <v>61</v>
      </c>
      <c r="Z217" s="14"/>
      <c r="AA217" s="16"/>
      <c r="AB217" s="16"/>
      <c r="AC217" s="16"/>
      <c r="AD217" s="16"/>
      <c r="AE217" s="16"/>
    </row>
    <row r="218" ht="15.75" customHeight="1">
      <c r="A218" s="14">
        <v>213.0</v>
      </c>
      <c r="B218" s="14" t="s">
        <v>4279</v>
      </c>
      <c r="C218" s="14" t="s">
        <v>4280</v>
      </c>
      <c r="D218" s="141">
        <v>45604.0</v>
      </c>
      <c r="E218" s="68">
        <v>45614.0</v>
      </c>
      <c r="F218" s="14">
        <v>10777.0</v>
      </c>
      <c r="G218" s="14" t="s">
        <v>84</v>
      </c>
      <c r="H218" s="14" t="s">
        <v>603</v>
      </c>
      <c r="I218" s="80" t="s">
        <v>4282</v>
      </c>
      <c r="J218" s="50" t="s">
        <v>2704</v>
      </c>
      <c r="K218" s="14" t="s">
        <v>2704</v>
      </c>
      <c r="L218" s="14" t="s">
        <v>610</v>
      </c>
      <c r="M218" s="14" t="s">
        <v>4286</v>
      </c>
      <c r="N218" s="14" t="s">
        <v>32</v>
      </c>
      <c r="O218" s="50" t="s">
        <v>4288</v>
      </c>
      <c r="P218" s="50"/>
      <c r="Q218" s="14" t="s">
        <v>4289</v>
      </c>
      <c r="R218" s="14" t="s">
        <v>4290</v>
      </c>
      <c r="S218" s="14" t="s">
        <v>4291</v>
      </c>
      <c r="T218" s="14">
        <v>0.0</v>
      </c>
      <c r="U218" s="14">
        <v>1.0</v>
      </c>
      <c r="V218" s="14">
        <v>3.0</v>
      </c>
      <c r="W218" s="14">
        <v>0.0</v>
      </c>
      <c r="X218" s="14" t="s">
        <v>4294</v>
      </c>
      <c r="Y218" s="14" t="s">
        <v>61</v>
      </c>
      <c r="Z218" s="14"/>
      <c r="AA218" s="16"/>
      <c r="AB218" s="16"/>
      <c r="AC218" s="16"/>
      <c r="AD218" s="16"/>
      <c r="AE218" s="16"/>
    </row>
    <row r="219" ht="30.0" customHeight="1">
      <c r="A219" s="14">
        <v>214.0</v>
      </c>
      <c r="B219" s="14" t="s">
        <v>4072</v>
      </c>
      <c r="C219" s="14" t="s">
        <v>4075</v>
      </c>
      <c r="D219" s="141">
        <v>45609.0</v>
      </c>
      <c r="E219" s="68">
        <v>45617.0</v>
      </c>
      <c r="F219" s="14">
        <v>37119.0</v>
      </c>
      <c r="G219" s="14" t="s">
        <v>170</v>
      </c>
      <c r="H219" s="14" t="s">
        <v>43</v>
      </c>
      <c r="I219" s="168" t="s">
        <v>4078</v>
      </c>
      <c r="J219" s="50" t="s">
        <v>4299</v>
      </c>
      <c r="K219" s="14" t="s">
        <v>47</v>
      </c>
      <c r="L219" s="14" t="s">
        <v>47</v>
      </c>
      <c r="M219" s="14" t="s">
        <v>4301</v>
      </c>
      <c r="N219" s="14" t="s">
        <v>32</v>
      </c>
      <c r="O219" s="14" t="s">
        <v>4302</v>
      </c>
      <c r="P219" s="50" t="s">
        <v>4303</v>
      </c>
      <c r="Q219" s="16" t="s">
        <v>4305</v>
      </c>
      <c r="R219" s="14">
        <v>9.69239149E8</v>
      </c>
      <c r="S219" s="14" t="s">
        <v>4306</v>
      </c>
      <c r="T219" s="14">
        <v>1.0</v>
      </c>
      <c r="U219" s="14">
        <v>0.0</v>
      </c>
      <c r="V219" s="14">
        <v>4.0</v>
      </c>
      <c r="W219" s="14">
        <v>0.0</v>
      </c>
      <c r="X219" s="14" t="s">
        <v>4308</v>
      </c>
      <c r="Y219" s="454" t="s">
        <v>4311</v>
      </c>
      <c r="Z219" s="14"/>
      <c r="AA219" s="16"/>
      <c r="AB219" s="16"/>
      <c r="AC219" s="16"/>
      <c r="AD219" s="16"/>
      <c r="AE219" s="16"/>
    </row>
    <row r="220" ht="15.75" customHeight="1">
      <c r="A220" s="14">
        <v>215.0</v>
      </c>
      <c r="B220" s="14" t="s">
        <v>4316</v>
      </c>
      <c r="C220" s="75" t="s">
        <v>4318</v>
      </c>
      <c r="D220" s="141">
        <v>45617.0</v>
      </c>
      <c r="E220" s="68">
        <v>45624.0</v>
      </c>
      <c r="F220" s="14">
        <v>12219.0</v>
      </c>
      <c r="G220" s="14" t="s">
        <v>170</v>
      </c>
      <c r="H220" s="14" t="s">
        <v>172</v>
      </c>
      <c r="I220" s="80" t="s">
        <v>4319</v>
      </c>
      <c r="J220" s="50" t="s">
        <v>176</v>
      </c>
      <c r="K220" s="14" t="s">
        <v>47</v>
      </c>
      <c r="L220" s="14" t="s">
        <v>47</v>
      </c>
      <c r="M220" s="50" t="s">
        <v>4320</v>
      </c>
      <c r="N220" s="14" t="s">
        <v>32</v>
      </c>
      <c r="O220" s="50" t="s">
        <v>4321</v>
      </c>
      <c r="P220" s="50" t="s">
        <v>4322</v>
      </c>
      <c r="Q220" s="14" t="s">
        <v>4324</v>
      </c>
      <c r="R220" s="14">
        <v>9.43685224E8</v>
      </c>
      <c r="S220" s="14" t="s">
        <v>4326</v>
      </c>
      <c r="T220" s="14">
        <v>1.0</v>
      </c>
      <c r="U220" s="14">
        <v>0.0</v>
      </c>
      <c r="V220" s="14">
        <v>4.0</v>
      </c>
      <c r="W220" s="14">
        <v>0.0</v>
      </c>
      <c r="X220" s="14" t="s">
        <v>4328</v>
      </c>
      <c r="Y220" s="14" t="s">
        <v>61</v>
      </c>
      <c r="Z220" s="14"/>
      <c r="AA220" s="16"/>
      <c r="AB220" s="16"/>
      <c r="AC220" s="16"/>
      <c r="AD220" s="16"/>
      <c r="AE220" s="16"/>
    </row>
    <row r="221" ht="15.75" customHeight="1">
      <c r="A221" s="14">
        <v>216.0</v>
      </c>
      <c r="B221" s="14" t="s">
        <v>4082</v>
      </c>
      <c r="C221" s="75" t="s">
        <v>4086</v>
      </c>
      <c r="D221" s="141">
        <v>45617.0</v>
      </c>
      <c r="E221" s="68">
        <v>45624.0</v>
      </c>
      <c r="F221" s="14">
        <v>35881.0</v>
      </c>
      <c r="G221" s="14" t="s">
        <v>84</v>
      </c>
      <c r="H221" s="14" t="s">
        <v>1234</v>
      </c>
      <c r="I221" s="80" t="s">
        <v>4089</v>
      </c>
      <c r="J221" s="50" t="s">
        <v>4332</v>
      </c>
      <c r="K221" s="14" t="s">
        <v>4091</v>
      </c>
      <c r="L221" s="14" t="s">
        <v>1103</v>
      </c>
      <c r="M221" s="50" t="s">
        <v>4333</v>
      </c>
      <c r="N221" s="14" t="s">
        <v>50</v>
      </c>
      <c r="O221" s="50" t="s">
        <v>4335</v>
      </c>
      <c r="P221" s="50"/>
      <c r="Q221" s="14" t="s">
        <v>4336</v>
      </c>
      <c r="R221" s="14">
        <v>9.8369433E8</v>
      </c>
      <c r="S221" s="14" t="s">
        <v>4337</v>
      </c>
      <c r="T221" s="14">
        <v>1.0</v>
      </c>
      <c r="U221" s="14">
        <v>0.0</v>
      </c>
      <c r="V221" s="14">
        <v>4.0</v>
      </c>
      <c r="W221" s="14">
        <v>0.0</v>
      </c>
      <c r="X221" s="14" t="s">
        <v>4338</v>
      </c>
      <c r="Y221" s="14" t="s">
        <v>61</v>
      </c>
      <c r="Z221" s="14"/>
      <c r="AA221" s="16"/>
      <c r="AB221" s="16"/>
      <c r="AC221" s="16"/>
      <c r="AD221" s="16"/>
      <c r="AE221" s="16"/>
    </row>
    <row r="222" ht="15.75" customHeight="1">
      <c r="A222" s="14">
        <v>217.0</v>
      </c>
      <c r="B222" s="14" t="s">
        <v>4339</v>
      </c>
      <c r="C222" s="75" t="s">
        <v>4340</v>
      </c>
      <c r="D222" s="141">
        <v>45621.0</v>
      </c>
      <c r="E222" s="68">
        <v>45624.0</v>
      </c>
      <c r="F222" s="14">
        <v>10581.0</v>
      </c>
      <c r="G222" s="14" t="s">
        <v>84</v>
      </c>
      <c r="H222" s="14" t="s">
        <v>85</v>
      </c>
      <c r="I222" s="80" t="s">
        <v>4343</v>
      </c>
      <c r="J222" s="50" t="s">
        <v>468</v>
      </c>
      <c r="K222" s="14" t="s">
        <v>125</v>
      </c>
      <c r="L222" s="14" t="s">
        <v>88</v>
      </c>
      <c r="M222" s="50" t="s">
        <v>4345</v>
      </c>
      <c r="N222" s="14" t="s">
        <v>32</v>
      </c>
      <c r="O222" s="50" t="s">
        <v>4346</v>
      </c>
      <c r="P222" s="50"/>
      <c r="Q222" s="14" t="s">
        <v>4347</v>
      </c>
      <c r="R222" s="16">
        <v>9.47421227E8</v>
      </c>
      <c r="S222" s="14" t="s">
        <v>4348</v>
      </c>
      <c r="T222" s="14">
        <v>1.0</v>
      </c>
      <c r="U222" s="14">
        <v>0.0</v>
      </c>
      <c r="V222" s="14">
        <v>5.0</v>
      </c>
      <c r="W222" s="14">
        <v>0.0</v>
      </c>
      <c r="X222" s="14" t="s">
        <v>4349</v>
      </c>
      <c r="Y222" s="14" t="s">
        <v>3791</v>
      </c>
      <c r="Z222" s="14"/>
      <c r="AA222" s="16"/>
      <c r="AB222" s="16"/>
      <c r="AC222" s="16"/>
      <c r="AD222" s="16"/>
      <c r="AE222" s="16"/>
    </row>
    <row r="223" ht="15.75" customHeight="1">
      <c r="A223" s="14">
        <v>218.0</v>
      </c>
      <c r="B223" s="14" t="s">
        <v>4350</v>
      </c>
      <c r="C223" s="75" t="s">
        <v>4351</v>
      </c>
      <c r="D223" s="141">
        <v>45621.0</v>
      </c>
      <c r="E223" s="68">
        <v>45624.0</v>
      </c>
      <c r="F223" s="14">
        <v>11794.0</v>
      </c>
      <c r="G223" s="14" t="s">
        <v>84</v>
      </c>
      <c r="H223" s="14" t="s">
        <v>140</v>
      </c>
      <c r="I223" s="80" t="s">
        <v>4353</v>
      </c>
      <c r="J223" s="50" t="s">
        <v>637</v>
      </c>
      <c r="K223" s="14" t="s">
        <v>142</v>
      </c>
      <c r="L223" s="14" t="s">
        <v>142</v>
      </c>
      <c r="M223" s="50" t="s">
        <v>4355</v>
      </c>
      <c r="N223" s="14" t="s">
        <v>146</v>
      </c>
      <c r="O223" s="50" t="s">
        <v>4358</v>
      </c>
      <c r="P223" s="50" t="s">
        <v>4359</v>
      </c>
      <c r="Q223" s="14" t="s">
        <v>4360</v>
      </c>
      <c r="R223" s="14">
        <v>9.53820756E8</v>
      </c>
      <c r="S223" s="50" t="s">
        <v>4361</v>
      </c>
      <c r="T223" s="14">
        <v>1.0</v>
      </c>
      <c r="U223" s="14">
        <v>0.0</v>
      </c>
      <c r="V223" s="14">
        <v>3.0</v>
      </c>
      <c r="W223" s="14">
        <v>1.0</v>
      </c>
      <c r="X223" s="14" t="s">
        <v>4362</v>
      </c>
      <c r="Y223" s="14" t="s">
        <v>3791</v>
      </c>
      <c r="Z223" s="14"/>
      <c r="AA223" s="16"/>
      <c r="AB223" s="16"/>
      <c r="AC223" s="16"/>
      <c r="AD223" s="16"/>
      <c r="AE223" s="16"/>
    </row>
    <row r="224" ht="15.75" customHeight="1">
      <c r="A224" s="14">
        <v>219.0</v>
      </c>
      <c r="B224" s="14" t="s">
        <v>4364</v>
      </c>
      <c r="C224" s="75" t="s">
        <v>4365</v>
      </c>
      <c r="D224" s="120">
        <v>45645.0</v>
      </c>
      <c r="E224" s="68">
        <v>45653.0</v>
      </c>
      <c r="F224" s="14">
        <v>17563.0</v>
      </c>
      <c r="G224" s="14" t="s">
        <v>84</v>
      </c>
      <c r="H224" s="14" t="s">
        <v>462</v>
      </c>
      <c r="I224" s="80" t="s">
        <v>4367</v>
      </c>
      <c r="J224" s="50" t="s">
        <v>4368</v>
      </c>
      <c r="K224" s="14" t="s">
        <v>4369</v>
      </c>
      <c r="L224" s="14" t="s">
        <v>469</v>
      </c>
      <c r="M224" s="50" t="s">
        <v>4370</v>
      </c>
      <c r="N224" s="14" t="s">
        <v>32</v>
      </c>
      <c r="O224" s="50" t="s">
        <v>4371</v>
      </c>
      <c r="P224" s="50" t="s">
        <v>4372</v>
      </c>
      <c r="Q224" s="14" t="s">
        <v>4373</v>
      </c>
      <c r="R224" s="14">
        <v>9.53527987E8</v>
      </c>
      <c r="S224" s="50" t="s">
        <v>4374</v>
      </c>
      <c r="T224" s="14">
        <v>0.0</v>
      </c>
      <c r="U224" s="14">
        <v>1.0</v>
      </c>
      <c r="V224" s="14">
        <v>3.0</v>
      </c>
      <c r="W224" s="14">
        <v>0.0</v>
      </c>
      <c r="X224" s="14" t="s">
        <v>4375</v>
      </c>
      <c r="Y224" s="14" t="s">
        <v>3791</v>
      </c>
      <c r="Z224" s="14"/>
      <c r="AA224" s="16"/>
      <c r="AB224" s="16"/>
      <c r="AC224" s="16"/>
      <c r="AD224" s="16"/>
      <c r="AE224" s="16"/>
    </row>
    <row r="225" ht="27.0" customHeight="1">
      <c r="A225" s="14">
        <v>220.0</v>
      </c>
      <c r="B225" s="14" t="s">
        <v>4381</v>
      </c>
      <c r="C225" s="75" t="s">
        <v>4383</v>
      </c>
      <c r="D225" s="141">
        <v>45618.0</v>
      </c>
      <c r="E225" s="68">
        <v>45624.0</v>
      </c>
      <c r="F225" s="14">
        <v>18584.0</v>
      </c>
      <c r="G225" s="14" t="s">
        <v>84</v>
      </c>
      <c r="H225" s="14" t="s">
        <v>76</v>
      </c>
      <c r="I225" s="80" t="s">
        <v>4385</v>
      </c>
      <c r="J225" s="50" t="s">
        <v>1200</v>
      </c>
      <c r="K225" s="14" t="s">
        <v>47</v>
      </c>
      <c r="L225" s="14" t="s">
        <v>47</v>
      </c>
      <c r="M225" s="50" t="s">
        <v>4386</v>
      </c>
      <c r="N225" s="14" t="s">
        <v>32</v>
      </c>
      <c r="O225" s="50" t="s">
        <v>4387</v>
      </c>
      <c r="P225" s="50" t="s">
        <v>4388</v>
      </c>
      <c r="Q225" s="14" t="s">
        <v>4389</v>
      </c>
      <c r="R225" s="14"/>
      <c r="S225" s="50" t="s">
        <v>4390</v>
      </c>
      <c r="T225" s="14">
        <v>1.0</v>
      </c>
      <c r="U225" s="14">
        <v>0.0</v>
      </c>
      <c r="V225" s="14">
        <v>4.0</v>
      </c>
      <c r="W225" s="14">
        <v>0.0</v>
      </c>
      <c r="X225" s="14" t="s">
        <v>4391</v>
      </c>
      <c r="Y225" s="14" t="s">
        <v>3791</v>
      </c>
      <c r="Z225" s="14"/>
      <c r="AA225" s="16"/>
      <c r="AB225" s="16"/>
      <c r="AC225" s="16"/>
      <c r="AD225" s="16"/>
      <c r="AE225" s="16"/>
    </row>
    <row r="226" ht="15.75" customHeight="1">
      <c r="A226" s="14">
        <v>221.0</v>
      </c>
      <c r="B226" s="14" t="s">
        <v>4392</v>
      </c>
      <c r="C226" s="75" t="s">
        <v>4393</v>
      </c>
      <c r="D226" s="141">
        <v>45628.0</v>
      </c>
      <c r="E226" s="131">
        <v>45631.0</v>
      </c>
      <c r="F226" s="14">
        <v>11750.0</v>
      </c>
      <c r="G226" s="14" t="s">
        <v>170</v>
      </c>
      <c r="H226" s="14" t="s">
        <v>43</v>
      </c>
      <c r="I226" s="80" t="s">
        <v>4397</v>
      </c>
      <c r="J226" s="50" t="s">
        <v>67</v>
      </c>
      <c r="K226" s="14" t="s">
        <v>47</v>
      </c>
      <c r="L226" s="14" t="s">
        <v>47</v>
      </c>
      <c r="M226" s="50" t="s">
        <v>4399</v>
      </c>
      <c r="N226" s="14" t="s">
        <v>32</v>
      </c>
      <c r="O226" s="50" t="s">
        <v>4400</v>
      </c>
      <c r="P226" s="50"/>
      <c r="Q226" s="14" t="s">
        <v>4403</v>
      </c>
      <c r="R226" s="14">
        <v>9.92029431E8</v>
      </c>
      <c r="S226" s="50"/>
      <c r="T226" s="14"/>
      <c r="U226" s="14"/>
      <c r="V226" s="14"/>
      <c r="W226" s="14"/>
      <c r="X226" s="14"/>
      <c r="Y226" s="14" t="s">
        <v>3791</v>
      </c>
      <c r="Z226" s="14"/>
      <c r="AA226" s="16"/>
      <c r="AB226" s="16"/>
      <c r="AC226" s="16"/>
      <c r="AD226" s="16"/>
      <c r="AE226" s="16"/>
    </row>
    <row r="227" ht="15.75" customHeight="1">
      <c r="A227" s="14">
        <v>222.0</v>
      </c>
      <c r="B227" s="14" t="s">
        <v>4406</v>
      </c>
      <c r="C227" s="75" t="s">
        <v>4407</v>
      </c>
      <c r="D227" s="141">
        <v>45628.0</v>
      </c>
      <c r="E227" s="131">
        <v>45631.0</v>
      </c>
      <c r="F227" s="14">
        <v>11338.0</v>
      </c>
      <c r="G227" s="14" t="s">
        <v>170</v>
      </c>
      <c r="H227" s="14" t="s">
        <v>2988</v>
      </c>
      <c r="I227" s="80" t="s">
        <v>4408</v>
      </c>
      <c r="J227" s="50" t="s">
        <v>1301</v>
      </c>
      <c r="K227" s="14" t="s">
        <v>586</v>
      </c>
      <c r="L227" s="14" t="s">
        <v>586</v>
      </c>
      <c r="M227" s="50" t="s">
        <v>4409</v>
      </c>
      <c r="N227" s="14" t="s">
        <v>32</v>
      </c>
      <c r="O227" s="50" t="s">
        <v>4410</v>
      </c>
      <c r="P227" s="50" t="s">
        <v>4411</v>
      </c>
      <c r="Q227" s="14"/>
      <c r="R227" s="14"/>
      <c r="S227" s="50"/>
      <c r="T227" s="14">
        <v>1.0</v>
      </c>
      <c r="U227" s="14">
        <v>0.0</v>
      </c>
      <c r="V227" s="14"/>
      <c r="W227" s="14">
        <v>0.0</v>
      </c>
      <c r="X227" s="14" t="s">
        <v>4414</v>
      </c>
      <c r="Y227" s="14" t="s">
        <v>61</v>
      </c>
      <c r="Z227" s="14"/>
      <c r="AA227" s="16"/>
      <c r="AB227" s="16"/>
      <c r="AC227" s="16"/>
      <c r="AD227" s="16"/>
      <c r="AE227" s="16"/>
    </row>
    <row r="228" ht="15.75" customHeight="1">
      <c r="A228" s="14">
        <v>223.0</v>
      </c>
      <c r="B228" s="14" t="s">
        <v>4415</v>
      </c>
      <c r="C228" s="75" t="s">
        <v>4416</v>
      </c>
      <c r="D228" s="141">
        <v>45631.0</v>
      </c>
      <c r="E228" s="68">
        <v>45637.0</v>
      </c>
      <c r="F228" s="14">
        <v>34014.0</v>
      </c>
      <c r="G228" s="14" t="s">
        <v>170</v>
      </c>
      <c r="H228" s="14" t="s">
        <v>1299</v>
      </c>
      <c r="I228" s="80" t="s">
        <v>4417</v>
      </c>
      <c r="J228" s="50" t="s">
        <v>2990</v>
      </c>
      <c r="K228" s="14" t="s">
        <v>2990</v>
      </c>
      <c r="L228" s="14" t="s">
        <v>586</v>
      </c>
      <c r="M228" s="50" t="s">
        <v>4418</v>
      </c>
      <c r="N228" s="14" t="s">
        <v>32</v>
      </c>
      <c r="O228" s="50" t="s">
        <v>4419</v>
      </c>
      <c r="P228" s="50" t="s">
        <v>4420</v>
      </c>
      <c r="Q228" s="14" t="s">
        <v>4421</v>
      </c>
      <c r="R228" s="14">
        <v>9.84774748E8</v>
      </c>
      <c r="S228" s="50" t="s">
        <v>4422</v>
      </c>
      <c r="T228" s="14">
        <v>1.0</v>
      </c>
      <c r="U228" s="14">
        <v>0.0</v>
      </c>
      <c r="V228" s="14">
        <v>3.0</v>
      </c>
      <c r="W228" s="14">
        <v>0.0</v>
      </c>
      <c r="X228" s="14" t="s">
        <v>4423</v>
      </c>
      <c r="Y228" s="14" t="s">
        <v>3791</v>
      </c>
      <c r="Z228" s="14"/>
      <c r="AA228" s="16"/>
      <c r="AB228" s="16"/>
      <c r="AC228" s="16"/>
      <c r="AD228" s="16"/>
      <c r="AE228" s="16"/>
    </row>
    <row r="229" ht="15.75" customHeight="1">
      <c r="A229" s="14">
        <v>224.0</v>
      </c>
      <c r="B229" s="14" t="s">
        <v>4427</v>
      </c>
      <c r="C229" s="75" t="s">
        <v>4428</v>
      </c>
      <c r="D229" s="167">
        <v>45652.0</v>
      </c>
      <c r="E229" s="131">
        <v>45674.0</v>
      </c>
      <c r="F229" s="14">
        <v>16192.0</v>
      </c>
      <c r="G229" s="14" t="s">
        <v>170</v>
      </c>
      <c r="H229" s="14" t="s">
        <v>273</v>
      </c>
      <c r="I229" s="80" t="s">
        <v>4429</v>
      </c>
      <c r="J229" s="50" t="s">
        <v>277</v>
      </c>
      <c r="K229" s="14" t="s">
        <v>277</v>
      </c>
      <c r="L229" s="14" t="s">
        <v>281</v>
      </c>
      <c r="M229" s="50" t="s">
        <v>4430</v>
      </c>
      <c r="N229" s="14" t="s">
        <v>32</v>
      </c>
      <c r="O229" s="50" t="s">
        <v>4431</v>
      </c>
      <c r="P229" s="50" t="s">
        <v>4432</v>
      </c>
      <c r="Q229" s="14" t="s">
        <v>4433</v>
      </c>
      <c r="R229" s="14">
        <v>9.3391322E8</v>
      </c>
      <c r="S229" s="50" t="s">
        <v>4434</v>
      </c>
      <c r="T229" s="14">
        <v>1.0</v>
      </c>
      <c r="U229" s="14">
        <v>0.0</v>
      </c>
      <c r="V229" s="14">
        <v>3.0</v>
      </c>
      <c r="W229" s="14">
        <v>0.0</v>
      </c>
      <c r="X229" s="14" t="s">
        <v>4435</v>
      </c>
      <c r="Y229" s="14" t="s">
        <v>61</v>
      </c>
      <c r="Z229" s="14"/>
      <c r="AA229" s="16"/>
      <c r="AB229" s="16"/>
      <c r="AC229" s="16"/>
      <c r="AD229" s="16"/>
      <c r="AE229" s="16"/>
    </row>
    <row r="230" ht="17.25" customHeight="1">
      <c r="A230" s="14">
        <v>226.0</v>
      </c>
      <c r="B230" s="135" t="s">
        <v>4095</v>
      </c>
      <c r="C230" s="75" t="s">
        <v>4097</v>
      </c>
      <c r="D230" s="141">
        <v>45631.0</v>
      </c>
      <c r="E230" s="68">
        <v>45638.0</v>
      </c>
      <c r="F230" s="14">
        <v>36217.0</v>
      </c>
      <c r="G230" s="14" t="s">
        <v>170</v>
      </c>
      <c r="H230" s="14" t="s">
        <v>603</v>
      </c>
      <c r="I230" s="199" t="s">
        <v>4098</v>
      </c>
      <c r="J230" s="50" t="s">
        <v>610</v>
      </c>
      <c r="K230" s="14" t="s">
        <v>610</v>
      </c>
      <c r="L230" s="14" t="s">
        <v>610</v>
      </c>
      <c r="M230" s="16" t="s">
        <v>4439</v>
      </c>
      <c r="N230" s="14" t="s">
        <v>32</v>
      </c>
      <c r="O230" s="50" t="s">
        <v>4440</v>
      </c>
      <c r="P230" s="50" t="s">
        <v>4441</v>
      </c>
      <c r="Q230" s="14" t="s">
        <v>4442</v>
      </c>
      <c r="R230" s="14" t="s">
        <v>4443</v>
      </c>
      <c r="S230" s="50" t="s">
        <v>4445</v>
      </c>
      <c r="T230" s="14">
        <v>1.0</v>
      </c>
      <c r="U230" s="14">
        <v>0.0</v>
      </c>
      <c r="V230" s="14">
        <v>5.0</v>
      </c>
      <c r="W230" s="14">
        <v>0.0</v>
      </c>
      <c r="X230" s="14" t="s">
        <v>4446</v>
      </c>
      <c r="Y230" s="14" t="s">
        <v>3791</v>
      </c>
      <c r="Z230" s="14"/>
      <c r="AA230" s="16"/>
      <c r="AB230" s="16"/>
      <c r="AC230" s="16"/>
      <c r="AD230" s="16"/>
      <c r="AE230" s="16"/>
    </row>
    <row r="231" ht="16.5" customHeight="1">
      <c r="A231" s="14">
        <v>225.0</v>
      </c>
      <c r="B231" s="14" t="s">
        <v>4099</v>
      </c>
      <c r="C231" s="75" t="s">
        <v>4100</v>
      </c>
      <c r="D231" s="141">
        <v>45631.0</v>
      </c>
      <c r="E231" s="436">
        <v>45637.0</v>
      </c>
      <c r="F231" s="243">
        <v>6457.0</v>
      </c>
      <c r="G231" s="243" t="s">
        <v>2525</v>
      </c>
      <c r="H231" s="14" t="s">
        <v>4023</v>
      </c>
      <c r="I231" s="80" t="s">
        <v>4101</v>
      </c>
      <c r="J231" s="50" t="s">
        <v>4102</v>
      </c>
      <c r="K231" s="14" t="s">
        <v>4102</v>
      </c>
      <c r="L231" s="14" t="s">
        <v>322</v>
      </c>
      <c r="M231" s="50" t="s">
        <v>4447</v>
      </c>
      <c r="N231" s="14" t="s">
        <v>50</v>
      </c>
      <c r="O231" s="50" t="s">
        <v>4448</v>
      </c>
      <c r="P231" s="50" t="s">
        <v>4449</v>
      </c>
      <c r="Q231" s="50" t="s">
        <v>4450</v>
      </c>
      <c r="R231" s="14" t="s">
        <v>4451</v>
      </c>
      <c r="S231" s="50" t="s">
        <v>4452</v>
      </c>
      <c r="T231" s="14">
        <v>0.0</v>
      </c>
      <c r="U231" s="14">
        <v>1.0</v>
      </c>
      <c r="V231" s="14">
        <v>3.0</v>
      </c>
      <c r="W231" s="14">
        <v>0.0</v>
      </c>
      <c r="X231" s="14" t="s">
        <v>4455</v>
      </c>
      <c r="Y231" s="14" t="s">
        <v>3791</v>
      </c>
      <c r="Z231" s="14"/>
      <c r="AA231" s="16"/>
      <c r="AB231" s="16"/>
      <c r="AC231" s="16"/>
      <c r="AD231" s="16"/>
      <c r="AE231" s="16"/>
    </row>
    <row r="232" ht="15.75" customHeight="1">
      <c r="A232" s="14">
        <v>227.0</v>
      </c>
      <c r="B232" s="14" t="s">
        <v>4456</v>
      </c>
      <c r="C232" s="75" t="s">
        <v>4457</v>
      </c>
      <c r="D232" s="120">
        <v>45645.0</v>
      </c>
      <c r="E232" s="131">
        <v>45674.0</v>
      </c>
      <c r="F232" s="14">
        <v>32002.0</v>
      </c>
      <c r="G232" s="14" t="s">
        <v>170</v>
      </c>
      <c r="H232" s="14" t="s">
        <v>140</v>
      </c>
      <c r="I232" s="80" t="s">
        <v>4460</v>
      </c>
      <c r="J232" s="50" t="s">
        <v>142</v>
      </c>
      <c r="K232" s="14" t="s">
        <v>142</v>
      </c>
      <c r="L232" s="14" t="s">
        <v>142</v>
      </c>
      <c r="M232" s="50" t="s">
        <v>4087</v>
      </c>
      <c r="N232" s="14" t="s">
        <v>32</v>
      </c>
      <c r="O232" s="50" t="s">
        <v>4461</v>
      </c>
      <c r="P232" s="50" t="s">
        <v>4462</v>
      </c>
      <c r="Q232" s="14" t="s">
        <v>4463</v>
      </c>
      <c r="R232" s="14" t="s">
        <v>4464</v>
      </c>
      <c r="S232" s="50" t="s">
        <v>4465</v>
      </c>
      <c r="T232" s="14">
        <v>1.0</v>
      </c>
      <c r="U232" s="14"/>
      <c r="V232" s="14">
        <v>1.0</v>
      </c>
      <c r="W232" s="14">
        <v>1.0</v>
      </c>
      <c r="X232" s="176" t="s">
        <v>4466</v>
      </c>
      <c r="Y232" s="14" t="s">
        <v>3791</v>
      </c>
      <c r="Z232" s="14"/>
      <c r="AA232" s="16"/>
      <c r="AB232" s="16"/>
      <c r="AC232" s="16"/>
      <c r="AD232" s="16"/>
      <c r="AE232" s="16"/>
    </row>
    <row r="233" ht="15.75" customHeight="1">
      <c r="A233" s="14">
        <v>228.0</v>
      </c>
      <c r="B233" s="14" t="s">
        <v>4467</v>
      </c>
      <c r="C233" s="75" t="s">
        <v>4468</v>
      </c>
      <c r="D233" s="120">
        <v>45653.0</v>
      </c>
      <c r="E233" s="244">
        <v>45663.0</v>
      </c>
      <c r="F233" s="171">
        <v>11339.0</v>
      </c>
      <c r="G233" s="14" t="s">
        <v>170</v>
      </c>
      <c r="H233" s="14" t="s">
        <v>1299</v>
      </c>
      <c r="I233" s="80" t="s">
        <v>4469</v>
      </c>
      <c r="J233" s="50" t="s">
        <v>1301</v>
      </c>
      <c r="K233" s="14" t="s">
        <v>586</v>
      </c>
      <c r="L233" s="14" t="s">
        <v>586</v>
      </c>
      <c r="M233" s="171" t="s">
        <v>4472</v>
      </c>
      <c r="N233" s="14" t="s">
        <v>32</v>
      </c>
      <c r="O233" s="198" t="s">
        <v>4410</v>
      </c>
      <c r="P233" s="50" t="s">
        <v>4411</v>
      </c>
      <c r="Q233" s="14" t="s">
        <v>4474</v>
      </c>
      <c r="R233" s="14">
        <v>9.42886781E8</v>
      </c>
      <c r="S233" s="50"/>
      <c r="T233" s="14">
        <v>1.0</v>
      </c>
      <c r="U233" s="14">
        <v>0.0</v>
      </c>
      <c r="V233" s="14">
        <v>2.0</v>
      </c>
      <c r="W233" s="14">
        <v>0.0</v>
      </c>
      <c r="X233" s="14"/>
      <c r="Y233" s="14" t="s">
        <v>3791</v>
      </c>
      <c r="Z233" s="14"/>
      <c r="AA233" s="16"/>
      <c r="AB233" s="16"/>
      <c r="AC233" s="16"/>
      <c r="AD233" s="16"/>
      <c r="AE233" s="16"/>
    </row>
    <row r="234" ht="15.75" customHeight="1">
      <c r="A234" s="14">
        <v>229.0</v>
      </c>
      <c r="B234" s="14" t="s">
        <v>4476</v>
      </c>
      <c r="C234" s="75" t="s">
        <v>4477</v>
      </c>
      <c r="D234" s="120">
        <v>45645.0</v>
      </c>
      <c r="E234" s="131">
        <v>45666.0</v>
      </c>
      <c r="F234" s="14">
        <v>25061.0</v>
      </c>
      <c r="G234" s="14" t="s">
        <v>170</v>
      </c>
      <c r="H234" s="14" t="s">
        <v>273</v>
      </c>
      <c r="I234" s="80" t="s">
        <v>4478</v>
      </c>
      <c r="J234" s="50" t="s">
        <v>277</v>
      </c>
      <c r="K234" s="14" t="s">
        <v>4479</v>
      </c>
      <c r="L234" s="14" t="s">
        <v>281</v>
      </c>
      <c r="M234" s="50" t="s">
        <v>4480</v>
      </c>
      <c r="N234" s="14" t="s">
        <v>32</v>
      </c>
      <c r="O234" s="50" t="s">
        <v>4481</v>
      </c>
      <c r="P234" s="50"/>
      <c r="Q234" s="14" t="s">
        <v>4482</v>
      </c>
      <c r="R234" s="14"/>
      <c r="S234" s="240" t="s">
        <v>4483</v>
      </c>
      <c r="T234" s="14">
        <v>1.0</v>
      </c>
      <c r="U234" s="14">
        <v>0.0</v>
      </c>
      <c r="V234" s="14">
        <v>2.0</v>
      </c>
      <c r="W234" s="14">
        <v>2.0</v>
      </c>
      <c r="X234" s="14" t="s">
        <v>4484</v>
      </c>
      <c r="Y234" s="14" t="s">
        <v>3791</v>
      </c>
      <c r="Z234" s="14"/>
      <c r="AA234" s="16"/>
      <c r="AB234" s="16"/>
      <c r="AC234" s="16"/>
      <c r="AD234" s="16"/>
      <c r="AE234" s="16"/>
    </row>
    <row r="235" ht="15.0" customHeight="1">
      <c r="A235" s="14">
        <v>230.0</v>
      </c>
      <c r="B235" s="14" t="s">
        <v>4485</v>
      </c>
      <c r="C235" s="75" t="s">
        <v>4486</v>
      </c>
      <c r="D235" s="120">
        <v>45653.0</v>
      </c>
      <c r="E235" s="68">
        <v>45653.0</v>
      </c>
      <c r="F235" s="14">
        <v>13042.0</v>
      </c>
      <c r="G235" s="14" t="s">
        <v>84</v>
      </c>
      <c r="H235" s="14" t="s">
        <v>603</v>
      </c>
      <c r="I235" s="80" t="s">
        <v>4488</v>
      </c>
      <c r="J235" s="50" t="s">
        <v>610</v>
      </c>
      <c r="K235" s="14" t="s">
        <v>610</v>
      </c>
      <c r="L235" s="14" t="s">
        <v>610</v>
      </c>
      <c r="M235" s="153" t="s">
        <v>4489</v>
      </c>
      <c r="N235" s="14" t="s">
        <v>32</v>
      </c>
      <c r="O235" s="50" t="s">
        <v>4490</v>
      </c>
      <c r="P235" s="50" t="s">
        <v>4491</v>
      </c>
      <c r="Q235" s="14" t="s">
        <v>4492</v>
      </c>
      <c r="R235" s="14">
        <v>9.57235484E8</v>
      </c>
      <c r="S235" s="50" t="s">
        <v>4493</v>
      </c>
      <c r="T235" s="14">
        <v>0.0</v>
      </c>
      <c r="U235" s="14">
        <v>1.0</v>
      </c>
      <c r="V235" s="14">
        <v>4.0</v>
      </c>
      <c r="W235" s="14">
        <v>0.0</v>
      </c>
      <c r="X235" s="14" t="s">
        <v>4494</v>
      </c>
      <c r="Y235" s="14" t="s">
        <v>3791</v>
      </c>
      <c r="Z235" s="14"/>
      <c r="AA235" s="16"/>
      <c r="AB235" s="16"/>
      <c r="AC235" s="16"/>
      <c r="AD235" s="16"/>
      <c r="AE235" s="16"/>
    </row>
    <row r="236" ht="15.75" customHeight="1">
      <c r="A236" s="14">
        <v>231.0</v>
      </c>
      <c r="B236" s="14" t="s">
        <v>4495</v>
      </c>
      <c r="C236" s="75" t="s">
        <v>4496</v>
      </c>
      <c r="D236" s="120">
        <v>45652.0</v>
      </c>
      <c r="E236" s="131">
        <v>45674.0</v>
      </c>
      <c r="F236" s="14">
        <v>5263.0</v>
      </c>
      <c r="G236" s="14" t="s">
        <v>84</v>
      </c>
      <c r="H236" s="14" t="s">
        <v>85</v>
      </c>
      <c r="I236" s="80" t="s">
        <v>4499</v>
      </c>
      <c r="J236" s="50" t="s">
        <v>4500</v>
      </c>
      <c r="K236" s="14" t="s">
        <v>4500</v>
      </c>
      <c r="L236" s="14" t="s">
        <v>88</v>
      </c>
      <c r="M236" s="50" t="s">
        <v>4502</v>
      </c>
      <c r="N236" s="14" t="s">
        <v>50</v>
      </c>
      <c r="O236" s="50" t="s">
        <v>4503</v>
      </c>
      <c r="P236" s="50" t="s">
        <v>37</v>
      </c>
      <c r="Q236" s="14" t="s">
        <v>4504</v>
      </c>
      <c r="R236" s="14" t="s">
        <v>4505</v>
      </c>
      <c r="S236" s="50" t="s">
        <v>4506</v>
      </c>
      <c r="T236" s="14">
        <v>1.0</v>
      </c>
      <c r="U236" s="14">
        <v>0.0</v>
      </c>
      <c r="V236" s="14">
        <v>2.0</v>
      </c>
      <c r="W236" s="14">
        <v>4.0</v>
      </c>
      <c r="X236" s="14" t="s">
        <v>4507</v>
      </c>
      <c r="Y236" s="14" t="s">
        <v>3791</v>
      </c>
      <c r="Z236" s="14"/>
      <c r="AA236" s="16"/>
      <c r="AB236" s="16"/>
      <c r="AC236" s="16"/>
      <c r="AD236" s="16"/>
      <c r="AE236" s="16"/>
    </row>
    <row r="237" ht="15.75" customHeight="1">
      <c r="A237" s="14">
        <v>232.0</v>
      </c>
      <c r="B237" s="14" t="s">
        <v>4508</v>
      </c>
      <c r="C237" s="75" t="s">
        <v>4509</v>
      </c>
      <c r="D237" s="141">
        <v>45664.0</v>
      </c>
      <c r="E237" s="131">
        <v>45666.0</v>
      </c>
      <c r="F237" s="14">
        <v>13295.0</v>
      </c>
      <c r="G237" s="14" t="s">
        <v>84</v>
      </c>
      <c r="H237" s="14" t="s">
        <v>140</v>
      </c>
      <c r="I237" s="199" t="s">
        <v>4510</v>
      </c>
      <c r="J237" s="50" t="s">
        <v>4511</v>
      </c>
      <c r="K237" s="14" t="s">
        <v>4512</v>
      </c>
      <c r="L237" s="14" t="s">
        <v>142</v>
      </c>
      <c r="M237" s="50" t="s">
        <v>4513</v>
      </c>
      <c r="N237" s="14" t="s">
        <v>69</v>
      </c>
      <c r="O237" s="50" t="s">
        <v>4514</v>
      </c>
      <c r="P237" s="50" t="s">
        <v>37</v>
      </c>
      <c r="Q237" s="14" t="s">
        <v>4515</v>
      </c>
      <c r="R237" s="14">
        <v>9.56098752E8</v>
      </c>
      <c r="S237" s="50"/>
      <c r="T237" s="14">
        <v>2.0</v>
      </c>
      <c r="U237" s="14">
        <v>0.0</v>
      </c>
      <c r="V237" s="14"/>
      <c r="W237" s="14"/>
      <c r="X237" s="14"/>
      <c r="Y237" s="14" t="s">
        <v>3791</v>
      </c>
      <c r="Z237" s="14"/>
      <c r="AA237" s="16"/>
      <c r="AB237" s="16"/>
      <c r="AC237" s="16"/>
      <c r="AD237" s="16"/>
      <c r="AE237" s="16"/>
    </row>
    <row r="238" ht="15.75" customHeight="1">
      <c r="A238" s="14">
        <v>233.0</v>
      </c>
      <c r="B238" s="14" t="s">
        <v>4518</v>
      </c>
      <c r="C238" s="75" t="s">
        <v>4519</v>
      </c>
      <c r="D238" s="141">
        <v>45664.0</v>
      </c>
      <c r="E238" s="131">
        <v>45666.0</v>
      </c>
      <c r="F238" s="14">
        <v>25930.0</v>
      </c>
      <c r="G238" s="14" t="s">
        <v>170</v>
      </c>
      <c r="H238" s="14" t="s">
        <v>2066</v>
      </c>
      <c r="I238" s="80" t="s">
        <v>4520</v>
      </c>
      <c r="J238" s="50" t="s">
        <v>1639</v>
      </c>
      <c r="K238" s="14" t="s">
        <v>47</v>
      </c>
      <c r="L238" s="14" t="s">
        <v>47</v>
      </c>
      <c r="M238" s="50" t="s">
        <v>4521</v>
      </c>
      <c r="N238" s="14" t="s">
        <v>4522</v>
      </c>
      <c r="O238" s="50" t="s">
        <v>4523</v>
      </c>
      <c r="P238" s="50">
        <v>9.14792776E8</v>
      </c>
      <c r="Q238" s="14" t="s">
        <v>4524</v>
      </c>
      <c r="R238" s="14"/>
      <c r="S238" s="50" t="s">
        <v>4525</v>
      </c>
      <c r="T238" s="14">
        <v>1.0</v>
      </c>
      <c r="U238" s="14">
        <v>0.0</v>
      </c>
      <c r="V238" s="14">
        <v>3.0</v>
      </c>
      <c r="W238" s="14">
        <v>0.0</v>
      </c>
      <c r="X238" s="472" t="s">
        <v>4527</v>
      </c>
      <c r="Y238" s="14" t="s">
        <v>3791</v>
      </c>
      <c r="Z238" s="14"/>
      <c r="AA238" s="16"/>
      <c r="AB238" s="16"/>
      <c r="AC238" s="16"/>
      <c r="AD238" s="16"/>
      <c r="AE238" s="16"/>
    </row>
    <row r="239" ht="15.75" customHeight="1">
      <c r="A239" s="14">
        <v>234.0</v>
      </c>
      <c r="B239" s="14" t="s">
        <v>4104</v>
      </c>
      <c r="C239" s="14" t="s">
        <v>4530</v>
      </c>
      <c r="D239" s="141">
        <v>45698.0</v>
      </c>
      <c r="E239" s="242">
        <v>45706.0</v>
      </c>
      <c r="F239" s="243">
        <v>29564.0</v>
      </c>
      <c r="G239" s="243" t="s">
        <v>2525</v>
      </c>
      <c r="H239" s="14" t="s">
        <v>273</v>
      </c>
      <c r="I239" s="80" t="s">
        <v>4112</v>
      </c>
      <c r="J239" s="50" t="s">
        <v>277</v>
      </c>
      <c r="K239" s="14" t="s">
        <v>277</v>
      </c>
      <c r="L239" s="14" t="s">
        <v>281</v>
      </c>
      <c r="M239" s="240" t="s">
        <v>4531</v>
      </c>
      <c r="N239" s="14" t="s">
        <v>32</v>
      </c>
      <c r="O239" s="223" t="s">
        <v>4532</v>
      </c>
      <c r="P239" s="50" t="s">
        <v>4533</v>
      </c>
      <c r="Q239" s="14" t="s">
        <v>4534</v>
      </c>
      <c r="R239" s="14" t="s">
        <v>4535</v>
      </c>
      <c r="S239" s="50" t="s">
        <v>4536</v>
      </c>
      <c r="T239" s="14">
        <v>1.0</v>
      </c>
      <c r="U239" s="14"/>
      <c r="V239" s="14">
        <v>3.0</v>
      </c>
      <c r="W239" s="14">
        <v>0.0</v>
      </c>
      <c r="X239" s="14" t="s">
        <v>4537</v>
      </c>
      <c r="Y239" s="14" t="s">
        <v>3791</v>
      </c>
      <c r="Z239" s="14"/>
      <c r="AA239" s="16"/>
      <c r="AB239" s="16"/>
      <c r="AC239" s="16"/>
      <c r="AD239" s="16"/>
      <c r="AE239" s="16"/>
    </row>
    <row r="240" ht="15.0" customHeight="1">
      <c r="A240" s="14">
        <v>235.0</v>
      </c>
      <c r="B240" s="14" t="s">
        <v>4538</v>
      </c>
      <c r="C240" s="75" t="s">
        <v>4540</v>
      </c>
      <c r="D240" s="141">
        <v>45684.0</v>
      </c>
      <c r="E240" s="244">
        <v>45685.0</v>
      </c>
      <c r="F240" s="171">
        <v>16721.0</v>
      </c>
      <c r="G240" s="14" t="s">
        <v>84</v>
      </c>
      <c r="H240" s="14" t="s">
        <v>140</v>
      </c>
      <c r="I240" s="241" t="s">
        <v>4542</v>
      </c>
      <c r="J240" s="50" t="s">
        <v>4543</v>
      </c>
      <c r="K240" s="14" t="s">
        <v>4544</v>
      </c>
      <c r="L240" s="14" t="s">
        <v>142</v>
      </c>
      <c r="M240" s="171" t="s">
        <v>4545</v>
      </c>
      <c r="N240" s="14" t="s">
        <v>50</v>
      </c>
      <c r="O240" s="171" t="s">
        <v>4546</v>
      </c>
      <c r="P240" s="50" t="s">
        <v>4547</v>
      </c>
      <c r="Q240" s="14" t="s">
        <v>4548</v>
      </c>
      <c r="R240" s="14">
        <v>9.73554739E8</v>
      </c>
      <c r="S240" s="50" t="s">
        <v>4549</v>
      </c>
      <c r="T240" s="14">
        <v>1.0</v>
      </c>
      <c r="U240" s="14">
        <v>0.0</v>
      </c>
      <c r="V240" s="14">
        <v>0.0</v>
      </c>
      <c r="W240" s="14">
        <v>4.0</v>
      </c>
      <c r="X240" s="171" t="s">
        <v>4550</v>
      </c>
      <c r="Y240" s="14" t="s">
        <v>3791</v>
      </c>
      <c r="Z240" s="14"/>
      <c r="AA240" s="16"/>
      <c r="AB240" s="16"/>
      <c r="AC240" s="16"/>
      <c r="AD240" s="16"/>
      <c r="AE240" s="16"/>
    </row>
    <row r="241" ht="15.75" customHeight="1">
      <c r="A241" s="14">
        <v>236.0</v>
      </c>
      <c r="B241" s="14" t="s">
        <v>4551</v>
      </c>
      <c r="C241" s="75" t="s">
        <v>4552</v>
      </c>
      <c r="D241" s="141">
        <v>45714.0</v>
      </c>
      <c r="E241" s="131">
        <v>45714.0</v>
      </c>
      <c r="F241" s="14">
        <v>12457.0</v>
      </c>
      <c r="G241" s="14" t="s">
        <v>170</v>
      </c>
      <c r="H241" s="14" t="s">
        <v>273</v>
      </c>
      <c r="I241" s="80" t="s">
        <v>4553</v>
      </c>
      <c r="J241" s="50" t="s">
        <v>277</v>
      </c>
      <c r="K241" s="14" t="s">
        <v>277</v>
      </c>
      <c r="L241" s="14" t="s">
        <v>281</v>
      </c>
      <c r="M241" s="50" t="s">
        <v>4554</v>
      </c>
      <c r="N241" s="14" t="s">
        <v>32</v>
      </c>
      <c r="O241" s="50" t="s">
        <v>4555</v>
      </c>
      <c r="P241" s="50" t="s">
        <v>4556</v>
      </c>
      <c r="Q241" s="14" t="s">
        <v>4557</v>
      </c>
      <c r="R241" s="14">
        <v>9.57819547E8</v>
      </c>
      <c r="S241" s="50" t="s">
        <v>4558</v>
      </c>
      <c r="T241" s="14">
        <v>1.0</v>
      </c>
      <c r="U241" s="14">
        <v>0.0</v>
      </c>
      <c r="V241" s="14">
        <v>1.0</v>
      </c>
      <c r="W241" s="14">
        <v>2.0</v>
      </c>
      <c r="X241" s="455" t="s">
        <v>4561</v>
      </c>
      <c r="Y241" s="14" t="s">
        <v>3791</v>
      </c>
      <c r="Z241" s="14"/>
      <c r="AA241" s="16"/>
      <c r="AB241" s="16"/>
      <c r="AC241" s="16"/>
      <c r="AD241" s="16"/>
      <c r="AE241" s="16"/>
    </row>
    <row r="242" ht="22.5" customHeight="1">
      <c r="A242" s="14">
        <v>237.0</v>
      </c>
      <c r="B242" s="14" t="s">
        <v>4114</v>
      </c>
      <c r="C242" s="75" t="s">
        <v>4116</v>
      </c>
      <c r="D242" s="141">
        <v>45714.0</v>
      </c>
      <c r="E242" s="167">
        <v>45714.0</v>
      </c>
      <c r="F242" s="75">
        <v>36868.0</v>
      </c>
      <c r="G242" s="75" t="s">
        <v>170</v>
      </c>
      <c r="H242" s="14" t="s">
        <v>43</v>
      </c>
      <c r="I242" s="80" t="s">
        <v>4119</v>
      </c>
      <c r="J242" s="50" t="s">
        <v>1639</v>
      </c>
      <c r="K242" s="14" t="s">
        <v>47</v>
      </c>
      <c r="L242" s="14" t="s">
        <v>47</v>
      </c>
      <c r="M242" s="50" t="s">
        <v>4563</v>
      </c>
      <c r="N242" s="14" t="s">
        <v>32</v>
      </c>
      <c r="O242" s="50" t="s">
        <v>4564</v>
      </c>
      <c r="P242" s="50" t="s">
        <v>37</v>
      </c>
      <c r="Q242" s="14" t="s">
        <v>4565</v>
      </c>
      <c r="R242" s="14">
        <v>9.91928687E8</v>
      </c>
      <c r="S242" s="50" t="s">
        <v>4566</v>
      </c>
      <c r="T242" s="14">
        <v>1.0</v>
      </c>
      <c r="U242" s="14">
        <v>0.0</v>
      </c>
      <c r="V242" s="14">
        <v>2.0</v>
      </c>
      <c r="W242" s="14">
        <v>0.0</v>
      </c>
      <c r="X242" s="217" t="s">
        <v>4567</v>
      </c>
      <c r="Y242" s="14" t="s">
        <v>3791</v>
      </c>
      <c r="Z242" s="14"/>
      <c r="AA242" s="16"/>
      <c r="AB242" s="16"/>
      <c r="AC242" s="16"/>
      <c r="AD242" s="16"/>
      <c r="AE242" s="16"/>
    </row>
    <row r="243" ht="21.0" customHeight="1">
      <c r="A243" s="14">
        <v>238.0</v>
      </c>
      <c r="B243" s="14" t="s">
        <v>4570</v>
      </c>
      <c r="C243" s="75" t="s">
        <v>4571</v>
      </c>
      <c r="D243" s="141">
        <v>45722.0</v>
      </c>
      <c r="E243" s="474">
        <v>45722.0</v>
      </c>
      <c r="F243" s="440">
        <v>25573.0</v>
      </c>
      <c r="G243" s="14" t="s">
        <v>170</v>
      </c>
      <c r="H243" s="14" t="s">
        <v>153</v>
      </c>
      <c r="I243" s="80" t="s">
        <v>4574</v>
      </c>
      <c r="J243" s="50" t="s">
        <v>2844</v>
      </c>
      <c r="K243" s="14" t="s">
        <v>717</v>
      </c>
      <c r="L243" s="14" t="s">
        <v>47</v>
      </c>
      <c r="M243" s="50" t="s">
        <v>4575</v>
      </c>
      <c r="N243" s="14" t="s">
        <v>32</v>
      </c>
      <c r="O243" s="50" t="s">
        <v>4576</v>
      </c>
      <c r="P243" s="50" t="s">
        <v>37</v>
      </c>
      <c r="Q243" s="14" t="s">
        <v>4577</v>
      </c>
      <c r="R243" s="14" t="s">
        <v>4578</v>
      </c>
      <c r="S243" s="50" t="s">
        <v>4579</v>
      </c>
      <c r="T243" s="14">
        <v>1.0</v>
      </c>
      <c r="U243" s="14">
        <v>0.0</v>
      </c>
      <c r="V243" s="14">
        <v>2.0</v>
      </c>
      <c r="W243" s="14">
        <v>0.0</v>
      </c>
      <c r="X243" s="158" t="s">
        <v>4580</v>
      </c>
      <c r="Y243" s="14" t="s">
        <v>3791</v>
      </c>
      <c r="Z243" s="14"/>
      <c r="AA243" s="16"/>
      <c r="AB243" s="100"/>
      <c r="AC243" s="100"/>
      <c r="AD243" s="16"/>
      <c r="AE243" s="16"/>
    </row>
    <row r="244" ht="36.75" customHeight="1">
      <c r="A244" s="75">
        <v>239.0</v>
      </c>
      <c r="B244" s="75" t="s">
        <v>4581</v>
      </c>
      <c r="C244" s="75" t="s">
        <v>4583</v>
      </c>
      <c r="D244" s="141">
        <v>45726.0</v>
      </c>
      <c r="E244" s="244">
        <v>45728.0</v>
      </c>
      <c r="F244" s="171">
        <v>23022.0</v>
      </c>
      <c r="G244" s="14" t="s">
        <v>170</v>
      </c>
      <c r="H244" s="14" t="s">
        <v>43</v>
      </c>
      <c r="I244" s="475" t="s">
        <v>4585</v>
      </c>
      <c r="J244" s="57" t="s">
        <v>2618</v>
      </c>
      <c r="K244" s="75" t="s">
        <v>47</v>
      </c>
      <c r="L244" s="14" t="s">
        <v>47</v>
      </c>
      <c r="M244" s="171" t="s">
        <v>4586</v>
      </c>
      <c r="N244" s="75" t="s">
        <v>32</v>
      </c>
      <c r="O244" s="57" t="s">
        <v>4588</v>
      </c>
      <c r="P244" s="57" t="s">
        <v>4589</v>
      </c>
      <c r="Q244" s="171" t="s">
        <v>4590</v>
      </c>
      <c r="R244" s="75">
        <v>9.4981056E8</v>
      </c>
      <c r="S244" s="57" t="s">
        <v>4591</v>
      </c>
      <c r="T244" s="75">
        <v>1.0</v>
      </c>
      <c r="U244" s="75">
        <v>0.0</v>
      </c>
      <c r="V244" s="75">
        <v>5.0</v>
      </c>
      <c r="W244" s="75">
        <v>0.0</v>
      </c>
      <c r="X244" s="171" t="s">
        <v>4592</v>
      </c>
      <c r="Y244" s="75" t="s">
        <v>61</v>
      </c>
      <c r="Z244" s="75"/>
      <c r="AA244" s="100"/>
      <c r="AB244" s="16"/>
      <c r="AC244" s="16"/>
      <c r="AD244" s="100"/>
      <c r="AE244" s="100"/>
    </row>
    <row r="245" ht="15.75" customHeight="1">
      <c r="A245" s="75">
        <v>240.0</v>
      </c>
      <c r="B245" s="14" t="s">
        <v>4124</v>
      </c>
      <c r="C245" s="75" t="s">
        <v>4125</v>
      </c>
      <c r="D245" s="141">
        <v>45726.0</v>
      </c>
      <c r="E245" s="242">
        <v>45728.0</v>
      </c>
      <c r="F245" s="243">
        <v>36405.0</v>
      </c>
      <c r="G245" s="243" t="s">
        <v>2525</v>
      </c>
      <c r="H245" s="14" t="s">
        <v>603</v>
      </c>
      <c r="I245" s="80" t="s">
        <v>4130</v>
      </c>
      <c r="J245" s="50" t="s">
        <v>1815</v>
      </c>
      <c r="K245" s="14" t="s">
        <v>610</v>
      </c>
      <c r="L245" s="14" t="s">
        <v>610</v>
      </c>
      <c r="M245" s="50" t="s">
        <v>4593</v>
      </c>
      <c r="N245" s="14" t="s">
        <v>50</v>
      </c>
      <c r="O245" s="50" t="s">
        <v>4594</v>
      </c>
      <c r="P245" s="50" t="s">
        <v>37</v>
      </c>
      <c r="Q245" s="136" t="s">
        <v>4595</v>
      </c>
      <c r="R245" s="14">
        <v>9.9151731E8</v>
      </c>
      <c r="S245" s="50" t="s">
        <v>4596</v>
      </c>
      <c r="T245" s="14">
        <v>1.0</v>
      </c>
      <c r="U245" s="14">
        <v>0.0</v>
      </c>
      <c r="V245" s="14">
        <v>5.0</v>
      </c>
      <c r="W245" s="14">
        <v>0.0</v>
      </c>
      <c r="X245" s="240" t="s">
        <v>4597</v>
      </c>
      <c r="Y245" s="14" t="s">
        <v>4598</v>
      </c>
      <c r="Z245" s="14"/>
      <c r="AA245" s="16"/>
      <c r="AB245" s="16"/>
      <c r="AC245" s="16"/>
      <c r="AD245" s="16"/>
      <c r="AE245" s="16"/>
    </row>
    <row r="246" ht="15.75" customHeight="1">
      <c r="A246" s="14">
        <v>241.0</v>
      </c>
      <c r="B246" s="14" t="s">
        <v>4599</v>
      </c>
      <c r="C246" s="75" t="s">
        <v>4600</v>
      </c>
      <c r="D246" s="141">
        <v>45728.0</v>
      </c>
      <c r="E246" s="131">
        <v>45733.0</v>
      </c>
      <c r="F246" s="14">
        <v>9288.0</v>
      </c>
      <c r="G246" s="14" t="s">
        <v>170</v>
      </c>
      <c r="H246" s="14" t="s">
        <v>43</v>
      </c>
      <c r="I246" s="80" t="s">
        <v>4601</v>
      </c>
      <c r="J246" s="50" t="s">
        <v>126</v>
      </c>
      <c r="K246" s="14" t="s">
        <v>47</v>
      </c>
      <c r="L246" s="14" t="s">
        <v>47</v>
      </c>
      <c r="M246" s="50" t="s">
        <v>4602</v>
      </c>
      <c r="N246" s="14" t="s">
        <v>32</v>
      </c>
      <c r="O246" s="50" t="s">
        <v>4603</v>
      </c>
      <c r="P246" s="50" t="s">
        <v>4604</v>
      </c>
      <c r="Q246" s="14" t="s">
        <v>4605</v>
      </c>
      <c r="R246" s="14">
        <v>9.39637332E8</v>
      </c>
      <c r="S246" s="50" t="s">
        <v>4606</v>
      </c>
      <c r="T246" s="14">
        <v>1.0</v>
      </c>
      <c r="U246" s="14">
        <v>0.0</v>
      </c>
      <c r="V246" s="14">
        <v>3.0</v>
      </c>
      <c r="W246" s="14"/>
      <c r="X246" s="14"/>
      <c r="Y246" s="14"/>
      <c r="Z246" s="14"/>
      <c r="AA246" s="16"/>
      <c r="AB246" s="16"/>
      <c r="AC246" s="16"/>
      <c r="AD246" s="16"/>
      <c r="AE246" s="16"/>
    </row>
    <row r="247" ht="15.75" customHeight="1">
      <c r="A247" s="14">
        <v>242.0</v>
      </c>
      <c r="B247" s="14" t="s">
        <v>4607</v>
      </c>
      <c r="C247" s="75" t="s">
        <v>4608</v>
      </c>
      <c r="D247" s="141">
        <v>45733.0</v>
      </c>
      <c r="E247" s="131">
        <v>45735.0</v>
      </c>
      <c r="F247" s="14">
        <v>3494.0</v>
      </c>
      <c r="G247" s="14" t="s">
        <v>84</v>
      </c>
      <c r="H247" s="14" t="s">
        <v>1566</v>
      </c>
      <c r="I247" s="80" t="s">
        <v>4610</v>
      </c>
      <c r="J247" s="50" t="s">
        <v>4611</v>
      </c>
      <c r="K247" s="14" t="s">
        <v>4611</v>
      </c>
      <c r="L247" s="14" t="s">
        <v>1293</v>
      </c>
      <c r="M247" s="50" t="s">
        <v>4612</v>
      </c>
      <c r="N247" s="14" t="s">
        <v>50</v>
      </c>
      <c r="O247" s="50" t="s">
        <v>4613</v>
      </c>
      <c r="P247" s="50"/>
      <c r="Q247" s="136" t="s">
        <v>4614</v>
      </c>
      <c r="R247" s="136">
        <v>9.92958179E8</v>
      </c>
      <c r="S247" s="50" t="s">
        <v>4615</v>
      </c>
      <c r="T247" s="136">
        <v>1.0</v>
      </c>
      <c r="U247" s="14">
        <v>0.0</v>
      </c>
      <c r="V247" s="14">
        <v>0.0</v>
      </c>
      <c r="W247" s="14">
        <v>4.0</v>
      </c>
      <c r="X247" s="14" t="s">
        <v>4616</v>
      </c>
      <c r="Y247" s="136" t="s">
        <v>4617</v>
      </c>
      <c r="Z247" s="14"/>
      <c r="AA247" s="16"/>
      <c r="AB247" s="16"/>
      <c r="AC247" s="16"/>
      <c r="AD247" s="16"/>
      <c r="AE247" s="16"/>
    </row>
    <row r="248" ht="15.75" customHeight="1">
      <c r="A248" s="14">
        <v>243.0</v>
      </c>
      <c r="B248" s="14" t="s">
        <v>4618</v>
      </c>
      <c r="C248" s="75" t="s">
        <v>4619</v>
      </c>
      <c r="D248" s="141">
        <v>45736.0</v>
      </c>
      <c r="E248" s="131">
        <v>45741.0</v>
      </c>
      <c r="F248" s="14">
        <v>34737.0</v>
      </c>
      <c r="G248" s="14" t="s">
        <v>170</v>
      </c>
      <c r="H248" s="14" t="s">
        <v>1807</v>
      </c>
      <c r="I248" s="80" t="s">
        <v>4620</v>
      </c>
      <c r="J248" s="50" t="s">
        <v>4511</v>
      </c>
      <c r="K248" s="14" t="s">
        <v>4512</v>
      </c>
      <c r="L248" s="14" t="s">
        <v>142</v>
      </c>
      <c r="M248" s="50" t="s">
        <v>4622</v>
      </c>
      <c r="N248" s="14" t="s">
        <v>50</v>
      </c>
      <c r="O248" s="50" t="s">
        <v>4625</v>
      </c>
      <c r="P248" s="50">
        <v>9.59928688E8</v>
      </c>
      <c r="Q248" s="14" t="s">
        <v>4626</v>
      </c>
      <c r="R248" s="14">
        <v>9.8780468E8</v>
      </c>
      <c r="S248" s="50" t="s">
        <v>4627</v>
      </c>
      <c r="T248" s="14">
        <v>1.0</v>
      </c>
      <c r="U248" s="14">
        <v>0.0</v>
      </c>
      <c r="V248" s="14">
        <v>3.0</v>
      </c>
      <c r="W248" s="14">
        <v>1.0</v>
      </c>
      <c r="X248" s="14" t="s">
        <v>4630</v>
      </c>
      <c r="Y248" s="14" t="s">
        <v>61</v>
      </c>
      <c r="Z248" s="14"/>
      <c r="AA248" s="16"/>
      <c r="AB248" s="16"/>
      <c r="AC248" s="16"/>
      <c r="AD248" s="16"/>
      <c r="AE248" s="16"/>
    </row>
    <row r="249" ht="15.75" customHeight="1">
      <c r="A249" s="75">
        <v>244.0</v>
      </c>
      <c r="B249" s="14" t="s">
        <v>4631</v>
      </c>
      <c r="C249" s="75" t="s">
        <v>4632</v>
      </c>
      <c r="D249" s="141">
        <v>45740.0</v>
      </c>
      <c r="E249" s="131">
        <v>45742.0</v>
      </c>
      <c r="F249" s="14">
        <v>18670.0</v>
      </c>
      <c r="G249" s="14" t="s">
        <v>170</v>
      </c>
      <c r="H249" s="14" t="s">
        <v>235</v>
      </c>
      <c r="I249" s="80" t="s">
        <v>4633</v>
      </c>
      <c r="J249" s="50" t="s">
        <v>876</v>
      </c>
      <c r="K249" s="14" t="s">
        <v>240</v>
      </c>
      <c r="L249" s="14" t="s">
        <v>240</v>
      </c>
      <c r="M249" s="50" t="s">
        <v>4634</v>
      </c>
      <c r="N249" s="14" t="s">
        <v>32</v>
      </c>
      <c r="O249" s="50" t="s">
        <v>4635</v>
      </c>
      <c r="P249" s="50" t="s">
        <v>4636</v>
      </c>
      <c r="Q249" s="136" t="s">
        <v>4637</v>
      </c>
      <c r="R249" s="136">
        <v>9.89222047E8</v>
      </c>
      <c r="S249" s="113" t="s">
        <v>4638</v>
      </c>
      <c r="T249" s="14">
        <v>1.0</v>
      </c>
      <c r="U249" s="14">
        <v>0.0</v>
      </c>
      <c r="V249" s="14">
        <v>4.0</v>
      </c>
      <c r="W249" s="14">
        <v>0.0</v>
      </c>
      <c r="X249" s="14"/>
      <c r="Y249" s="14" t="s">
        <v>61</v>
      </c>
      <c r="Z249" s="14"/>
      <c r="AA249" s="16"/>
      <c r="AB249" s="16"/>
      <c r="AC249" s="16"/>
      <c r="AD249" s="16"/>
      <c r="AE249" s="16"/>
    </row>
    <row r="250" ht="15.75" customHeight="1">
      <c r="A250" s="14">
        <v>245.0</v>
      </c>
      <c r="B250" s="14" t="s">
        <v>4639</v>
      </c>
      <c r="C250" s="75" t="s">
        <v>4640</v>
      </c>
      <c r="D250" s="141">
        <v>45749.0</v>
      </c>
      <c r="E250" s="131">
        <v>45755.0</v>
      </c>
      <c r="F250" s="14">
        <v>26800.0</v>
      </c>
      <c r="G250" s="14" t="s">
        <v>170</v>
      </c>
      <c r="H250" s="14" t="s">
        <v>43</v>
      </c>
      <c r="I250" s="80" t="s">
        <v>4644</v>
      </c>
      <c r="J250" s="50" t="s">
        <v>4645</v>
      </c>
      <c r="K250" s="14" t="s">
        <v>4646</v>
      </c>
      <c r="L250" s="14" t="s">
        <v>47</v>
      </c>
      <c r="M250" s="50" t="s">
        <v>4647</v>
      </c>
      <c r="N250" s="14" t="s">
        <v>32</v>
      </c>
      <c r="O250" s="50" t="s">
        <v>4648</v>
      </c>
      <c r="P250" s="50" t="s">
        <v>4649</v>
      </c>
      <c r="Q250" s="14" t="s">
        <v>4650</v>
      </c>
      <c r="R250" s="14" t="s">
        <v>4651</v>
      </c>
      <c r="S250" s="50" t="s">
        <v>4652</v>
      </c>
      <c r="T250" s="14">
        <v>1.0</v>
      </c>
      <c r="U250" s="14">
        <v>0.0</v>
      </c>
      <c r="V250" s="14">
        <v>3.0</v>
      </c>
      <c r="W250" s="14">
        <v>0.0</v>
      </c>
      <c r="X250" s="14" t="s">
        <v>4654</v>
      </c>
      <c r="Y250" s="14" t="s">
        <v>61</v>
      </c>
      <c r="Z250" s="14"/>
      <c r="AA250" s="16"/>
      <c r="AB250" s="16"/>
      <c r="AC250" s="16"/>
      <c r="AD250" s="16"/>
      <c r="AE250" s="16"/>
    </row>
    <row r="251" ht="15.75" customHeight="1">
      <c r="A251" s="14">
        <v>246.0</v>
      </c>
      <c r="B251" s="14" t="s">
        <v>4656</v>
      </c>
      <c r="C251" s="75" t="s">
        <v>4657</v>
      </c>
      <c r="D251" s="141">
        <v>45743.0</v>
      </c>
      <c r="E251" s="131">
        <v>45749.0</v>
      </c>
      <c r="F251" s="14">
        <v>17393.0</v>
      </c>
      <c r="G251" s="14" t="s">
        <v>84</v>
      </c>
      <c r="H251" s="14" t="s">
        <v>462</v>
      </c>
      <c r="I251" s="80" t="s">
        <v>4659</v>
      </c>
      <c r="J251" s="50" t="s">
        <v>4660</v>
      </c>
      <c r="K251" s="14" t="s">
        <v>470</v>
      </c>
      <c r="L251" s="14" t="s">
        <v>469</v>
      </c>
      <c r="M251" s="50" t="s">
        <v>4661</v>
      </c>
      <c r="N251" s="14" t="s">
        <v>50</v>
      </c>
      <c r="O251" s="50" t="s">
        <v>4662</v>
      </c>
      <c r="P251" s="50" t="s">
        <v>4663</v>
      </c>
      <c r="Q251" s="14" t="s">
        <v>4664</v>
      </c>
      <c r="R251" s="14" t="s">
        <v>4665</v>
      </c>
      <c r="S251" s="50" t="s">
        <v>4666</v>
      </c>
      <c r="T251" s="14">
        <v>0.0</v>
      </c>
      <c r="U251" s="14">
        <v>1.0</v>
      </c>
      <c r="V251" s="14">
        <v>3.0</v>
      </c>
      <c r="W251" s="14">
        <v>0.0</v>
      </c>
      <c r="X251" s="14" t="s">
        <v>4668</v>
      </c>
      <c r="Y251" s="14" t="s">
        <v>61</v>
      </c>
      <c r="Z251" s="14"/>
      <c r="AA251" s="16"/>
      <c r="AB251" s="16"/>
      <c r="AC251" s="16"/>
      <c r="AD251" s="16"/>
      <c r="AE251" s="16"/>
    </row>
    <row r="252" ht="15.75" customHeight="1">
      <c r="A252" s="14">
        <v>247.0</v>
      </c>
      <c r="B252" s="14" t="s">
        <v>4669</v>
      </c>
      <c r="C252" s="75" t="s">
        <v>4670</v>
      </c>
      <c r="D252" s="141">
        <v>45758.0</v>
      </c>
      <c r="E252" s="131">
        <v>45768.0</v>
      </c>
      <c r="F252" s="14">
        <v>8519.0</v>
      </c>
      <c r="G252" s="14" t="s">
        <v>84</v>
      </c>
      <c r="H252" s="14" t="s">
        <v>153</v>
      </c>
      <c r="I252" s="80" t="s">
        <v>4672</v>
      </c>
      <c r="J252" s="50" t="s">
        <v>1589</v>
      </c>
      <c r="K252" s="14" t="s">
        <v>47</v>
      </c>
      <c r="L252" s="14" t="s">
        <v>47</v>
      </c>
      <c r="M252" s="224" t="s">
        <v>4673</v>
      </c>
      <c r="N252" s="14" t="s">
        <v>32</v>
      </c>
      <c r="O252" s="50" t="s">
        <v>4674</v>
      </c>
      <c r="P252" s="50"/>
      <c r="Q252" s="14" t="s">
        <v>4676</v>
      </c>
      <c r="R252" s="14"/>
      <c r="S252" s="50" t="s">
        <v>4677</v>
      </c>
      <c r="T252" s="14">
        <v>1.0</v>
      </c>
      <c r="U252" s="14">
        <v>0.0</v>
      </c>
      <c r="V252" s="14">
        <v>5.0</v>
      </c>
      <c r="W252" s="14">
        <v>0.0</v>
      </c>
      <c r="X252" s="14" t="s">
        <v>4680</v>
      </c>
      <c r="Y252" s="14" t="s">
        <v>61</v>
      </c>
      <c r="Z252" s="14"/>
      <c r="AA252" s="16"/>
      <c r="AB252" s="100"/>
      <c r="AC252" s="100"/>
      <c r="AD252" s="16"/>
      <c r="AE252" s="16"/>
    </row>
    <row r="253" ht="15.75" customHeight="1">
      <c r="A253" s="110">
        <v>248.0</v>
      </c>
      <c r="B253" s="110" t="s">
        <v>4315</v>
      </c>
      <c r="C253" s="103" t="s">
        <v>4683</v>
      </c>
      <c r="D253" s="103" t="s">
        <v>4684</v>
      </c>
      <c r="E253" s="266">
        <v>45789.0</v>
      </c>
      <c r="F253" s="110">
        <v>34785.0</v>
      </c>
      <c r="G253" s="110" t="s">
        <v>84</v>
      </c>
      <c r="H253" s="110" t="s">
        <v>1566</v>
      </c>
      <c r="I253" s="118" t="s">
        <v>4687</v>
      </c>
      <c r="J253" s="103" t="s">
        <v>1569</v>
      </c>
      <c r="K253" s="110" t="s">
        <v>1570</v>
      </c>
      <c r="L253" s="110"/>
      <c r="M253" s="105" t="s">
        <v>4689</v>
      </c>
      <c r="N253" s="110"/>
      <c r="O253" s="103" t="s">
        <v>4691</v>
      </c>
      <c r="P253" s="103" t="s">
        <v>4692</v>
      </c>
      <c r="Q253" s="110" t="s">
        <v>4693</v>
      </c>
      <c r="R253" s="110" t="s">
        <v>4694</v>
      </c>
      <c r="S253" s="103" t="s">
        <v>4695</v>
      </c>
      <c r="T253" s="110">
        <v>1.0</v>
      </c>
      <c r="U253" s="110">
        <v>0.0</v>
      </c>
      <c r="V253" s="110">
        <v>1.0</v>
      </c>
      <c r="W253" s="110">
        <v>0.0</v>
      </c>
      <c r="X253" s="110" t="s">
        <v>4698</v>
      </c>
      <c r="Y253" s="110" t="s">
        <v>61</v>
      </c>
      <c r="Z253" s="110"/>
      <c r="AA253" s="100"/>
      <c r="AB253" s="16"/>
      <c r="AC253" s="16"/>
      <c r="AD253" s="100"/>
      <c r="AE253" s="100"/>
    </row>
    <row r="254" ht="47.25" customHeight="1">
      <c r="A254" s="14">
        <v>249.0</v>
      </c>
      <c r="B254" s="14" t="s">
        <v>4701</v>
      </c>
      <c r="C254" s="163" t="s">
        <v>4702</v>
      </c>
      <c r="D254" s="141">
        <v>45762.0</v>
      </c>
      <c r="E254" s="131">
        <v>45768.0</v>
      </c>
      <c r="F254" s="14">
        <v>12267.0</v>
      </c>
      <c r="G254" s="14" t="s">
        <v>170</v>
      </c>
      <c r="H254" s="14" t="s">
        <v>43</v>
      </c>
      <c r="I254" s="80" t="s">
        <v>4705</v>
      </c>
      <c r="J254" s="50" t="s">
        <v>818</v>
      </c>
      <c r="K254" s="14" t="s">
        <v>47</v>
      </c>
      <c r="L254" s="14" t="s">
        <v>47</v>
      </c>
      <c r="M254" s="50" t="s">
        <v>4710</v>
      </c>
      <c r="N254" s="14" t="s">
        <v>32</v>
      </c>
      <c r="O254" s="50" t="s">
        <v>4712</v>
      </c>
      <c r="P254" s="50"/>
      <c r="Q254" s="136" t="s">
        <v>4715</v>
      </c>
      <c r="R254" s="136" t="s">
        <v>4717</v>
      </c>
      <c r="S254" s="50" t="s">
        <v>4718</v>
      </c>
      <c r="T254" s="14">
        <v>1.0</v>
      </c>
      <c r="U254" s="14">
        <v>0.0</v>
      </c>
      <c r="V254" s="136">
        <v>4.0</v>
      </c>
      <c r="W254" s="14">
        <v>0.0</v>
      </c>
      <c r="X254" s="14" t="s">
        <v>4723</v>
      </c>
      <c r="Y254" s="136" t="s">
        <v>4724</v>
      </c>
      <c r="Z254" s="14"/>
      <c r="AA254" s="16"/>
      <c r="AB254" s="16"/>
      <c r="AC254" s="16"/>
      <c r="AD254" s="16"/>
      <c r="AE254" s="16"/>
    </row>
    <row r="255" ht="15.75" customHeight="1">
      <c r="A255" s="14">
        <v>250.0</v>
      </c>
      <c r="B255" s="14" t="s">
        <v>4726</v>
      </c>
      <c r="C255" s="75" t="s">
        <v>4727</v>
      </c>
      <c r="D255" s="141">
        <v>45776.0</v>
      </c>
      <c r="E255" s="167">
        <v>45776.0</v>
      </c>
      <c r="F255" s="75">
        <v>36819.0</v>
      </c>
      <c r="G255" s="75" t="s">
        <v>170</v>
      </c>
      <c r="H255" s="14" t="s">
        <v>43</v>
      </c>
      <c r="I255" s="80" t="s">
        <v>4732</v>
      </c>
      <c r="J255" s="50" t="s">
        <v>2618</v>
      </c>
      <c r="K255" s="14" t="s">
        <v>717</v>
      </c>
      <c r="L255" s="14" t="s">
        <v>47</v>
      </c>
      <c r="M255" s="50" t="s">
        <v>4738</v>
      </c>
      <c r="N255" s="14" t="s">
        <v>32</v>
      </c>
      <c r="O255" s="50" t="s">
        <v>4739</v>
      </c>
      <c r="P255" s="50" t="s">
        <v>4740</v>
      </c>
      <c r="Q255" s="14" t="s">
        <v>4742</v>
      </c>
      <c r="R255" s="14" t="s">
        <v>4745</v>
      </c>
      <c r="S255" s="50" t="s">
        <v>4748</v>
      </c>
      <c r="T255" s="14">
        <v>1.0</v>
      </c>
      <c r="U255" s="14">
        <v>0.0</v>
      </c>
      <c r="V255" s="14">
        <v>4.0</v>
      </c>
      <c r="W255" s="14">
        <v>0.0</v>
      </c>
      <c r="X255" s="14" t="s">
        <v>4753</v>
      </c>
      <c r="Y255" s="14" t="s">
        <v>147</v>
      </c>
      <c r="Z255" s="14"/>
      <c r="AA255" s="16"/>
      <c r="AB255" s="16"/>
      <c r="AC255" s="16"/>
      <c r="AD255" s="16"/>
      <c r="AE255" s="16"/>
    </row>
    <row r="256" ht="15.75" customHeight="1">
      <c r="A256" s="14">
        <v>251.0</v>
      </c>
      <c r="B256" s="139" t="s">
        <v>4758</v>
      </c>
      <c r="C256" s="75" t="s">
        <v>4759</v>
      </c>
      <c r="D256" s="141">
        <v>45772.0</v>
      </c>
      <c r="E256" s="131">
        <v>45776.0</v>
      </c>
      <c r="F256" s="14">
        <v>31179.0</v>
      </c>
      <c r="G256" s="14" t="s">
        <v>63</v>
      </c>
      <c r="H256" s="14" t="s">
        <v>4061</v>
      </c>
      <c r="I256" s="80" t="s">
        <v>4761</v>
      </c>
      <c r="J256" s="50" t="s">
        <v>4763</v>
      </c>
      <c r="K256" s="14" t="s">
        <v>4765</v>
      </c>
      <c r="L256" s="14" t="s">
        <v>1222</v>
      </c>
      <c r="M256" s="50" t="s">
        <v>4767</v>
      </c>
      <c r="N256" s="14" t="s">
        <v>50</v>
      </c>
      <c r="O256" s="50" t="s">
        <v>4768</v>
      </c>
      <c r="P256" s="50" t="s">
        <v>4770</v>
      </c>
      <c r="Q256" s="14" t="s">
        <v>4771</v>
      </c>
      <c r="R256" s="14">
        <v>9.00773338E8</v>
      </c>
      <c r="S256" s="50" t="s">
        <v>4772</v>
      </c>
      <c r="T256" s="14">
        <v>0.0</v>
      </c>
      <c r="U256" s="14">
        <v>1.0</v>
      </c>
      <c r="V256" s="14">
        <v>4.0</v>
      </c>
      <c r="W256" s="14">
        <v>2.0</v>
      </c>
      <c r="X256" s="14" t="s">
        <v>4774</v>
      </c>
      <c r="Y256" s="14" t="s">
        <v>61</v>
      </c>
      <c r="Z256" s="14"/>
      <c r="AA256" s="16"/>
      <c r="AB256" s="16"/>
      <c r="AC256" s="16"/>
      <c r="AD256" s="16"/>
      <c r="AE256" s="16"/>
    </row>
    <row r="257" ht="15.75" customHeight="1">
      <c r="A257" s="14">
        <v>253.0</v>
      </c>
      <c r="B257" s="139" t="s">
        <v>4777</v>
      </c>
      <c r="C257" s="75" t="s">
        <v>4778</v>
      </c>
      <c r="D257" s="141">
        <v>45776.0</v>
      </c>
      <c r="E257" s="131">
        <v>45782.0</v>
      </c>
      <c r="F257" s="14">
        <v>14092.0</v>
      </c>
      <c r="G257" s="14" t="s">
        <v>170</v>
      </c>
      <c r="H257" s="14" t="s">
        <v>603</v>
      </c>
      <c r="I257" s="80" t="s">
        <v>4782</v>
      </c>
      <c r="J257" s="50" t="s">
        <v>610</v>
      </c>
      <c r="K257" s="14" t="s">
        <v>610</v>
      </c>
      <c r="L257" s="14" t="s">
        <v>610</v>
      </c>
      <c r="M257" s="50" t="s">
        <v>4783</v>
      </c>
      <c r="N257" s="14" t="s">
        <v>32</v>
      </c>
      <c r="O257" s="50" t="s">
        <v>4784</v>
      </c>
      <c r="P257" s="50" t="s">
        <v>4785</v>
      </c>
      <c r="Q257" s="14" t="s">
        <v>4786</v>
      </c>
      <c r="R257" s="14">
        <v>9.66198468E8</v>
      </c>
      <c r="S257" s="50" t="s">
        <v>4789</v>
      </c>
      <c r="T257" s="14">
        <v>1.0</v>
      </c>
      <c r="U257" s="14">
        <v>0.0</v>
      </c>
      <c r="V257" s="14">
        <v>2.0</v>
      </c>
      <c r="W257" s="14">
        <v>0.0</v>
      </c>
      <c r="X257" s="224" t="s">
        <v>4792</v>
      </c>
      <c r="Y257" s="14" t="s">
        <v>61</v>
      </c>
      <c r="Z257" s="14"/>
      <c r="AA257" s="16"/>
      <c r="AB257" s="16"/>
      <c r="AC257" s="16"/>
      <c r="AD257" s="16"/>
      <c r="AE257" s="16"/>
    </row>
    <row r="258" ht="15.75" customHeight="1">
      <c r="A258" s="14">
        <v>254.0</v>
      </c>
      <c r="B258" s="14" t="s">
        <v>4795</v>
      </c>
      <c r="C258" s="14" t="s">
        <v>4796</v>
      </c>
      <c r="D258" s="141">
        <v>45772.0</v>
      </c>
      <c r="E258" s="131">
        <v>45776.0</v>
      </c>
      <c r="F258" s="14">
        <v>8475.0</v>
      </c>
      <c r="G258" s="14" t="s">
        <v>170</v>
      </c>
      <c r="H258" s="14" t="s">
        <v>173</v>
      </c>
      <c r="I258" s="500" t="s">
        <v>4800</v>
      </c>
      <c r="J258" s="50" t="s">
        <v>666</v>
      </c>
      <c r="K258" s="14" t="s">
        <v>666</v>
      </c>
      <c r="L258" s="14" t="s">
        <v>179</v>
      </c>
      <c r="M258" s="158" t="s">
        <v>4805</v>
      </c>
      <c r="N258" s="14" t="s">
        <v>32</v>
      </c>
      <c r="O258" s="50" t="s">
        <v>4808</v>
      </c>
      <c r="P258" s="50" t="s">
        <v>4809</v>
      </c>
      <c r="Q258" s="158" t="s">
        <v>4810</v>
      </c>
      <c r="R258" s="14">
        <v>9.6460936E8</v>
      </c>
      <c r="S258" s="50" t="s">
        <v>4811</v>
      </c>
      <c r="T258" s="14">
        <v>1.0</v>
      </c>
      <c r="U258" s="14">
        <v>0.0</v>
      </c>
      <c r="V258" s="14">
        <v>3.0</v>
      </c>
      <c r="W258" s="14">
        <v>0.0</v>
      </c>
      <c r="X258" s="217" t="s">
        <v>4813</v>
      </c>
      <c r="Y258" s="14" t="s">
        <v>61</v>
      </c>
      <c r="Z258" s="14"/>
      <c r="AA258" s="16"/>
      <c r="AB258" s="16"/>
      <c r="AC258" s="16"/>
      <c r="AD258" s="16"/>
      <c r="AE258" s="16"/>
    </row>
    <row r="259" ht="15.75" customHeight="1">
      <c r="A259" s="14">
        <v>255.0</v>
      </c>
      <c r="B259" s="14" t="s">
        <v>4133</v>
      </c>
      <c r="C259" s="14" t="s">
        <v>4816</v>
      </c>
      <c r="D259" s="141">
        <v>45772.0</v>
      </c>
      <c r="E259" s="131">
        <v>45776.0</v>
      </c>
      <c r="F259" s="14">
        <v>33334.0</v>
      </c>
      <c r="G259" s="14" t="s">
        <v>170</v>
      </c>
      <c r="H259" s="14" t="s">
        <v>656</v>
      </c>
      <c r="I259" s="500" t="s">
        <v>4818</v>
      </c>
      <c r="J259" s="50" t="s">
        <v>659</v>
      </c>
      <c r="K259" s="14" t="s">
        <v>659</v>
      </c>
      <c r="L259" s="14" t="s">
        <v>663</v>
      </c>
      <c r="M259" s="197" t="s">
        <v>4820</v>
      </c>
      <c r="N259" s="14" t="s">
        <v>32</v>
      </c>
      <c r="O259" s="240" t="s">
        <v>4821</v>
      </c>
      <c r="P259" s="50">
        <v>9.52400418E8</v>
      </c>
      <c r="Q259" s="217" t="s">
        <v>4822</v>
      </c>
      <c r="R259" s="14">
        <v>9.32122822E8</v>
      </c>
      <c r="S259" s="50" t="s">
        <v>4825</v>
      </c>
      <c r="T259" s="14">
        <v>1.0</v>
      </c>
      <c r="U259" s="14">
        <v>0.0</v>
      </c>
      <c r="V259" s="14">
        <v>4.0</v>
      </c>
      <c r="W259" s="14">
        <v>0.0</v>
      </c>
      <c r="X259" s="217" t="s">
        <v>4827</v>
      </c>
      <c r="Y259" s="14" t="s">
        <v>61</v>
      </c>
      <c r="Z259" s="14"/>
      <c r="AA259" s="16"/>
      <c r="AB259" s="16"/>
      <c r="AC259" s="16"/>
      <c r="AD259" s="16"/>
      <c r="AE259" s="16"/>
    </row>
    <row r="260" ht="15.75" customHeight="1">
      <c r="A260" s="14">
        <v>256.0</v>
      </c>
      <c r="B260" s="14" t="s">
        <v>4141</v>
      </c>
      <c r="C260" s="14" t="s">
        <v>4829</v>
      </c>
      <c r="D260" s="141">
        <v>45776.0</v>
      </c>
      <c r="E260" s="131">
        <v>45776.0</v>
      </c>
      <c r="F260" s="14">
        <v>36675.0</v>
      </c>
      <c r="G260" s="14" t="s">
        <v>63</v>
      </c>
      <c r="H260" s="14" t="s">
        <v>43</v>
      </c>
      <c r="I260" s="80" t="s">
        <v>4144</v>
      </c>
      <c r="J260" s="50" t="s">
        <v>353</v>
      </c>
      <c r="K260" s="14" t="s">
        <v>47</v>
      </c>
      <c r="L260" s="14" t="s">
        <v>47</v>
      </c>
      <c r="M260" s="50" t="s">
        <v>4831</v>
      </c>
      <c r="N260" s="14" t="s">
        <v>32</v>
      </c>
      <c r="O260" s="50" t="s">
        <v>4832</v>
      </c>
      <c r="P260" s="50"/>
      <c r="Q260" s="136" t="s">
        <v>4833</v>
      </c>
      <c r="R260" s="14">
        <v>9.61771111E8</v>
      </c>
      <c r="S260" s="50" t="s">
        <v>4834</v>
      </c>
      <c r="T260" s="14">
        <v>1.0</v>
      </c>
      <c r="U260" s="14">
        <v>0.0</v>
      </c>
      <c r="V260" s="14">
        <v>6.0</v>
      </c>
      <c r="W260" s="14">
        <v>0.0</v>
      </c>
      <c r="X260" s="14" t="s">
        <v>4835</v>
      </c>
      <c r="Y260" s="14" t="s">
        <v>4837</v>
      </c>
      <c r="Z260" s="14"/>
      <c r="AA260" s="16"/>
      <c r="AB260" s="16"/>
      <c r="AC260" s="16"/>
      <c r="AD260" s="16"/>
      <c r="AE260" s="16"/>
    </row>
    <row r="261" ht="15.75" customHeight="1">
      <c r="A261" s="14">
        <v>257.0</v>
      </c>
      <c r="B261" s="14" t="s">
        <v>4839</v>
      </c>
      <c r="C261" s="14" t="s">
        <v>4842</v>
      </c>
      <c r="D261" s="141">
        <v>45782.0</v>
      </c>
      <c r="E261" s="131">
        <v>45786.0</v>
      </c>
      <c r="F261" s="14">
        <v>7874.0</v>
      </c>
      <c r="G261" s="14" t="s">
        <v>170</v>
      </c>
      <c r="H261" s="14" t="s">
        <v>1956</v>
      </c>
      <c r="I261" s="198" t="s">
        <v>4846</v>
      </c>
      <c r="J261" s="50" t="s">
        <v>1191</v>
      </c>
      <c r="K261" s="14" t="s">
        <v>1191</v>
      </c>
      <c r="L261" s="14" t="s">
        <v>1191</v>
      </c>
      <c r="M261" s="171" t="s">
        <v>4849</v>
      </c>
      <c r="N261" s="14" t="s">
        <v>32</v>
      </c>
      <c r="O261" s="171" t="s">
        <v>4850</v>
      </c>
      <c r="P261" s="50" t="s">
        <v>4851</v>
      </c>
      <c r="Q261" s="14" t="s">
        <v>4852</v>
      </c>
      <c r="R261" s="136" t="s">
        <v>4853</v>
      </c>
      <c r="S261" s="50" t="s">
        <v>4854</v>
      </c>
      <c r="T261" s="14">
        <v>1.0</v>
      </c>
      <c r="U261" s="14">
        <v>0.0</v>
      </c>
      <c r="V261" s="14">
        <v>4.0</v>
      </c>
      <c r="W261" s="14">
        <v>0.0</v>
      </c>
      <c r="X261" s="158" t="s">
        <v>4856</v>
      </c>
      <c r="Y261" s="14"/>
      <c r="Z261" s="14"/>
      <c r="AA261" s="16"/>
      <c r="AB261" s="16"/>
      <c r="AC261" s="16"/>
      <c r="AD261" s="16"/>
      <c r="AE261" s="16"/>
    </row>
    <row r="262" ht="15.75" customHeight="1">
      <c r="A262" s="14">
        <v>258.0</v>
      </c>
      <c r="B262" s="14" t="s">
        <v>4857</v>
      </c>
      <c r="C262" s="14" t="s">
        <v>4858</v>
      </c>
      <c r="D262" s="141">
        <v>45789.0</v>
      </c>
      <c r="E262" s="131">
        <v>45792.0</v>
      </c>
      <c r="F262" s="14">
        <v>2421.0</v>
      </c>
      <c r="G262" s="14" t="s">
        <v>84</v>
      </c>
      <c r="H262" s="14" t="s">
        <v>1299</v>
      </c>
      <c r="I262" s="80" t="s">
        <v>4859</v>
      </c>
      <c r="J262" s="50" t="s">
        <v>4860</v>
      </c>
      <c r="K262" s="14" t="s">
        <v>3042</v>
      </c>
      <c r="L262" s="14" t="s">
        <v>586</v>
      </c>
      <c r="M262" s="50" t="s">
        <v>4862</v>
      </c>
      <c r="N262" s="14" t="s">
        <v>50</v>
      </c>
      <c r="O262" s="50" t="s">
        <v>4863</v>
      </c>
      <c r="P262" s="50" t="s">
        <v>4864</v>
      </c>
      <c r="Q262" s="14" t="s">
        <v>4865</v>
      </c>
      <c r="R262" s="14">
        <v>9.84108143E8</v>
      </c>
      <c r="S262" s="50" t="s">
        <v>4866</v>
      </c>
      <c r="T262" s="14" t="s">
        <v>4867</v>
      </c>
      <c r="U262" s="14">
        <v>0.0</v>
      </c>
      <c r="V262" s="14">
        <v>0.0</v>
      </c>
      <c r="W262" s="14">
        <v>5.0</v>
      </c>
      <c r="X262" s="224" t="s">
        <v>4869</v>
      </c>
      <c r="Y262" s="14" t="s">
        <v>61</v>
      </c>
      <c r="Z262" s="14"/>
      <c r="AA262" s="16"/>
      <c r="AB262" s="16"/>
      <c r="AC262" s="16"/>
      <c r="AD262" s="16"/>
      <c r="AE262" s="16"/>
    </row>
    <row r="263" ht="30.75" customHeight="1">
      <c r="A263" s="16">
        <v>259.0</v>
      </c>
      <c r="B263" s="14" t="s">
        <v>4870</v>
      </c>
      <c r="C263" s="14" t="s">
        <v>4871</v>
      </c>
      <c r="D263" s="141">
        <v>45789.0</v>
      </c>
      <c r="E263" s="131">
        <v>45792.0</v>
      </c>
      <c r="F263" s="14">
        <v>2469.0</v>
      </c>
      <c r="G263" s="14" t="s">
        <v>84</v>
      </c>
      <c r="H263" s="14" t="s">
        <v>1299</v>
      </c>
      <c r="I263" s="80" t="s">
        <v>4873</v>
      </c>
      <c r="J263" s="50" t="s">
        <v>4874</v>
      </c>
      <c r="K263" s="14" t="s">
        <v>3042</v>
      </c>
      <c r="L263" s="14" t="s">
        <v>586</v>
      </c>
      <c r="M263" s="50" t="s">
        <v>4875</v>
      </c>
      <c r="N263" s="14" t="s">
        <v>50</v>
      </c>
      <c r="O263" s="50" t="s">
        <v>4876</v>
      </c>
      <c r="P263" s="50" t="s">
        <v>4877</v>
      </c>
      <c r="Q263" s="14" t="s">
        <v>4878</v>
      </c>
      <c r="R263" s="136" t="s">
        <v>4879</v>
      </c>
      <c r="S263" s="50" t="s">
        <v>4881</v>
      </c>
      <c r="T263" s="14">
        <v>0.0</v>
      </c>
      <c r="U263" s="14">
        <v>1.0</v>
      </c>
      <c r="V263" s="14">
        <v>0.0</v>
      </c>
      <c r="W263" s="14">
        <v>7.0</v>
      </c>
      <c r="X263" s="14" t="s">
        <v>4884</v>
      </c>
      <c r="Y263" s="14" t="s">
        <v>61</v>
      </c>
      <c r="Z263" s="16"/>
      <c r="AA263" s="16"/>
      <c r="AB263" s="16"/>
      <c r="AC263" s="16"/>
      <c r="AD263" s="16"/>
      <c r="AE263" s="16"/>
    </row>
    <row r="264" ht="15.75" customHeight="1">
      <c r="A264" s="14">
        <v>260.0</v>
      </c>
      <c r="B264" s="14" t="s">
        <v>4885</v>
      </c>
      <c r="C264" s="75" t="s">
        <v>4886</v>
      </c>
      <c r="D264" s="141">
        <v>45799.0</v>
      </c>
      <c r="E264" s="131">
        <v>45805.0</v>
      </c>
      <c r="F264" s="14">
        <v>32081.0</v>
      </c>
      <c r="G264" s="14" t="s">
        <v>170</v>
      </c>
      <c r="H264" s="14" t="s">
        <v>1299</v>
      </c>
      <c r="I264" s="178" t="s">
        <v>4887</v>
      </c>
      <c r="J264" s="50" t="s">
        <v>1301</v>
      </c>
      <c r="K264" s="14" t="s">
        <v>586</v>
      </c>
      <c r="L264" s="14" t="s">
        <v>586</v>
      </c>
      <c r="M264" s="50" t="s">
        <v>4888</v>
      </c>
      <c r="N264" s="14" t="s">
        <v>32</v>
      </c>
      <c r="O264" s="50" t="s">
        <v>4889</v>
      </c>
      <c r="P264" s="50" t="s">
        <v>3558</v>
      </c>
      <c r="Q264" s="14" t="s">
        <v>4890</v>
      </c>
      <c r="R264" s="14" t="s">
        <v>4891</v>
      </c>
      <c r="S264" s="50" t="s">
        <v>4892</v>
      </c>
      <c r="T264" s="14">
        <v>1.0</v>
      </c>
      <c r="U264" s="14">
        <v>0.0</v>
      </c>
      <c r="V264" s="14">
        <v>4.0</v>
      </c>
      <c r="W264" s="14">
        <v>0.0</v>
      </c>
      <c r="X264" s="14"/>
      <c r="Y264" s="14" t="s">
        <v>61</v>
      </c>
      <c r="Z264" s="14"/>
      <c r="AA264" s="16"/>
      <c r="AB264" s="14"/>
      <c r="AC264" s="14"/>
      <c r="AD264" s="16"/>
      <c r="AE264" s="16"/>
    </row>
    <row r="265" ht="15.75" customHeight="1">
      <c r="A265" s="14">
        <v>261.0</v>
      </c>
      <c r="B265" s="14" t="s">
        <v>4897</v>
      </c>
      <c r="C265" s="14" t="s">
        <v>4898</v>
      </c>
      <c r="D265" s="141">
        <v>45799.0</v>
      </c>
      <c r="E265" s="131">
        <v>45803.0</v>
      </c>
      <c r="F265" s="14">
        <v>25210.0</v>
      </c>
      <c r="G265" s="14" t="s">
        <v>170</v>
      </c>
      <c r="H265" s="14" t="s">
        <v>1299</v>
      </c>
      <c r="I265" s="80" t="s">
        <v>4899</v>
      </c>
      <c r="J265" s="50" t="s">
        <v>4900</v>
      </c>
      <c r="K265" s="14" t="s">
        <v>586</v>
      </c>
      <c r="L265" s="14" t="s">
        <v>586</v>
      </c>
      <c r="M265" s="240" t="s">
        <v>4901</v>
      </c>
      <c r="N265" s="14" t="s">
        <v>50</v>
      </c>
      <c r="O265" s="50" t="s">
        <v>4902</v>
      </c>
      <c r="P265" s="50" t="s">
        <v>4903</v>
      </c>
      <c r="Q265" s="14" t="s">
        <v>4904</v>
      </c>
      <c r="R265" s="14">
        <v>9.91413986E8</v>
      </c>
      <c r="S265" s="50" t="s">
        <v>4905</v>
      </c>
      <c r="T265" s="14">
        <v>1.0</v>
      </c>
      <c r="U265" s="14">
        <v>0.0</v>
      </c>
      <c r="V265" s="14">
        <v>0.0</v>
      </c>
      <c r="W265" s="14">
        <v>4.0</v>
      </c>
      <c r="X265" s="240" t="s">
        <v>4906</v>
      </c>
      <c r="Y265" s="14"/>
      <c r="Z265" s="14"/>
      <c r="AA265" s="14"/>
      <c r="AB265" s="16"/>
      <c r="AC265" s="16"/>
      <c r="AD265" s="14"/>
      <c r="AE265" s="14"/>
    </row>
    <row r="266" ht="15.75" customHeight="1">
      <c r="A266" s="14">
        <v>262.0</v>
      </c>
      <c r="B266" s="14" t="s">
        <v>4907</v>
      </c>
      <c r="C266" s="14" t="s">
        <v>4908</v>
      </c>
      <c r="D266" s="141">
        <v>45805.0</v>
      </c>
      <c r="E266" s="131">
        <v>45812.0</v>
      </c>
      <c r="F266" s="14">
        <v>15266.0</v>
      </c>
      <c r="G266" s="14" t="s">
        <v>84</v>
      </c>
      <c r="H266" s="14" t="s">
        <v>506</v>
      </c>
      <c r="I266" s="80" t="s">
        <v>4910</v>
      </c>
      <c r="J266" s="50" t="s">
        <v>839</v>
      </c>
      <c r="K266" s="14" t="s">
        <v>839</v>
      </c>
      <c r="L266" s="14" t="s">
        <v>496</v>
      </c>
      <c r="M266" s="50" t="s">
        <v>4911</v>
      </c>
      <c r="N266" s="14" t="s">
        <v>32</v>
      </c>
      <c r="O266" s="50" t="s">
        <v>4912</v>
      </c>
      <c r="P266" s="50"/>
      <c r="Q266" s="14" t="s">
        <v>4913</v>
      </c>
      <c r="R266" s="14" t="s">
        <v>4914</v>
      </c>
      <c r="S266" s="50" t="s">
        <v>4915</v>
      </c>
      <c r="T266" s="14">
        <v>1.0</v>
      </c>
      <c r="U266" s="14">
        <v>0.0</v>
      </c>
      <c r="V266" s="14">
        <v>5.0</v>
      </c>
      <c r="W266" s="14">
        <v>0.0</v>
      </c>
      <c r="X266" s="14" t="s">
        <v>4916</v>
      </c>
      <c r="Y266" s="14" t="s">
        <v>61</v>
      </c>
      <c r="Z266" s="14"/>
      <c r="AA266" s="16"/>
      <c r="AB266" s="16"/>
      <c r="AC266" s="16"/>
      <c r="AD266" s="16"/>
      <c r="AE266" s="16"/>
    </row>
    <row r="267" ht="15.75" customHeight="1">
      <c r="A267" s="14">
        <v>263.0</v>
      </c>
      <c r="B267" s="14" t="s">
        <v>4917</v>
      </c>
      <c r="C267" s="14" t="s">
        <v>4918</v>
      </c>
      <c r="D267" s="141">
        <v>45805.0</v>
      </c>
      <c r="E267" s="131">
        <v>45810.0</v>
      </c>
      <c r="F267" s="14">
        <v>9234.0</v>
      </c>
      <c r="G267" s="14" t="s">
        <v>84</v>
      </c>
      <c r="H267" s="14" t="s">
        <v>506</v>
      </c>
      <c r="I267" s="80" t="s">
        <v>4919</v>
      </c>
      <c r="J267" s="50" t="s">
        <v>496</v>
      </c>
      <c r="K267" s="14" t="s">
        <v>496</v>
      </c>
      <c r="L267" s="14" t="s">
        <v>496</v>
      </c>
      <c r="M267" s="50" t="s">
        <v>4920</v>
      </c>
      <c r="N267" s="14" t="s">
        <v>32</v>
      </c>
      <c r="O267" s="50" t="s">
        <v>4921</v>
      </c>
      <c r="P267" s="50" t="s">
        <v>4923</v>
      </c>
      <c r="Q267" s="14" t="s">
        <v>4924</v>
      </c>
      <c r="R267" s="14" t="s">
        <v>4925</v>
      </c>
      <c r="S267" s="50" t="s">
        <v>4926</v>
      </c>
      <c r="T267" s="14">
        <v>0.0</v>
      </c>
      <c r="U267" s="14">
        <v>1.0</v>
      </c>
      <c r="V267" s="14">
        <v>4.0</v>
      </c>
      <c r="W267" s="14">
        <v>0.0</v>
      </c>
      <c r="X267" s="14" t="s">
        <v>4927</v>
      </c>
      <c r="Y267" s="14" t="s">
        <v>61</v>
      </c>
      <c r="Z267" s="14"/>
      <c r="AA267" s="16"/>
      <c r="AB267" s="16"/>
      <c r="AC267" s="16"/>
      <c r="AD267" s="16"/>
      <c r="AE267" s="16"/>
    </row>
    <row r="268" ht="53.25" customHeight="1">
      <c r="A268" s="14">
        <v>264.0</v>
      </c>
      <c r="B268" s="14" t="s">
        <v>4147</v>
      </c>
      <c r="C268" s="14" t="s">
        <v>4150</v>
      </c>
      <c r="D268" s="141">
        <v>45810.0</v>
      </c>
      <c r="E268" s="131">
        <v>45817.0</v>
      </c>
      <c r="F268" s="14">
        <v>33456.0</v>
      </c>
      <c r="G268" s="14" t="s">
        <v>170</v>
      </c>
      <c r="H268" s="14" t="s">
        <v>506</v>
      </c>
      <c r="I268" s="80" t="s">
        <v>4928</v>
      </c>
      <c r="J268" s="50" t="s">
        <v>839</v>
      </c>
      <c r="K268" s="14" t="s">
        <v>839</v>
      </c>
      <c r="L268" s="14" t="s">
        <v>496</v>
      </c>
      <c r="M268" s="50" t="s">
        <v>4929</v>
      </c>
      <c r="N268" s="14" t="s">
        <v>32</v>
      </c>
      <c r="O268" s="50" t="s">
        <v>4930</v>
      </c>
      <c r="P268" s="50" t="s">
        <v>4931</v>
      </c>
      <c r="Q268" s="14" t="s">
        <v>4928</v>
      </c>
      <c r="R268" s="14" t="s">
        <v>4932</v>
      </c>
      <c r="S268" s="50" t="s">
        <v>4933</v>
      </c>
      <c r="T268" s="14">
        <v>1.0</v>
      </c>
      <c r="U268" s="14">
        <v>0.0</v>
      </c>
      <c r="V268" s="14">
        <v>4.0</v>
      </c>
      <c r="W268" s="14">
        <v>0.0</v>
      </c>
      <c r="X268" s="14" t="s">
        <v>4934</v>
      </c>
      <c r="Y268" s="14" t="s">
        <v>61</v>
      </c>
      <c r="Z268" s="14"/>
      <c r="AA268" s="16"/>
      <c r="AB268" s="16"/>
      <c r="AC268" s="16"/>
      <c r="AD268" s="16"/>
      <c r="AE268" s="16"/>
    </row>
    <row r="269" ht="15.75" customHeight="1">
      <c r="A269" s="14">
        <v>265.0</v>
      </c>
      <c r="B269" s="14" t="s">
        <v>4936</v>
      </c>
      <c r="C269" s="14" t="s">
        <v>4937</v>
      </c>
      <c r="D269" s="141">
        <v>45811.0</v>
      </c>
      <c r="E269" s="131">
        <v>45817.0</v>
      </c>
      <c r="F269" s="14">
        <v>1813.0</v>
      </c>
      <c r="G269" s="14" t="s">
        <v>84</v>
      </c>
      <c r="H269" s="14" t="s">
        <v>942</v>
      </c>
      <c r="I269" s="80" t="s">
        <v>4939</v>
      </c>
      <c r="J269" s="50" t="s">
        <v>4940</v>
      </c>
      <c r="K269" s="14" t="s">
        <v>948</v>
      </c>
      <c r="L269" s="14" t="s">
        <v>948</v>
      </c>
      <c r="M269" s="50" t="s">
        <v>4941</v>
      </c>
      <c r="N269" s="14" t="s">
        <v>50</v>
      </c>
      <c r="O269" s="50" t="s">
        <v>4942</v>
      </c>
      <c r="P269" s="50" t="s">
        <v>4943</v>
      </c>
      <c r="Q269" s="14" t="s">
        <v>4944</v>
      </c>
      <c r="R269" s="14">
        <v>9.89964432E8</v>
      </c>
      <c r="S269" s="50" t="s">
        <v>4945</v>
      </c>
      <c r="T269" s="14">
        <v>0.0</v>
      </c>
      <c r="U269" s="14">
        <v>1.0</v>
      </c>
      <c r="V269" s="14">
        <v>3.0</v>
      </c>
      <c r="W269" s="14">
        <v>0.0</v>
      </c>
      <c r="X269" s="14" t="s">
        <v>4946</v>
      </c>
      <c r="Y269" s="14"/>
      <c r="Z269" s="14"/>
      <c r="AA269" s="16"/>
      <c r="AB269" s="16"/>
      <c r="AC269" s="16"/>
      <c r="AD269" s="16"/>
      <c r="AE269" s="16"/>
    </row>
    <row r="270" ht="15.75" customHeight="1">
      <c r="A270" s="75">
        <v>254.0</v>
      </c>
      <c r="B270" s="14" t="s">
        <v>4947</v>
      </c>
      <c r="C270" s="14" t="s">
        <v>4948</v>
      </c>
      <c r="D270" s="141">
        <v>45810.0</v>
      </c>
      <c r="E270" s="131">
        <v>45817.0</v>
      </c>
      <c r="F270" s="14">
        <v>12261.0</v>
      </c>
      <c r="G270" s="14" t="s">
        <v>84</v>
      </c>
      <c r="H270" s="14" t="s">
        <v>603</v>
      </c>
      <c r="I270" s="80" t="s">
        <v>4949</v>
      </c>
      <c r="J270" s="50" t="s">
        <v>2704</v>
      </c>
      <c r="K270" s="14" t="s">
        <v>2038</v>
      </c>
      <c r="L270" s="14" t="s">
        <v>610</v>
      </c>
      <c r="M270" s="50" t="s">
        <v>4950</v>
      </c>
      <c r="N270" s="14" t="s">
        <v>32</v>
      </c>
      <c r="O270" s="50" t="s">
        <v>4951</v>
      </c>
      <c r="P270" s="50" t="s">
        <v>4952</v>
      </c>
      <c r="Q270" s="14" t="s">
        <v>4953</v>
      </c>
      <c r="R270" s="14" t="s">
        <v>4954</v>
      </c>
      <c r="S270" s="50" t="s">
        <v>4955</v>
      </c>
      <c r="T270" s="14">
        <v>0.0</v>
      </c>
      <c r="U270" s="14">
        <v>1.0</v>
      </c>
      <c r="V270" s="14">
        <v>4.0</v>
      </c>
      <c r="W270" s="14">
        <v>0.0</v>
      </c>
      <c r="X270" s="14" t="s">
        <v>4956</v>
      </c>
      <c r="Y270" s="14" t="s">
        <v>61</v>
      </c>
      <c r="Z270" s="14"/>
      <c r="AA270" s="16"/>
      <c r="AB270" s="16"/>
      <c r="AC270" s="16"/>
      <c r="AD270" s="16"/>
      <c r="AE270" s="16"/>
    </row>
    <row r="271" ht="23.25" customHeight="1">
      <c r="A271" s="14">
        <v>266.0</v>
      </c>
      <c r="B271" s="14" t="s">
        <v>4155</v>
      </c>
      <c r="C271" s="14" t="s">
        <v>4156</v>
      </c>
      <c r="D271" s="141">
        <v>45811.0</v>
      </c>
      <c r="E271" s="512">
        <v>45817.0</v>
      </c>
      <c r="F271" s="217">
        <v>34894.0</v>
      </c>
      <c r="G271" s="75" t="s">
        <v>170</v>
      </c>
      <c r="H271" s="14" t="s">
        <v>85</v>
      </c>
      <c r="I271" s="198" t="s">
        <v>4167</v>
      </c>
      <c r="J271" s="50" t="s">
        <v>4957</v>
      </c>
      <c r="K271" s="14" t="s">
        <v>4168</v>
      </c>
      <c r="L271" s="14" t="s">
        <v>88</v>
      </c>
      <c r="M271" s="240" t="s">
        <v>4958</v>
      </c>
      <c r="N271" s="14" t="s">
        <v>69</v>
      </c>
      <c r="O271" s="240" t="s">
        <v>4959</v>
      </c>
      <c r="P271" s="50" t="s">
        <v>4960</v>
      </c>
      <c r="Q271" s="14" t="s">
        <v>4961</v>
      </c>
      <c r="R271" s="14">
        <v>9.40180313E8</v>
      </c>
      <c r="S271" s="50" t="s">
        <v>4962</v>
      </c>
      <c r="T271" s="14">
        <v>1.0</v>
      </c>
      <c r="U271" s="14">
        <v>0.0</v>
      </c>
      <c r="V271" s="14">
        <v>5.0</v>
      </c>
      <c r="W271" s="14">
        <v>0.0</v>
      </c>
      <c r="X271" s="14" t="s">
        <v>4963</v>
      </c>
      <c r="Y271" s="14"/>
      <c r="Z271" s="14"/>
      <c r="AA271" s="16"/>
      <c r="AB271" s="16"/>
      <c r="AC271" s="16"/>
      <c r="AD271" s="16"/>
      <c r="AE271" s="16"/>
    </row>
    <row r="272" ht="15.75" customHeight="1">
      <c r="A272" s="14">
        <v>267.0</v>
      </c>
      <c r="B272" s="14" t="s">
        <v>4964</v>
      </c>
      <c r="C272" s="14" t="s">
        <v>4966</v>
      </c>
      <c r="D272" s="141">
        <v>45827.0</v>
      </c>
      <c r="E272" s="131">
        <v>45834.0</v>
      </c>
      <c r="F272" s="14">
        <v>25749.0</v>
      </c>
      <c r="G272" s="14" t="s">
        <v>170</v>
      </c>
      <c r="H272" s="14" t="s">
        <v>43</v>
      </c>
      <c r="I272" s="80" t="s">
        <v>4967</v>
      </c>
      <c r="J272" s="50" t="s">
        <v>2618</v>
      </c>
      <c r="K272" s="14" t="s">
        <v>47</v>
      </c>
      <c r="L272" s="14" t="s">
        <v>47</v>
      </c>
      <c r="M272" s="50" t="s">
        <v>4968</v>
      </c>
      <c r="N272" s="14" t="s">
        <v>32</v>
      </c>
      <c r="O272" s="50" t="s">
        <v>4969</v>
      </c>
      <c r="P272" s="196" t="s">
        <v>4970</v>
      </c>
      <c r="Q272" s="14" t="s">
        <v>4971</v>
      </c>
      <c r="R272" s="14">
        <v>9.4142382E8</v>
      </c>
      <c r="S272" s="50" t="s">
        <v>4972</v>
      </c>
      <c r="T272" s="14">
        <v>1.0</v>
      </c>
      <c r="U272" s="14">
        <v>0.0</v>
      </c>
      <c r="V272" s="14">
        <v>4.0</v>
      </c>
      <c r="W272" s="14">
        <v>0.0</v>
      </c>
      <c r="X272" s="14" t="s">
        <v>4975</v>
      </c>
      <c r="Y272" s="14" t="s">
        <v>1792</v>
      </c>
      <c r="Z272" s="14"/>
      <c r="AA272" s="16"/>
      <c r="AB272" s="16"/>
      <c r="AC272" s="16"/>
      <c r="AD272" s="16"/>
      <c r="AE272" s="16"/>
    </row>
    <row r="273" ht="15.75" customHeight="1">
      <c r="A273" s="14">
        <v>268.0</v>
      </c>
      <c r="B273" s="14" t="s">
        <v>4979</v>
      </c>
      <c r="C273" s="14" t="s">
        <v>4981</v>
      </c>
      <c r="D273" s="167">
        <v>45917.0</v>
      </c>
      <c r="E273" s="131">
        <v>45919.0</v>
      </c>
      <c r="F273" s="14">
        <v>1719.0</v>
      </c>
      <c r="G273" s="14" t="s">
        <v>84</v>
      </c>
      <c r="H273" s="14" t="s">
        <v>942</v>
      </c>
      <c r="I273" s="80" t="s">
        <v>4412</v>
      </c>
      <c r="J273" s="50" t="s">
        <v>4985</v>
      </c>
      <c r="K273" s="14" t="s">
        <v>4985</v>
      </c>
      <c r="L273" s="14" t="s">
        <v>948</v>
      </c>
      <c r="M273" s="50" t="s">
        <v>4990</v>
      </c>
      <c r="N273" s="14" t="s">
        <v>50</v>
      </c>
      <c r="O273" s="50" t="s">
        <v>4993</v>
      </c>
      <c r="P273" s="50" t="s">
        <v>4995</v>
      </c>
      <c r="Q273" s="14" t="s">
        <v>4996</v>
      </c>
      <c r="R273" s="14"/>
      <c r="S273" s="50" t="s">
        <v>4997</v>
      </c>
      <c r="T273" s="14">
        <v>1.0</v>
      </c>
      <c r="U273" s="14">
        <v>0.0</v>
      </c>
      <c r="V273" s="14">
        <v>3.0</v>
      </c>
      <c r="W273" s="14">
        <v>0.0</v>
      </c>
      <c r="X273" s="14" t="s">
        <v>4999</v>
      </c>
      <c r="Y273" s="14"/>
      <c r="Z273" s="14"/>
      <c r="AA273" s="16"/>
      <c r="AB273" s="16"/>
      <c r="AC273" s="16"/>
      <c r="AD273" s="16"/>
      <c r="AE273" s="16"/>
    </row>
    <row r="274" ht="15.75" customHeight="1">
      <c r="A274" s="14">
        <v>269.0</v>
      </c>
      <c r="B274" s="14" t="s">
        <v>4284</v>
      </c>
      <c r="C274" s="14" t="s">
        <v>5003</v>
      </c>
      <c r="D274" s="141">
        <v>45852.0</v>
      </c>
      <c r="E274" s="187">
        <v>45853.0</v>
      </c>
      <c r="F274" s="16">
        <v>13516.0</v>
      </c>
      <c r="G274" s="14" t="s">
        <v>170</v>
      </c>
      <c r="H274" s="14" t="s">
        <v>43</v>
      </c>
      <c r="I274" s="153" t="s">
        <v>4293</v>
      </c>
      <c r="J274" s="50" t="s">
        <v>1091</v>
      </c>
      <c r="K274" s="14" t="s">
        <v>47</v>
      </c>
      <c r="L274" s="14" t="s">
        <v>47</v>
      </c>
      <c r="M274" s="198" t="s">
        <v>5006</v>
      </c>
      <c r="N274" s="14" t="s">
        <v>32</v>
      </c>
      <c r="O274" s="50" t="s">
        <v>5007</v>
      </c>
      <c r="P274" s="50" t="s">
        <v>5008</v>
      </c>
      <c r="Q274" s="14" t="s">
        <v>5009</v>
      </c>
      <c r="R274" s="14">
        <v>9.99942344E8</v>
      </c>
      <c r="S274" s="50" t="s">
        <v>5011</v>
      </c>
      <c r="T274" s="14">
        <v>1.0</v>
      </c>
      <c r="U274" s="14">
        <v>0.0</v>
      </c>
      <c r="V274" s="14">
        <v>2.0</v>
      </c>
      <c r="W274" s="14">
        <v>0.0</v>
      </c>
      <c r="X274" s="171" t="s">
        <v>5012</v>
      </c>
      <c r="Y274" s="14" t="s">
        <v>61</v>
      </c>
      <c r="Z274" s="14" t="s">
        <v>5013</v>
      </c>
      <c r="AA274" s="16"/>
      <c r="AB274" s="16"/>
      <c r="AC274" s="16"/>
      <c r="AD274" s="16"/>
      <c r="AE274" s="16"/>
    </row>
    <row r="275" ht="15.75" customHeight="1">
      <c r="A275" s="14">
        <v>270.0</v>
      </c>
      <c r="B275" s="14" t="s">
        <v>5017</v>
      </c>
      <c r="C275" s="14" t="s">
        <v>5018</v>
      </c>
      <c r="D275" s="167">
        <v>45903.0</v>
      </c>
      <c r="E275" s="131">
        <v>45904.0</v>
      </c>
      <c r="F275" s="14">
        <v>23731.0</v>
      </c>
      <c r="G275" s="75" t="s">
        <v>170</v>
      </c>
      <c r="H275" s="14" t="s">
        <v>4297</v>
      </c>
      <c r="I275" s="80" t="s">
        <v>4298</v>
      </c>
      <c r="J275" s="50" t="s">
        <v>839</v>
      </c>
      <c r="K275" s="14" t="s">
        <v>839</v>
      </c>
      <c r="L275" s="14" t="s">
        <v>496</v>
      </c>
      <c r="M275" s="50" t="s">
        <v>5024</v>
      </c>
      <c r="N275" s="14" t="s">
        <v>32</v>
      </c>
      <c r="O275" s="50" t="s">
        <v>5025</v>
      </c>
      <c r="P275" s="50" t="s">
        <v>5026</v>
      </c>
      <c r="Q275" s="14" t="s">
        <v>5027</v>
      </c>
      <c r="R275" s="14" t="s">
        <v>5028</v>
      </c>
      <c r="S275" s="50" t="s">
        <v>5029</v>
      </c>
      <c r="T275" s="14">
        <v>1.0</v>
      </c>
      <c r="U275" s="14">
        <v>0.0</v>
      </c>
      <c r="V275" s="14">
        <v>5.0</v>
      </c>
      <c r="W275" s="14">
        <v>0.0</v>
      </c>
      <c r="X275" s="14" t="s">
        <v>5031</v>
      </c>
      <c r="Y275" s="14" t="s">
        <v>61</v>
      </c>
      <c r="Z275" s="14"/>
      <c r="AA275" s="16"/>
      <c r="AB275" s="16"/>
      <c r="AC275" s="16"/>
      <c r="AD275" s="16"/>
      <c r="AE275" s="16"/>
    </row>
    <row r="276" ht="15.75" customHeight="1">
      <c r="A276" s="14">
        <v>197.0</v>
      </c>
      <c r="B276" s="14" t="s">
        <v>4021</v>
      </c>
      <c r="C276" s="75" t="s">
        <v>4022</v>
      </c>
      <c r="D276" s="205">
        <v>45554.0</v>
      </c>
      <c r="E276" s="131">
        <v>45555.0</v>
      </c>
      <c r="F276" s="14">
        <v>35766.0</v>
      </c>
      <c r="G276" s="75" t="s">
        <v>84</v>
      </c>
      <c r="H276" s="14" t="s">
        <v>205</v>
      </c>
      <c r="I276" s="80" t="s">
        <v>4036</v>
      </c>
      <c r="J276" s="50" t="s">
        <v>210</v>
      </c>
      <c r="K276" s="14" t="s">
        <v>210</v>
      </c>
      <c r="L276" s="14" t="s">
        <v>210</v>
      </c>
      <c r="M276" s="50" t="s">
        <v>5034</v>
      </c>
      <c r="N276" s="14" t="s">
        <v>32</v>
      </c>
      <c r="O276" s="50" t="s">
        <v>5035</v>
      </c>
      <c r="P276" s="50" t="s">
        <v>5036</v>
      </c>
      <c r="Q276" s="14" t="s">
        <v>5037</v>
      </c>
      <c r="R276" s="14"/>
      <c r="S276" s="14" t="s">
        <v>5039</v>
      </c>
      <c r="T276" s="14">
        <v>1.0</v>
      </c>
      <c r="U276" s="14">
        <v>0.0</v>
      </c>
      <c r="V276" s="14">
        <v>4.0</v>
      </c>
      <c r="W276" s="14">
        <v>0.0</v>
      </c>
      <c r="X276" s="14" t="s">
        <v>5041</v>
      </c>
      <c r="Y276" s="14" t="s">
        <v>61</v>
      </c>
      <c r="Z276" s="14"/>
      <c r="AA276" s="16"/>
      <c r="AB276" s="16"/>
      <c r="AC276" s="16"/>
      <c r="AD276" s="16"/>
      <c r="AE276" s="16"/>
    </row>
    <row r="277" ht="15.75" customHeight="1">
      <c r="A277" s="14">
        <v>272.0</v>
      </c>
      <c r="B277" s="14" t="s">
        <v>5042</v>
      </c>
      <c r="C277" s="14" t="s">
        <v>5043</v>
      </c>
      <c r="D277" s="141">
        <v>45925.0</v>
      </c>
      <c r="E277" s="242">
        <v>45933.0</v>
      </c>
      <c r="F277" s="243">
        <v>33286.0</v>
      </c>
      <c r="G277" s="243" t="s">
        <v>5044</v>
      </c>
      <c r="H277" s="14" t="s">
        <v>43</v>
      </c>
      <c r="I277" s="80" t="s">
        <v>5046</v>
      </c>
      <c r="J277" s="50" t="s">
        <v>2618</v>
      </c>
      <c r="K277" s="14" t="s">
        <v>47</v>
      </c>
      <c r="L277" s="14" t="s">
        <v>47</v>
      </c>
      <c r="M277" s="50" t="s">
        <v>5047</v>
      </c>
      <c r="N277" s="14" t="s">
        <v>32</v>
      </c>
      <c r="O277" s="50" t="s">
        <v>5048</v>
      </c>
      <c r="P277" s="50">
        <v>9.84908067E8</v>
      </c>
      <c r="Q277" s="14" t="s">
        <v>5049</v>
      </c>
      <c r="R277" s="14">
        <v>9.49952125E8</v>
      </c>
      <c r="S277" s="50" t="s">
        <v>5050</v>
      </c>
      <c r="T277" s="14">
        <v>1.0</v>
      </c>
      <c r="U277" s="14">
        <v>0.0</v>
      </c>
      <c r="V277" s="14">
        <v>4.0</v>
      </c>
      <c r="W277" s="14">
        <v>0.0</v>
      </c>
      <c r="X277" s="240" t="s">
        <v>5051</v>
      </c>
      <c r="Y277" s="14" t="s">
        <v>61</v>
      </c>
      <c r="Z277" s="14"/>
      <c r="AA277" s="16"/>
      <c r="AB277" s="16"/>
      <c r="AC277" s="16"/>
      <c r="AD277" s="16"/>
      <c r="AE277" s="16"/>
    </row>
    <row r="278" ht="15.75" customHeight="1">
      <c r="A278" s="14">
        <v>273.0</v>
      </c>
      <c r="B278" s="14" t="s">
        <v>5053</v>
      </c>
      <c r="C278" s="14" t="s">
        <v>5054</v>
      </c>
      <c r="D278" s="141">
        <v>45904.0</v>
      </c>
      <c r="E278" s="131">
        <v>45905.0</v>
      </c>
      <c r="F278" s="14">
        <v>37213.0</v>
      </c>
      <c r="G278" s="14" t="s">
        <v>170</v>
      </c>
      <c r="H278" s="14" t="s">
        <v>2066</v>
      </c>
      <c r="I278" s="80" t="s">
        <v>5055</v>
      </c>
      <c r="J278" s="50" t="s">
        <v>5056</v>
      </c>
      <c r="K278" s="14" t="s">
        <v>47</v>
      </c>
      <c r="L278" s="14" t="s">
        <v>47</v>
      </c>
      <c r="M278" s="50" t="s">
        <v>5057</v>
      </c>
      <c r="N278" s="14" t="s">
        <v>32</v>
      </c>
      <c r="O278" s="50"/>
      <c r="P278" s="50"/>
      <c r="Q278" s="14" t="s">
        <v>5059</v>
      </c>
      <c r="R278" s="14"/>
      <c r="S278" s="50" t="s">
        <v>5060</v>
      </c>
      <c r="T278" s="14">
        <v>1.0</v>
      </c>
      <c r="U278" s="14">
        <v>0.0</v>
      </c>
      <c r="V278" s="14">
        <v>2.0</v>
      </c>
      <c r="W278" s="14">
        <v>0.0</v>
      </c>
      <c r="X278" s="14"/>
      <c r="Y278" s="14"/>
      <c r="Z278" s="14"/>
      <c r="AA278" s="16"/>
      <c r="AB278" s="16"/>
      <c r="AC278" s="16"/>
      <c r="AD278" s="16"/>
      <c r="AE278" s="16"/>
    </row>
    <row r="279" ht="15.75" customHeight="1">
      <c r="A279" s="14">
        <v>274.0</v>
      </c>
      <c r="B279" s="14" t="s">
        <v>4304</v>
      </c>
      <c r="C279" s="14" t="s">
        <v>5062</v>
      </c>
      <c r="D279" s="141">
        <v>45905.0</v>
      </c>
      <c r="E279" s="242">
        <v>45908.0</v>
      </c>
      <c r="F279" s="243">
        <v>10267.0</v>
      </c>
      <c r="G279" s="290" t="s">
        <v>170</v>
      </c>
      <c r="H279" s="14" t="s">
        <v>603</v>
      </c>
      <c r="I279" s="80" t="s">
        <v>4309</v>
      </c>
      <c r="J279" s="50" t="s">
        <v>2704</v>
      </c>
      <c r="K279" s="14" t="s">
        <v>2038</v>
      </c>
      <c r="L279" s="14" t="s">
        <v>610</v>
      </c>
      <c r="M279" s="50" t="s">
        <v>5063</v>
      </c>
      <c r="N279" s="14" t="s">
        <v>69</v>
      </c>
      <c r="O279" s="50" t="s">
        <v>5064</v>
      </c>
      <c r="P279" s="50" t="s">
        <v>5065</v>
      </c>
      <c r="Q279" s="14" t="s">
        <v>5066</v>
      </c>
      <c r="R279" s="14"/>
      <c r="S279" s="50" t="s">
        <v>5068</v>
      </c>
      <c r="T279" s="14">
        <v>1.0</v>
      </c>
      <c r="U279" s="14">
        <v>0.0</v>
      </c>
      <c r="V279" s="14">
        <v>4.0</v>
      </c>
      <c r="W279" s="14">
        <v>0.0</v>
      </c>
      <c r="X279" s="14" t="s">
        <v>5069</v>
      </c>
      <c r="Y279" s="14"/>
      <c r="Z279" s="14"/>
      <c r="AA279" s="16"/>
      <c r="AB279" s="16"/>
      <c r="AC279" s="16"/>
      <c r="AD279" s="16"/>
      <c r="AE279" s="16"/>
    </row>
    <row r="280" ht="15.75" customHeight="1">
      <c r="A280" s="14">
        <v>275.0</v>
      </c>
      <c r="B280" s="14" t="s">
        <v>5070</v>
      </c>
      <c r="C280" s="14" t="s">
        <v>5071</v>
      </c>
      <c r="D280" s="120">
        <v>45954.0</v>
      </c>
      <c r="E280" s="68">
        <v>45957.0</v>
      </c>
      <c r="F280" s="14">
        <v>16541.0</v>
      </c>
      <c r="G280" s="14" t="s">
        <v>170</v>
      </c>
      <c r="H280" s="14" t="s">
        <v>1299</v>
      </c>
      <c r="I280" s="80" t="s">
        <v>4162</v>
      </c>
      <c r="J280" s="50" t="s">
        <v>586</v>
      </c>
      <c r="K280" s="14" t="s">
        <v>586</v>
      </c>
      <c r="L280" s="14" t="s">
        <v>586</v>
      </c>
      <c r="M280" s="50" t="s">
        <v>5073</v>
      </c>
      <c r="N280" s="14" t="s">
        <v>32</v>
      </c>
      <c r="O280" s="50" t="s">
        <v>5074</v>
      </c>
      <c r="P280" s="50">
        <v>9.58230438E8</v>
      </c>
      <c r="Q280" s="14" t="s">
        <v>5075</v>
      </c>
      <c r="R280" s="14"/>
      <c r="S280" s="50" t="s">
        <v>5076</v>
      </c>
      <c r="T280" s="14">
        <v>1.0</v>
      </c>
      <c r="U280" s="14">
        <v>0.0</v>
      </c>
      <c r="V280" s="14">
        <v>2.0</v>
      </c>
      <c r="W280" s="14">
        <v>1.0</v>
      </c>
      <c r="X280" s="217" t="s">
        <v>5078</v>
      </c>
      <c r="Y280" s="14"/>
      <c r="Z280" s="14"/>
      <c r="AA280" s="16"/>
      <c r="AB280" s="16"/>
      <c r="AC280" s="16"/>
      <c r="AD280" s="16"/>
      <c r="AE280" s="16"/>
    </row>
    <row r="281" ht="15.75" customHeight="1">
      <c r="A281" s="14">
        <v>276.0</v>
      </c>
      <c r="B281" s="14" t="s">
        <v>5080</v>
      </c>
      <c r="C281" s="14" t="s">
        <v>5081</v>
      </c>
      <c r="D281" s="141">
        <v>45908.0</v>
      </c>
      <c r="E281" s="131">
        <v>45909.0</v>
      </c>
      <c r="F281" s="14">
        <v>5850.0</v>
      </c>
      <c r="G281" s="14" t="s">
        <v>84</v>
      </c>
      <c r="H281" s="14" t="s">
        <v>5082</v>
      </c>
      <c r="I281" s="80" t="s">
        <v>4270</v>
      </c>
      <c r="J281" s="50" t="s">
        <v>5083</v>
      </c>
      <c r="K281" s="14" t="s">
        <v>5084</v>
      </c>
      <c r="L281" s="14" t="s">
        <v>47</v>
      </c>
      <c r="M281" s="50" t="s">
        <v>5085</v>
      </c>
      <c r="N281" s="14" t="s">
        <v>50</v>
      </c>
      <c r="O281" s="50" t="s">
        <v>5086</v>
      </c>
      <c r="P281" s="50"/>
      <c r="Q281" s="14" t="s">
        <v>5087</v>
      </c>
      <c r="R281" s="14">
        <v>9.89912236E8</v>
      </c>
      <c r="S281" s="50" t="s">
        <v>5089</v>
      </c>
      <c r="T281" s="14">
        <v>1.0</v>
      </c>
      <c r="U281" s="14">
        <v>0.0</v>
      </c>
      <c r="V281" s="14">
        <v>6.0</v>
      </c>
      <c r="W281" s="14">
        <v>0.0</v>
      </c>
      <c r="X281" s="14" t="s">
        <v>5090</v>
      </c>
      <c r="Y281" s="14" t="s">
        <v>61</v>
      </c>
      <c r="Z281" s="14"/>
      <c r="AA281" s="16"/>
      <c r="AB281" s="16"/>
      <c r="AC281" s="16"/>
      <c r="AD281" s="16"/>
      <c r="AE281" s="16"/>
    </row>
    <row r="282" ht="15.75" customHeight="1">
      <c r="A282" s="14">
        <v>277.0</v>
      </c>
      <c r="B282" s="14" t="s">
        <v>5092</v>
      </c>
      <c r="C282" s="14" t="s">
        <v>5093</v>
      </c>
      <c r="D282" s="141">
        <v>45897.0</v>
      </c>
      <c r="E282" s="131">
        <v>45898.0</v>
      </c>
      <c r="F282" s="14">
        <v>5145.0</v>
      </c>
      <c r="G282" s="14" t="s">
        <v>84</v>
      </c>
      <c r="H282" s="14" t="s">
        <v>656</v>
      </c>
      <c r="I282" s="198" t="s">
        <v>5094</v>
      </c>
      <c r="J282" s="50" t="s">
        <v>5096</v>
      </c>
      <c r="K282" s="14" t="s">
        <v>5097</v>
      </c>
      <c r="L282" s="14" t="s">
        <v>663</v>
      </c>
      <c r="M282" s="50" t="s">
        <v>5098</v>
      </c>
      <c r="N282" s="14" t="s">
        <v>50</v>
      </c>
      <c r="O282" s="50" t="s">
        <v>5099</v>
      </c>
      <c r="P282" s="50" t="s">
        <v>5100</v>
      </c>
      <c r="Q282" s="14" t="s">
        <v>5101</v>
      </c>
      <c r="R282" s="14">
        <v>9.22016042E8</v>
      </c>
      <c r="S282" s="50" t="s">
        <v>5102</v>
      </c>
      <c r="T282" s="14">
        <v>0.0</v>
      </c>
      <c r="U282" s="14">
        <v>1.0</v>
      </c>
      <c r="V282" s="14">
        <v>5.0</v>
      </c>
      <c r="W282" s="14">
        <v>0.0</v>
      </c>
      <c r="X282" s="171" t="s">
        <v>5105</v>
      </c>
      <c r="Y282" s="14"/>
      <c r="Z282" s="14"/>
      <c r="AA282" s="16"/>
      <c r="AB282" s="16"/>
      <c r="AC282" s="16"/>
      <c r="AD282" s="16"/>
      <c r="AE282" s="16"/>
    </row>
    <row r="283" ht="15.75" customHeight="1">
      <c r="A283" s="14">
        <v>278.0</v>
      </c>
      <c r="B283" s="14" t="s">
        <v>5107</v>
      </c>
      <c r="C283" s="14" t="s">
        <v>5108</v>
      </c>
      <c r="D283" s="141">
        <v>45926.0</v>
      </c>
      <c r="E283" s="131">
        <v>45931.0</v>
      </c>
      <c r="F283" s="14">
        <v>9104.0</v>
      </c>
      <c r="G283" s="14" t="s">
        <v>63</v>
      </c>
      <c r="H283" s="14" t="s">
        <v>43</v>
      </c>
      <c r="I283" s="80" t="s">
        <v>5109</v>
      </c>
      <c r="J283" s="50" t="s">
        <v>818</v>
      </c>
      <c r="K283" s="14" t="s">
        <v>47</v>
      </c>
      <c r="L283" s="14" t="s">
        <v>47</v>
      </c>
      <c r="M283" s="50" t="s">
        <v>5110</v>
      </c>
      <c r="N283" s="14" t="s">
        <v>32</v>
      </c>
      <c r="O283" s="50" t="s">
        <v>5111</v>
      </c>
      <c r="P283" s="50"/>
      <c r="Q283" s="14" t="s">
        <v>5112</v>
      </c>
      <c r="R283" s="14"/>
      <c r="S283" s="50" t="s">
        <v>5114</v>
      </c>
      <c r="T283" s="14">
        <v>1.0</v>
      </c>
      <c r="U283" s="14">
        <v>0.0</v>
      </c>
      <c r="V283" s="14">
        <v>5.0</v>
      </c>
      <c r="W283" s="14">
        <v>0.0</v>
      </c>
      <c r="X283" s="14" t="s">
        <v>5115</v>
      </c>
      <c r="Y283" s="14"/>
      <c r="Z283" s="14"/>
      <c r="AA283" s="16"/>
      <c r="AB283" s="16"/>
      <c r="AC283" s="16"/>
      <c r="AD283" s="16"/>
      <c r="AE283" s="16"/>
    </row>
    <row r="284" ht="15.75" customHeight="1">
      <c r="A284" s="14">
        <v>279.0</v>
      </c>
      <c r="B284" s="14" t="s">
        <v>5117</v>
      </c>
      <c r="C284" s="14" t="s">
        <v>5118</v>
      </c>
      <c r="D284" s="141">
        <v>45912.0</v>
      </c>
      <c r="E284" s="131">
        <v>45915.0</v>
      </c>
      <c r="F284" s="14">
        <v>839.0</v>
      </c>
      <c r="G284" s="243" t="s">
        <v>4307</v>
      </c>
      <c r="H284" s="14" t="s">
        <v>5119</v>
      </c>
      <c r="I284" s="80" t="s">
        <v>4517</v>
      </c>
      <c r="J284" s="50" t="s">
        <v>5120</v>
      </c>
      <c r="K284" s="14" t="s">
        <v>5121</v>
      </c>
      <c r="L284" s="14" t="s">
        <v>419</v>
      </c>
      <c r="M284" s="50" t="s">
        <v>5122</v>
      </c>
      <c r="N284" s="14" t="s">
        <v>50</v>
      </c>
      <c r="O284" s="50" t="s">
        <v>5124</v>
      </c>
      <c r="P284" s="50"/>
      <c r="Q284" s="14" t="s">
        <v>5125</v>
      </c>
      <c r="R284" s="14"/>
      <c r="S284" s="50" t="s">
        <v>5126</v>
      </c>
      <c r="T284" s="14">
        <v>1.0</v>
      </c>
      <c r="U284" s="14">
        <v>0.0</v>
      </c>
      <c r="V284" s="14">
        <v>4.0</v>
      </c>
      <c r="W284" s="14">
        <v>0.0</v>
      </c>
      <c r="X284" s="14" t="s">
        <v>5127</v>
      </c>
      <c r="Y284" s="14" t="s">
        <v>61</v>
      </c>
      <c r="Z284" s="14"/>
      <c r="AA284" s="16"/>
      <c r="AB284" s="16"/>
      <c r="AC284" s="16"/>
      <c r="AD284" s="16"/>
      <c r="AE284" s="16"/>
    </row>
    <row r="285" ht="15.75" customHeight="1">
      <c r="A285" s="14">
        <v>280.0</v>
      </c>
      <c r="B285" s="14" t="s">
        <v>5128</v>
      </c>
      <c r="C285" s="14" t="s">
        <v>5129</v>
      </c>
      <c r="D285" s="141">
        <v>45965.0</v>
      </c>
      <c r="E285" s="131">
        <v>45965.0</v>
      </c>
      <c r="F285" s="14">
        <v>34984.0</v>
      </c>
      <c r="G285" s="533" t="s">
        <v>4307</v>
      </c>
      <c r="H285" s="14" t="s">
        <v>1901</v>
      </c>
      <c r="I285" s="80" t="s">
        <v>5132</v>
      </c>
      <c r="J285" s="50" t="s">
        <v>509</v>
      </c>
      <c r="K285" s="14" t="s">
        <v>5133</v>
      </c>
      <c r="L285" s="14" t="s">
        <v>322</v>
      </c>
      <c r="M285" s="50" t="s">
        <v>5134</v>
      </c>
      <c r="N285" s="14" t="s">
        <v>32</v>
      </c>
      <c r="O285" s="50" t="s">
        <v>5135</v>
      </c>
      <c r="P285" s="50">
        <v>9.42476354E8</v>
      </c>
      <c r="Q285" s="14" t="s">
        <v>5137</v>
      </c>
      <c r="R285" s="14"/>
      <c r="S285" s="50" t="s">
        <v>5138</v>
      </c>
      <c r="T285" s="14">
        <v>1.0</v>
      </c>
      <c r="U285" s="14">
        <v>0.0</v>
      </c>
      <c r="V285" s="14">
        <v>3.0</v>
      </c>
      <c r="W285" s="14">
        <v>0.0</v>
      </c>
      <c r="X285" s="14" t="s">
        <v>5139</v>
      </c>
      <c r="Y285" s="14"/>
      <c r="Z285" s="14"/>
      <c r="AA285" s="16"/>
      <c r="AB285" s="16"/>
      <c r="AC285" s="16"/>
      <c r="AD285" s="16"/>
      <c r="AE285" s="16"/>
    </row>
    <row r="286" ht="15.75" customHeight="1">
      <c r="A286" s="14">
        <v>281.0</v>
      </c>
      <c r="B286" s="14" t="s">
        <v>5140</v>
      </c>
      <c r="C286" s="14" t="s">
        <v>5141</v>
      </c>
      <c r="D286" s="141">
        <v>45917.0</v>
      </c>
      <c r="E286" s="131">
        <v>45919.0</v>
      </c>
      <c r="F286" s="14">
        <v>30220.0</v>
      </c>
      <c r="G286" s="290" t="s">
        <v>170</v>
      </c>
      <c r="H286" s="14" t="s">
        <v>506</v>
      </c>
      <c r="I286" s="80" t="s">
        <v>5143</v>
      </c>
      <c r="J286" s="50" t="s">
        <v>5144</v>
      </c>
      <c r="K286" s="14" t="s">
        <v>5145</v>
      </c>
      <c r="L286" s="14" t="s">
        <v>496</v>
      </c>
      <c r="M286" s="50" t="s">
        <v>5146</v>
      </c>
      <c r="N286" s="14" t="s">
        <v>32</v>
      </c>
      <c r="O286" s="50" t="s">
        <v>5147</v>
      </c>
      <c r="P286" s="50">
        <v>9.22378323E8</v>
      </c>
      <c r="Q286" s="14" t="s">
        <v>4996</v>
      </c>
      <c r="R286" s="14"/>
      <c r="S286" s="50" t="s">
        <v>5148</v>
      </c>
      <c r="T286" s="14">
        <v>0.0</v>
      </c>
      <c r="U286" s="14">
        <v>1.0</v>
      </c>
      <c r="V286" s="14">
        <v>0.0</v>
      </c>
      <c r="W286" s="14">
        <v>2.0</v>
      </c>
      <c r="X286" s="14" t="s">
        <v>5150</v>
      </c>
      <c r="Y286" s="14" t="s">
        <v>3791</v>
      </c>
      <c r="Z286" s="14"/>
      <c r="AA286" s="16"/>
      <c r="AB286" s="16"/>
      <c r="AC286" s="16"/>
      <c r="AD286" s="16"/>
      <c r="AE286" s="16"/>
    </row>
    <row r="287" ht="15.75" customHeight="1">
      <c r="A287" s="14">
        <v>282.0</v>
      </c>
      <c r="B287" s="14" t="s">
        <v>5151</v>
      </c>
      <c r="C287" s="14" t="s">
        <v>5152</v>
      </c>
      <c r="D287" s="120">
        <v>45971.0</v>
      </c>
      <c r="E287" s="68">
        <v>45972.0</v>
      </c>
      <c r="F287" s="14">
        <v>9660.0</v>
      </c>
      <c r="G287" s="14" t="s">
        <v>84</v>
      </c>
      <c r="H287" s="14" t="s">
        <v>2727</v>
      </c>
      <c r="I287" s="80" t="s">
        <v>4569</v>
      </c>
      <c r="J287" s="50" t="s">
        <v>210</v>
      </c>
      <c r="K287" s="14" t="s">
        <v>210</v>
      </c>
      <c r="L287" s="14" t="s">
        <v>210</v>
      </c>
      <c r="M287" s="50" t="s">
        <v>5155</v>
      </c>
      <c r="N287" s="14" t="s">
        <v>32</v>
      </c>
      <c r="O287" s="50" t="s">
        <v>5157</v>
      </c>
      <c r="P287" s="50" t="s">
        <v>5158</v>
      </c>
      <c r="Q287" s="14" t="s">
        <v>2737</v>
      </c>
      <c r="R287" s="14">
        <v>9.50999223E8</v>
      </c>
      <c r="S287" s="50" t="s">
        <v>5160</v>
      </c>
      <c r="T287" s="14">
        <v>1.0</v>
      </c>
      <c r="U287" s="14">
        <v>0.0</v>
      </c>
      <c r="V287" s="14">
        <v>3.0</v>
      </c>
      <c r="W287" s="14">
        <v>0.0</v>
      </c>
      <c r="X287" s="14" t="s">
        <v>5161</v>
      </c>
      <c r="Y287" s="14" t="s">
        <v>3791</v>
      </c>
      <c r="Z287" s="16"/>
      <c r="AA287" s="16"/>
      <c r="AB287" s="16"/>
      <c r="AC287" s="16"/>
      <c r="AD287" s="16"/>
      <c r="AE287" s="16"/>
    </row>
    <row r="288" ht="15.75" customHeight="1">
      <c r="A288" s="14">
        <v>283.0</v>
      </c>
      <c r="B288" s="14" t="s">
        <v>5163</v>
      </c>
      <c r="C288" s="14" t="s">
        <v>5164</v>
      </c>
      <c r="D288" s="120">
        <v>45959.0</v>
      </c>
      <c r="E288" s="68">
        <v>45960.0</v>
      </c>
      <c r="F288" s="14">
        <v>33814.0</v>
      </c>
      <c r="G288" s="290" t="s">
        <v>84</v>
      </c>
      <c r="H288" s="14" t="s">
        <v>506</v>
      </c>
      <c r="I288" s="224" t="s">
        <v>5167</v>
      </c>
      <c r="J288" s="10" t="s">
        <v>510</v>
      </c>
      <c r="K288" s="16" t="s">
        <v>510</v>
      </c>
      <c r="L288" s="14" t="s">
        <v>496</v>
      </c>
      <c r="M288" s="10" t="s">
        <v>5170</v>
      </c>
      <c r="N288" s="16" t="s">
        <v>32</v>
      </c>
      <c r="O288" s="10" t="s">
        <v>5171</v>
      </c>
      <c r="P288" s="10"/>
      <c r="Q288" s="16" t="s">
        <v>5172</v>
      </c>
      <c r="R288" s="16"/>
      <c r="S288" s="10" t="s">
        <v>5173</v>
      </c>
      <c r="T288" s="16">
        <v>1.0</v>
      </c>
      <c r="U288" s="16">
        <v>0.0</v>
      </c>
      <c r="V288" s="16">
        <v>4.0</v>
      </c>
      <c r="W288" s="16">
        <v>0.0</v>
      </c>
      <c r="X288" s="16" t="s">
        <v>5175</v>
      </c>
      <c r="Y288" s="16" t="s">
        <v>3791</v>
      </c>
      <c r="Z288" s="16"/>
      <c r="AA288" s="16"/>
      <c r="AB288" s="16"/>
      <c r="AC288" s="16"/>
      <c r="AD288" s="16"/>
      <c r="AE288" s="16"/>
    </row>
    <row r="289" ht="15.75" customHeight="1">
      <c r="A289" s="14">
        <v>284.0</v>
      </c>
      <c r="B289" s="14" t="s">
        <v>5180</v>
      </c>
      <c r="C289" s="14" t="s">
        <v>5181</v>
      </c>
      <c r="D289" s="120">
        <v>45953.0</v>
      </c>
      <c r="E289" s="68">
        <v>45954.0</v>
      </c>
      <c r="F289" s="14">
        <v>31850.0</v>
      </c>
      <c r="G289" s="290" t="s">
        <v>170</v>
      </c>
      <c r="H289" s="14" t="s">
        <v>656</v>
      </c>
      <c r="I289" s="80" t="s">
        <v>5185</v>
      </c>
      <c r="J289" s="50" t="s">
        <v>3759</v>
      </c>
      <c r="K289" s="14" t="s">
        <v>3760</v>
      </c>
      <c r="L289" s="14" t="s">
        <v>663</v>
      </c>
      <c r="M289" s="50" t="s">
        <v>5190</v>
      </c>
      <c r="N289" s="14" t="s">
        <v>32</v>
      </c>
      <c r="O289" s="50" t="s">
        <v>5192</v>
      </c>
      <c r="P289" s="50">
        <v>9.50477202E8</v>
      </c>
      <c r="Q289" s="14" t="s">
        <v>5027</v>
      </c>
      <c r="R289" s="14">
        <v>9.32122822E8</v>
      </c>
      <c r="S289" s="50" t="s">
        <v>5195</v>
      </c>
      <c r="T289" s="14">
        <v>1.0</v>
      </c>
      <c r="U289" s="14">
        <v>0.0</v>
      </c>
      <c r="V289" s="14"/>
      <c r="W289" s="14"/>
      <c r="X289" s="14" t="s">
        <v>5197</v>
      </c>
      <c r="Y289" s="14" t="s">
        <v>3791</v>
      </c>
      <c r="Z289" s="16"/>
      <c r="AA289" s="16"/>
      <c r="AB289" s="16"/>
      <c r="AC289" s="16"/>
      <c r="AD289" s="16"/>
      <c r="AE289" s="16"/>
    </row>
    <row r="290" ht="15.75" customHeight="1">
      <c r="A290" s="14">
        <v>285.0</v>
      </c>
      <c r="B290" s="14" t="s">
        <v>5200</v>
      </c>
      <c r="C290" s="14" t="s">
        <v>5201</v>
      </c>
      <c r="D290" s="120">
        <v>45959.0</v>
      </c>
      <c r="E290" s="68">
        <v>45961.0</v>
      </c>
      <c r="F290" s="14">
        <v>1633.0</v>
      </c>
      <c r="G290" s="14" t="s">
        <v>84</v>
      </c>
      <c r="H290" s="14" t="s">
        <v>942</v>
      </c>
      <c r="I290" s="80" t="s">
        <v>5207</v>
      </c>
      <c r="J290" s="50" t="s">
        <v>5209</v>
      </c>
      <c r="K290" s="14" t="s">
        <v>5211</v>
      </c>
      <c r="L290" s="14" t="s">
        <v>948</v>
      </c>
      <c r="M290" s="50" t="s">
        <v>5214</v>
      </c>
      <c r="N290" s="14" t="s">
        <v>50</v>
      </c>
      <c r="O290" s="50" t="s">
        <v>5218</v>
      </c>
      <c r="P290" s="50">
        <v>9.50507179E8</v>
      </c>
      <c r="Q290" s="14" t="s">
        <v>5221</v>
      </c>
      <c r="R290" s="14">
        <v>9.61799576E8</v>
      </c>
      <c r="S290" s="50" t="s">
        <v>5224</v>
      </c>
      <c r="T290" s="14">
        <v>1.0</v>
      </c>
      <c r="U290" s="14">
        <v>0.0</v>
      </c>
      <c r="V290" s="14">
        <v>2.0</v>
      </c>
      <c r="W290" s="14">
        <v>3.0</v>
      </c>
      <c r="X290" s="14" t="s">
        <v>5227</v>
      </c>
      <c r="Y290" s="14" t="s">
        <v>3791</v>
      </c>
      <c r="Z290" s="14"/>
      <c r="AA290" s="16"/>
      <c r="AB290" s="16"/>
      <c r="AC290" s="16"/>
      <c r="AD290" s="16"/>
      <c r="AE290" s="16"/>
    </row>
    <row r="291" ht="15.75" customHeight="1">
      <c r="A291" s="14">
        <v>286.0</v>
      </c>
      <c r="B291" s="14" t="s">
        <v>5231</v>
      </c>
      <c r="C291" s="14" t="s">
        <v>5233</v>
      </c>
      <c r="D291" s="120">
        <v>45982.0</v>
      </c>
      <c r="E291" s="68">
        <v>45987.0</v>
      </c>
      <c r="F291" s="14">
        <v>26079.0</v>
      </c>
      <c r="G291" s="14" t="s">
        <v>84</v>
      </c>
      <c r="H291" s="14" t="s">
        <v>1234</v>
      </c>
      <c r="I291" s="168" t="s">
        <v>5236</v>
      </c>
      <c r="J291" s="14" t="s">
        <v>1238</v>
      </c>
      <c r="K291" s="14" t="s">
        <v>1240</v>
      </c>
      <c r="L291" s="14" t="s">
        <v>1103</v>
      </c>
      <c r="M291" s="14" t="s">
        <v>5241</v>
      </c>
      <c r="N291" s="14" t="s">
        <v>32</v>
      </c>
      <c r="O291" s="14" t="s">
        <v>5244</v>
      </c>
      <c r="P291" s="14"/>
      <c r="Q291" s="14" t="s">
        <v>5245</v>
      </c>
      <c r="R291" s="14">
        <v>9.53935675E8</v>
      </c>
      <c r="S291" s="14" t="s">
        <v>5246</v>
      </c>
      <c r="T291" s="14">
        <v>1.0</v>
      </c>
      <c r="U291" s="14">
        <v>0.0</v>
      </c>
      <c r="V291" s="14">
        <v>4.0</v>
      </c>
      <c r="W291" s="14">
        <v>0.0</v>
      </c>
      <c r="X291" s="14" t="s">
        <v>5248</v>
      </c>
      <c r="Y291" s="14" t="s">
        <v>3791</v>
      </c>
      <c r="Z291" s="14"/>
      <c r="AA291" s="16"/>
      <c r="AB291" s="16"/>
      <c r="AC291" s="16"/>
      <c r="AD291" s="16"/>
      <c r="AE291" s="16"/>
    </row>
    <row r="292" ht="15.75" customHeight="1">
      <c r="A292" s="14">
        <v>287.0</v>
      </c>
      <c r="B292" s="14" t="s">
        <v>5255</v>
      </c>
      <c r="C292" s="14" t="s">
        <v>5256</v>
      </c>
      <c r="D292" s="120">
        <v>46014.0</v>
      </c>
      <c r="E292" s="542">
        <v>46022.0</v>
      </c>
      <c r="F292" s="440">
        <v>980.0</v>
      </c>
      <c r="G292" s="14" t="s">
        <v>84</v>
      </c>
      <c r="H292" s="14" t="s">
        <v>1604</v>
      </c>
      <c r="I292" s="544" t="s">
        <v>5262</v>
      </c>
      <c r="J292" s="50" t="s">
        <v>4195</v>
      </c>
      <c r="K292" s="14" t="s">
        <v>4195</v>
      </c>
      <c r="L292" s="14" t="s">
        <v>1319</v>
      </c>
      <c r="M292" s="440" t="s">
        <v>5264</v>
      </c>
      <c r="N292" s="14" t="s">
        <v>50</v>
      </c>
      <c r="O292" s="50" t="s">
        <v>5267</v>
      </c>
      <c r="P292" s="50" t="s">
        <v>5268</v>
      </c>
      <c r="Q292" s="14" t="s">
        <v>5270</v>
      </c>
      <c r="R292" s="14">
        <v>9.45114675E8</v>
      </c>
      <c r="S292" s="50" t="s">
        <v>5273</v>
      </c>
      <c r="T292" s="14">
        <v>0.0</v>
      </c>
      <c r="U292" s="14">
        <v>1.0</v>
      </c>
      <c r="V292" s="14">
        <v>1.0</v>
      </c>
      <c r="W292" s="14">
        <v>2.0</v>
      </c>
      <c r="X292" s="409" t="s">
        <v>5277</v>
      </c>
      <c r="Y292" s="14" t="s">
        <v>3791</v>
      </c>
      <c r="Z292" s="14"/>
      <c r="AA292" s="16"/>
      <c r="AB292" s="14"/>
      <c r="AC292" s="14"/>
      <c r="AD292" s="16"/>
      <c r="AE292" s="16"/>
    </row>
    <row r="293" ht="16.5" customHeight="1">
      <c r="A293" s="14">
        <v>288.0</v>
      </c>
      <c r="B293" s="14" t="s">
        <v>5281</v>
      </c>
      <c r="C293" s="14" t="s">
        <v>5282</v>
      </c>
      <c r="D293" s="120">
        <v>46010.0</v>
      </c>
      <c r="E293" s="68">
        <v>46015.0</v>
      </c>
      <c r="F293" s="14">
        <v>28152.0</v>
      </c>
      <c r="G293" s="290" t="s">
        <v>170</v>
      </c>
      <c r="H293" s="14" t="s">
        <v>656</v>
      </c>
      <c r="I293" s="80" t="s">
        <v>5286</v>
      </c>
      <c r="J293" s="50" t="s">
        <v>3759</v>
      </c>
      <c r="K293" s="14" t="s">
        <v>3760</v>
      </c>
      <c r="L293" s="14" t="s">
        <v>663</v>
      </c>
      <c r="M293" s="217" t="s">
        <v>5290</v>
      </c>
      <c r="N293" s="14" t="s">
        <v>32</v>
      </c>
      <c r="O293" s="50" t="s">
        <v>5294</v>
      </c>
      <c r="P293" s="50"/>
      <c r="Q293" s="14" t="s">
        <v>5297</v>
      </c>
      <c r="R293" s="14"/>
      <c r="S293" s="50" t="s">
        <v>5300</v>
      </c>
      <c r="T293" s="14">
        <v>1.0</v>
      </c>
      <c r="U293" s="14">
        <v>0.0</v>
      </c>
      <c r="V293" s="14">
        <v>4.0</v>
      </c>
      <c r="W293" s="14">
        <v>0.0</v>
      </c>
      <c r="X293" s="492" t="s">
        <v>5305</v>
      </c>
      <c r="Y293" s="14" t="s">
        <v>3791</v>
      </c>
      <c r="Z293" s="14"/>
      <c r="AA293" s="14"/>
      <c r="AB293" s="16"/>
      <c r="AC293" s="16"/>
      <c r="AD293" s="14"/>
      <c r="AE293" s="14"/>
    </row>
    <row r="294" ht="15.75" customHeight="1">
      <c r="A294" s="14">
        <v>289.0</v>
      </c>
      <c r="B294" s="14" t="s">
        <v>5312</v>
      </c>
      <c r="C294" s="14" t="s">
        <v>5314</v>
      </c>
      <c r="D294" s="120">
        <v>45985.0</v>
      </c>
      <c r="E294" s="131">
        <v>45995.0</v>
      </c>
      <c r="F294" s="14">
        <v>9273.0</v>
      </c>
      <c r="G294" s="14" t="s">
        <v>170</v>
      </c>
      <c r="H294" s="14" t="s">
        <v>942</v>
      </c>
      <c r="I294" s="80" t="s">
        <v>5317</v>
      </c>
      <c r="J294" s="50" t="s">
        <v>1661</v>
      </c>
      <c r="K294" s="14" t="s">
        <v>1661</v>
      </c>
      <c r="L294" s="14" t="s">
        <v>948</v>
      </c>
      <c r="M294" s="50" t="s">
        <v>5320</v>
      </c>
      <c r="N294" s="14" t="s">
        <v>32</v>
      </c>
      <c r="O294" s="50" t="s">
        <v>5321</v>
      </c>
      <c r="P294" s="50">
        <v>9.31037946E8</v>
      </c>
      <c r="Q294" s="224" t="s">
        <v>5322</v>
      </c>
      <c r="R294" s="224">
        <v>9.53989457E8</v>
      </c>
      <c r="S294" s="50" t="s">
        <v>5324</v>
      </c>
      <c r="T294" s="14">
        <v>0.0</v>
      </c>
      <c r="U294" s="14">
        <v>1.0</v>
      </c>
      <c r="V294" s="14">
        <v>5.0</v>
      </c>
      <c r="W294" s="14">
        <v>0.0</v>
      </c>
      <c r="X294" s="158" t="s">
        <v>5325</v>
      </c>
      <c r="Y294" s="14" t="s">
        <v>3791</v>
      </c>
      <c r="Z294" s="16"/>
      <c r="AA294" s="16"/>
      <c r="AB294" s="16"/>
      <c r="AC294" s="16"/>
      <c r="AD294" s="16"/>
      <c r="AE294" s="16"/>
    </row>
    <row r="295" ht="15.75" customHeight="1">
      <c r="A295" s="14">
        <v>290.0</v>
      </c>
      <c r="B295" s="14" t="s">
        <v>5328</v>
      </c>
      <c r="C295" s="14" t="s">
        <v>5329</v>
      </c>
      <c r="D295" s="120">
        <v>46007.0</v>
      </c>
      <c r="E295" s="68">
        <v>46010.0</v>
      </c>
      <c r="F295" s="14">
        <v>15934.0</v>
      </c>
      <c r="G295" s="14" t="s">
        <v>170</v>
      </c>
      <c r="H295" s="14" t="s">
        <v>43</v>
      </c>
      <c r="I295" s="80" t="s">
        <v>5336</v>
      </c>
      <c r="J295" s="50" t="s">
        <v>46</v>
      </c>
      <c r="K295" s="14" t="s">
        <v>47</v>
      </c>
      <c r="L295" s="14" t="s">
        <v>47</v>
      </c>
      <c r="M295" s="50" t="s">
        <v>5338</v>
      </c>
      <c r="N295" s="14" t="s">
        <v>32</v>
      </c>
      <c r="O295" s="50" t="s">
        <v>5341</v>
      </c>
      <c r="P295" s="50">
        <v>9.66231766E8</v>
      </c>
      <c r="Q295" s="14" t="s">
        <v>5343</v>
      </c>
      <c r="R295" s="14">
        <v>9.59187175E8</v>
      </c>
      <c r="S295" s="50" t="s">
        <v>5344</v>
      </c>
      <c r="T295" s="14">
        <v>1.0</v>
      </c>
      <c r="U295" s="14">
        <v>0.0</v>
      </c>
      <c r="V295" s="14">
        <v>3.0</v>
      </c>
      <c r="W295" s="14">
        <v>0.0</v>
      </c>
      <c r="X295" s="14" t="s">
        <v>5346</v>
      </c>
      <c r="Y295" s="14"/>
      <c r="Z295" s="16"/>
      <c r="AA295" s="16"/>
      <c r="AB295" s="16"/>
      <c r="AC295" s="16"/>
      <c r="AD295" s="16"/>
      <c r="AE295" s="16"/>
    </row>
    <row r="296" ht="15.75" customHeight="1">
      <c r="A296" s="14">
        <v>291.0</v>
      </c>
      <c r="B296" s="14" t="s">
        <v>5348</v>
      </c>
      <c r="C296" s="14" t="s">
        <v>5351</v>
      </c>
      <c r="D296" s="120">
        <v>46006.0</v>
      </c>
      <c r="E296" s="68">
        <v>46010.0</v>
      </c>
      <c r="F296" s="14">
        <v>2398.0</v>
      </c>
      <c r="G296" s="14" t="s">
        <v>84</v>
      </c>
      <c r="H296" s="14" t="s">
        <v>1299</v>
      </c>
      <c r="I296" s="80" t="s">
        <v>5356</v>
      </c>
      <c r="J296" s="50" t="s">
        <v>5357</v>
      </c>
      <c r="K296" s="14" t="s">
        <v>5359</v>
      </c>
      <c r="L296" s="14" t="s">
        <v>586</v>
      </c>
      <c r="M296" s="50" t="s">
        <v>5361</v>
      </c>
      <c r="N296" s="14" t="s">
        <v>50</v>
      </c>
      <c r="O296" s="50" t="s">
        <v>5364</v>
      </c>
      <c r="P296" s="50">
        <v>9.84027156E8</v>
      </c>
      <c r="Q296" s="14" t="s">
        <v>5364</v>
      </c>
      <c r="R296" s="14" t="s">
        <v>5366</v>
      </c>
      <c r="S296" s="50" t="s">
        <v>5367</v>
      </c>
      <c r="T296" s="14">
        <v>0.0</v>
      </c>
      <c r="U296" s="14">
        <v>1.0</v>
      </c>
      <c r="V296" s="14">
        <v>0.0</v>
      </c>
      <c r="W296" s="14">
        <v>4.0</v>
      </c>
      <c r="X296" s="217" t="s">
        <v>5370</v>
      </c>
      <c r="Y296" s="14"/>
      <c r="Z296" s="203" t="s">
        <v>5371</v>
      </c>
      <c r="AA296" s="16"/>
      <c r="AB296" s="16"/>
      <c r="AC296" s="16"/>
      <c r="AD296" s="16"/>
      <c r="AE296" s="16"/>
    </row>
    <row r="297" ht="15.75" customHeight="1">
      <c r="A297" s="14">
        <v>292.0</v>
      </c>
      <c r="B297" s="197" t="s">
        <v>5376</v>
      </c>
      <c r="C297" s="14" t="s">
        <v>5378</v>
      </c>
      <c r="D297" s="120">
        <v>46010.0</v>
      </c>
      <c r="E297" s="546">
        <v>46013.0</v>
      </c>
      <c r="F297" s="197">
        <v>11087.0</v>
      </c>
      <c r="G297" s="14" t="s">
        <v>84</v>
      </c>
      <c r="H297" s="14" t="s">
        <v>43</v>
      </c>
      <c r="I297" s="80" t="s">
        <v>5386</v>
      </c>
      <c r="J297" s="50" t="s">
        <v>717</v>
      </c>
      <c r="K297" s="14" t="s">
        <v>47</v>
      </c>
      <c r="L297" s="14" t="s">
        <v>47</v>
      </c>
      <c r="M297" s="547" t="s">
        <v>5387</v>
      </c>
      <c r="N297" s="14" t="s">
        <v>32</v>
      </c>
      <c r="O297" s="50" t="s">
        <v>5389</v>
      </c>
      <c r="P297" s="50">
        <v>9.80450981E8</v>
      </c>
      <c r="Q297" s="14" t="s">
        <v>5391</v>
      </c>
      <c r="R297" s="14" t="s">
        <v>5393</v>
      </c>
      <c r="S297" s="50" t="s">
        <v>5396</v>
      </c>
      <c r="T297" s="14">
        <v>1.0</v>
      </c>
      <c r="U297" s="14">
        <v>0.0</v>
      </c>
      <c r="V297" s="14">
        <v>2.0</v>
      </c>
      <c r="W297" s="14">
        <v>0.0</v>
      </c>
      <c r="X297" s="158" t="s">
        <v>5399</v>
      </c>
      <c r="Y297" s="14" t="s">
        <v>5401</v>
      </c>
      <c r="Z297" s="16"/>
      <c r="AA297" s="16"/>
      <c r="AB297" s="16"/>
      <c r="AC297" s="16"/>
      <c r="AD297" s="16"/>
      <c r="AE297" s="16"/>
    </row>
    <row r="298" ht="15.75" customHeight="1">
      <c r="A298" s="14">
        <v>293.0</v>
      </c>
      <c r="B298" s="14" t="s">
        <v>5404</v>
      </c>
      <c r="C298" s="14" t="s">
        <v>5405</v>
      </c>
      <c r="D298" s="141">
        <v>46070.0</v>
      </c>
      <c r="E298" s="131">
        <v>46072.0</v>
      </c>
      <c r="F298" s="14">
        <v>10883.0</v>
      </c>
      <c r="G298" s="14" t="s">
        <v>84</v>
      </c>
      <c r="H298" s="14" t="s">
        <v>698</v>
      </c>
      <c r="I298" s="80" t="s">
        <v>5408</v>
      </c>
      <c r="J298" s="50" t="s">
        <v>707</v>
      </c>
      <c r="K298" s="14" t="s">
        <v>2532</v>
      </c>
      <c r="L298" s="14" t="s">
        <v>47</v>
      </c>
      <c r="M298" s="50" t="s">
        <v>5414</v>
      </c>
      <c r="N298" s="14" t="s">
        <v>32</v>
      </c>
      <c r="O298" s="50" t="s">
        <v>5416</v>
      </c>
      <c r="P298" s="50">
        <v>9.88043324E8</v>
      </c>
      <c r="Q298" s="14" t="s">
        <v>5418</v>
      </c>
      <c r="R298" s="14"/>
      <c r="S298" s="50" t="s">
        <v>5420</v>
      </c>
      <c r="T298" s="14">
        <v>1.0</v>
      </c>
      <c r="U298" s="14">
        <v>0.0</v>
      </c>
      <c r="V298" s="14">
        <v>5.0</v>
      </c>
      <c r="W298" s="14">
        <v>0.0</v>
      </c>
      <c r="X298" s="240" t="s">
        <v>5423</v>
      </c>
      <c r="Y298" s="14"/>
      <c r="Z298" s="16"/>
      <c r="AA298" s="16"/>
      <c r="AB298" s="16"/>
      <c r="AC298" s="16"/>
      <c r="AD298" s="16"/>
      <c r="AE298" s="16"/>
    </row>
    <row r="299" ht="15.75" customHeight="1">
      <c r="A299" s="14">
        <v>294.0</v>
      </c>
      <c r="B299" s="14" t="s">
        <v>5425</v>
      </c>
      <c r="C299" s="14" t="s">
        <v>5426</v>
      </c>
      <c r="D299" s="141">
        <v>46035.0</v>
      </c>
      <c r="E299" s="131">
        <v>46042.0</v>
      </c>
      <c r="F299" s="14">
        <v>3695.0</v>
      </c>
      <c r="G299" s="14" t="s">
        <v>170</v>
      </c>
      <c r="H299" s="14" t="s">
        <v>2273</v>
      </c>
      <c r="I299" s="80" t="s">
        <v>4909</v>
      </c>
      <c r="J299" s="50" t="s">
        <v>1464</v>
      </c>
      <c r="K299" s="14" t="s">
        <v>1466</v>
      </c>
      <c r="L299" s="14" t="s">
        <v>1003</v>
      </c>
      <c r="M299" s="50" t="s">
        <v>5431</v>
      </c>
      <c r="N299" s="14" t="s">
        <v>32</v>
      </c>
      <c r="O299" s="50" t="s">
        <v>5432</v>
      </c>
      <c r="P299" s="50">
        <v>9.3067234E8</v>
      </c>
      <c r="Q299" s="14" t="s">
        <v>5434</v>
      </c>
      <c r="R299" s="14">
        <v>9.65616731E8</v>
      </c>
      <c r="S299" s="50" t="s">
        <v>5437</v>
      </c>
      <c r="T299" s="14">
        <v>0.0</v>
      </c>
      <c r="U299" s="14">
        <v>1.0</v>
      </c>
      <c r="V299" s="14">
        <v>2.0</v>
      </c>
      <c r="W299" s="14">
        <v>0.0</v>
      </c>
      <c r="X299" s="14" t="s">
        <v>5438</v>
      </c>
      <c r="Y299" s="14" t="s">
        <v>61</v>
      </c>
      <c r="Z299" s="16"/>
      <c r="AA299" s="16"/>
      <c r="AB299" s="16"/>
      <c r="AC299" s="16"/>
      <c r="AD299" s="16"/>
      <c r="AE299" s="16"/>
    </row>
    <row r="300" ht="15.75" customHeight="1">
      <c r="A300" s="14">
        <v>295.0</v>
      </c>
      <c r="B300" s="16" t="s">
        <v>5441</v>
      </c>
      <c r="C300" s="136" t="s">
        <v>5442</v>
      </c>
      <c r="D300" s="120">
        <v>46022.0</v>
      </c>
      <c r="E300" s="244">
        <v>46031.0</v>
      </c>
      <c r="F300" s="171">
        <v>8154.0</v>
      </c>
      <c r="G300" s="14" t="s">
        <v>84</v>
      </c>
      <c r="H300" s="14" t="s">
        <v>1566</v>
      </c>
      <c r="I300" s="80" t="s">
        <v>5450</v>
      </c>
      <c r="J300" s="50" t="s">
        <v>1293</v>
      </c>
      <c r="K300" s="14" t="s">
        <v>1570</v>
      </c>
      <c r="L300" s="14" t="s">
        <v>1293</v>
      </c>
      <c r="M300" s="171" t="s">
        <v>5452</v>
      </c>
      <c r="N300" s="14" t="s">
        <v>32</v>
      </c>
      <c r="O300" s="50" t="s">
        <v>5453</v>
      </c>
      <c r="P300" s="50"/>
      <c r="Q300" s="14" t="s">
        <v>5455</v>
      </c>
      <c r="R300" s="14"/>
      <c r="S300" s="50" t="s">
        <v>5459</v>
      </c>
      <c r="T300" s="14">
        <v>1.0</v>
      </c>
      <c r="U300" s="14">
        <v>0.0</v>
      </c>
      <c r="V300" s="14">
        <v>2.0</v>
      </c>
      <c r="W300" s="14">
        <v>1.0</v>
      </c>
      <c r="X300" s="14"/>
      <c r="Y300" s="14"/>
      <c r="Z300" s="16"/>
      <c r="AA300" s="16"/>
      <c r="AB300" s="16"/>
      <c r="AC300" s="16"/>
      <c r="AD300" s="16"/>
      <c r="AE300" s="16"/>
    </row>
    <row r="301" ht="15.75" customHeight="1">
      <c r="A301" s="14">
        <v>296.0</v>
      </c>
      <c r="B301" s="14" t="s">
        <v>5463</v>
      </c>
      <c r="C301" s="14" t="s">
        <v>5464</v>
      </c>
      <c r="D301" s="141">
        <v>46049.0</v>
      </c>
      <c r="E301" s="131">
        <v>46049.0</v>
      </c>
      <c r="F301" s="14">
        <v>19671.0</v>
      </c>
      <c r="G301" s="14" t="s">
        <v>170</v>
      </c>
      <c r="H301" s="14" t="s">
        <v>43</v>
      </c>
      <c r="I301" s="224" t="s">
        <v>5470</v>
      </c>
      <c r="J301" s="50" t="s">
        <v>67</v>
      </c>
      <c r="K301" s="14" t="s">
        <v>47</v>
      </c>
      <c r="L301" s="14" t="s">
        <v>47</v>
      </c>
      <c r="M301" s="50" t="s">
        <v>5474</v>
      </c>
      <c r="N301" s="14" t="s">
        <v>32</v>
      </c>
      <c r="O301" s="50" t="s">
        <v>5476</v>
      </c>
      <c r="P301" s="50">
        <v>9.49429888E8</v>
      </c>
      <c r="Q301" s="14" t="s">
        <v>5478</v>
      </c>
      <c r="R301" s="14">
        <v>9.95910473E8</v>
      </c>
      <c r="S301" s="50" t="s">
        <v>5480</v>
      </c>
      <c r="T301" s="14">
        <v>1.0</v>
      </c>
      <c r="U301" s="14">
        <v>0.0</v>
      </c>
      <c r="V301" s="14">
        <v>2.0</v>
      </c>
      <c r="W301" s="14">
        <v>0.0</v>
      </c>
      <c r="X301" s="217" t="s">
        <v>5482</v>
      </c>
      <c r="Y301" s="14" t="s">
        <v>61</v>
      </c>
      <c r="Z301" s="16"/>
      <c r="AA301" s="16"/>
      <c r="AB301" s="16"/>
      <c r="AC301" s="16"/>
      <c r="AD301" s="16"/>
      <c r="AE301" s="16"/>
    </row>
    <row r="302" ht="15.75" customHeight="1">
      <c r="A302" s="14">
        <v>297.0</v>
      </c>
      <c r="B302" s="14" t="s">
        <v>5485</v>
      </c>
      <c r="C302" s="14" t="s">
        <v>5486</v>
      </c>
      <c r="D302" s="141">
        <v>46043.0</v>
      </c>
      <c r="E302" s="551">
        <v>46049.0</v>
      </c>
      <c r="F302" s="552">
        <v>9591.0</v>
      </c>
      <c r="G302" s="14" t="s">
        <v>84</v>
      </c>
      <c r="H302" s="14" t="s">
        <v>4297</v>
      </c>
      <c r="I302" s="224" t="s">
        <v>5493</v>
      </c>
      <c r="J302" s="50" t="s">
        <v>496</v>
      </c>
      <c r="K302" s="50" t="s">
        <v>496</v>
      </c>
      <c r="L302" s="50" t="s">
        <v>496</v>
      </c>
      <c r="M302" s="50" t="s">
        <v>5498</v>
      </c>
      <c r="N302" s="14" t="s">
        <v>32</v>
      </c>
      <c r="O302" s="50" t="s">
        <v>5500</v>
      </c>
      <c r="P302" s="50"/>
      <c r="Q302" s="14" t="s">
        <v>5501</v>
      </c>
      <c r="R302" s="14" t="s">
        <v>5502</v>
      </c>
      <c r="S302" s="50" t="s">
        <v>5504</v>
      </c>
      <c r="T302" s="14">
        <v>0.0</v>
      </c>
      <c r="U302" s="14">
        <v>1.0</v>
      </c>
      <c r="V302" s="14">
        <v>0.0</v>
      </c>
      <c r="W302" s="14">
        <v>3.0</v>
      </c>
      <c r="X302" s="14"/>
      <c r="Y302" s="14" t="s">
        <v>61</v>
      </c>
      <c r="Z302" s="16"/>
      <c r="AA302" s="16"/>
      <c r="AB302" s="16"/>
      <c r="AC302" s="16"/>
      <c r="AD302" s="16"/>
      <c r="AE302" s="16"/>
    </row>
    <row r="303" ht="15.75" customHeight="1">
      <c r="A303" s="14">
        <v>298.0</v>
      </c>
      <c r="B303" s="14" t="s">
        <v>5508</v>
      </c>
      <c r="C303" s="14" t="s">
        <v>5510</v>
      </c>
      <c r="D303" s="175">
        <v>46098.0</v>
      </c>
      <c r="E303" s="131">
        <v>46100.0</v>
      </c>
      <c r="F303" s="14">
        <v>12765.0</v>
      </c>
      <c r="G303" s="243" t="s">
        <v>4307</v>
      </c>
      <c r="H303" s="14" t="s">
        <v>2727</v>
      </c>
      <c r="I303" s="80" t="s">
        <v>5516</v>
      </c>
      <c r="J303" s="50" t="s">
        <v>210</v>
      </c>
      <c r="K303" s="14" t="s">
        <v>210</v>
      </c>
      <c r="L303" s="14" t="s">
        <v>210</v>
      </c>
      <c r="M303" s="50" t="s">
        <v>5521</v>
      </c>
      <c r="N303" s="14" t="s">
        <v>32</v>
      </c>
      <c r="O303" s="50" t="s">
        <v>5523</v>
      </c>
      <c r="P303" s="50"/>
      <c r="Q303" s="14" t="s">
        <v>5524</v>
      </c>
      <c r="R303" s="14"/>
      <c r="S303" s="50" t="s">
        <v>5526</v>
      </c>
      <c r="T303" s="14">
        <v>1.0</v>
      </c>
      <c r="U303" s="14">
        <v>0.0</v>
      </c>
      <c r="V303" s="14">
        <v>3.0</v>
      </c>
      <c r="W303" s="14">
        <v>0.0</v>
      </c>
      <c r="X303" s="14" t="s">
        <v>5529</v>
      </c>
      <c r="Y303" s="14" t="s">
        <v>61</v>
      </c>
      <c r="Z303" s="16"/>
      <c r="AA303" s="16"/>
      <c r="AB303" s="16"/>
      <c r="AC303" s="16"/>
      <c r="AD303" s="16"/>
      <c r="AE303" s="16"/>
    </row>
    <row r="304" ht="15.75" customHeight="1">
      <c r="A304" s="14">
        <v>299.0</v>
      </c>
      <c r="B304" s="14" t="s">
        <v>5536</v>
      </c>
      <c r="C304" s="14" t="s">
        <v>5538</v>
      </c>
      <c r="D304" s="131">
        <v>46111.0</v>
      </c>
      <c r="E304" s="131">
        <v>46112.0</v>
      </c>
      <c r="F304" s="14">
        <v>4140.0</v>
      </c>
      <c r="G304" s="14" t="s">
        <v>84</v>
      </c>
      <c r="H304" s="14" t="s">
        <v>1014</v>
      </c>
      <c r="I304" s="80" t="s">
        <v>5541</v>
      </c>
      <c r="J304" s="50" t="s">
        <v>5542</v>
      </c>
      <c r="K304" s="14" t="s">
        <v>5543</v>
      </c>
      <c r="L304" s="14" t="s">
        <v>1024</v>
      </c>
      <c r="M304" s="50" t="s">
        <v>5544</v>
      </c>
      <c r="N304" s="14" t="s">
        <v>50</v>
      </c>
      <c r="O304" s="50" t="s">
        <v>5545</v>
      </c>
      <c r="P304" s="50" t="s">
        <v>5546</v>
      </c>
      <c r="Q304" s="14" t="s">
        <v>5548</v>
      </c>
      <c r="R304" s="14">
        <v>9.91010488E8</v>
      </c>
      <c r="S304" s="50" t="s">
        <v>5549</v>
      </c>
      <c r="T304" s="14">
        <v>1.0</v>
      </c>
      <c r="U304" s="14">
        <v>0.0</v>
      </c>
      <c r="V304" s="14">
        <v>4.0</v>
      </c>
      <c r="W304" s="14">
        <v>0.0</v>
      </c>
      <c r="X304" s="14" t="s">
        <v>5550</v>
      </c>
      <c r="Y304" s="14" t="s">
        <v>61</v>
      </c>
      <c r="Z304" s="16"/>
      <c r="AA304" s="16"/>
      <c r="AB304" s="16"/>
      <c r="AC304" s="16"/>
      <c r="AD304" s="16"/>
      <c r="AE304" s="16"/>
    </row>
    <row r="305" ht="15.75" customHeight="1">
      <c r="A305" s="14">
        <v>300.0</v>
      </c>
      <c r="B305" s="14" t="s">
        <v>5551</v>
      </c>
      <c r="C305" s="14" t="s">
        <v>5552</v>
      </c>
      <c r="D305" s="131">
        <v>46108.0</v>
      </c>
      <c r="E305" s="242">
        <v>46112.0</v>
      </c>
      <c r="F305" s="290">
        <v>38567.0</v>
      </c>
      <c r="G305" s="290" t="s">
        <v>170</v>
      </c>
      <c r="H305" s="14" t="s">
        <v>140</v>
      </c>
      <c r="I305" s="178" t="s">
        <v>5554</v>
      </c>
      <c r="J305" s="50" t="s">
        <v>142</v>
      </c>
      <c r="K305" s="14" t="s">
        <v>142</v>
      </c>
      <c r="L305" s="14" t="s">
        <v>142</v>
      </c>
      <c r="M305" s="50" t="s">
        <v>5555</v>
      </c>
      <c r="N305" s="14" t="s">
        <v>32</v>
      </c>
      <c r="O305" s="50" t="s">
        <v>5556</v>
      </c>
      <c r="P305" s="50" t="s">
        <v>5557</v>
      </c>
      <c r="Q305" s="14" t="s">
        <v>5558</v>
      </c>
      <c r="R305" s="14"/>
      <c r="S305" s="50" t="s">
        <v>5559</v>
      </c>
      <c r="T305" s="14">
        <v>1.0</v>
      </c>
      <c r="U305" s="14">
        <v>0.0</v>
      </c>
      <c r="V305" s="14">
        <v>3.0</v>
      </c>
      <c r="W305" s="14">
        <v>0.0</v>
      </c>
      <c r="X305" s="14" t="s">
        <v>5561</v>
      </c>
      <c r="Y305" s="14" t="s">
        <v>61</v>
      </c>
      <c r="Z305" s="16"/>
      <c r="AA305" s="16"/>
      <c r="AB305" s="16"/>
      <c r="AC305" s="16"/>
      <c r="AD305" s="16"/>
      <c r="AE305" s="16"/>
    </row>
    <row r="306" ht="27.0" customHeight="1">
      <c r="A306" s="14">
        <v>301.0</v>
      </c>
      <c r="B306" s="14" t="s">
        <v>5563</v>
      </c>
      <c r="C306" s="554" t="s">
        <v>5565</v>
      </c>
      <c r="D306" s="131">
        <v>46135.0</v>
      </c>
      <c r="E306" s="131">
        <v>46142.0</v>
      </c>
      <c r="F306" s="14">
        <v>32191.0</v>
      </c>
      <c r="G306" s="290" t="s">
        <v>2203</v>
      </c>
      <c r="H306" s="14" t="s">
        <v>140</v>
      </c>
      <c r="I306" s="178" t="s">
        <v>5567</v>
      </c>
      <c r="J306" s="50" t="s">
        <v>1675</v>
      </c>
      <c r="K306" s="14" t="s">
        <v>142</v>
      </c>
      <c r="L306" s="14" t="s">
        <v>142</v>
      </c>
      <c r="M306" s="50" t="s">
        <v>5568</v>
      </c>
      <c r="N306" s="14" t="s">
        <v>32</v>
      </c>
      <c r="O306" s="50" t="s">
        <v>5569</v>
      </c>
      <c r="P306" s="50" t="s">
        <v>5570</v>
      </c>
      <c r="Q306" s="14" t="s">
        <v>5571</v>
      </c>
      <c r="R306" s="14"/>
      <c r="S306" s="50" t="s">
        <v>5572</v>
      </c>
      <c r="T306" s="14">
        <v>1.0</v>
      </c>
      <c r="U306" s="14">
        <v>0.0</v>
      </c>
      <c r="V306" s="14">
        <v>3.0</v>
      </c>
      <c r="W306" s="14">
        <v>0.0</v>
      </c>
      <c r="X306" s="14" t="s">
        <v>5573</v>
      </c>
      <c r="Y306" s="14" t="s">
        <v>61</v>
      </c>
      <c r="Z306" s="16" t="s">
        <v>5574</v>
      </c>
      <c r="AA306" s="16"/>
      <c r="AB306" s="16"/>
      <c r="AC306" s="16"/>
      <c r="AD306" s="16"/>
      <c r="AE306" s="16"/>
    </row>
    <row r="307" ht="17.25" customHeight="1">
      <c r="A307" s="14">
        <v>302.0</v>
      </c>
      <c r="B307" s="136" t="s">
        <v>5576</v>
      </c>
      <c r="C307" s="136" t="s">
        <v>5577</v>
      </c>
      <c r="D307" s="131">
        <v>46155.0</v>
      </c>
      <c r="E307" s="131">
        <v>46160.0</v>
      </c>
      <c r="F307" s="136">
        <v>12953.0</v>
      </c>
      <c r="G307" s="290" t="s">
        <v>2525</v>
      </c>
      <c r="H307" s="136" t="s">
        <v>603</v>
      </c>
      <c r="I307" s="178" t="s">
        <v>5579</v>
      </c>
      <c r="J307" s="113" t="s">
        <v>1815</v>
      </c>
      <c r="K307" s="136" t="s">
        <v>610</v>
      </c>
      <c r="L307" s="136" t="s">
        <v>610</v>
      </c>
      <c r="M307" s="113" t="s">
        <v>5580</v>
      </c>
      <c r="N307" s="136" t="s">
        <v>146</v>
      </c>
      <c r="O307" s="113" t="s">
        <v>5581</v>
      </c>
      <c r="P307" s="50"/>
      <c r="Q307" s="136" t="s">
        <v>5582</v>
      </c>
      <c r="R307" s="136">
        <v>9.66198468E8</v>
      </c>
      <c r="S307" s="113" t="s">
        <v>5583</v>
      </c>
      <c r="T307" s="136">
        <v>0.0</v>
      </c>
      <c r="U307" s="136">
        <v>1.0</v>
      </c>
      <c r="V307" s="136">
        <v>4.0</v>
      </c>
      <c r="W307" s="136">
        <v>0.0</v>
      </c>
      <c r="X307" s="136" t="s">
        <v>5585</v>
      </c>
      <c r="Y307" s="14"/>
      <c r="Z307" s="16"/>
      <c r="AA307" s="16"/>
      <c r="AB307" s="16"/>
      <c r="AC307" s="16"/>
      <c r="AD307" s="16"/>
      <c r="AE307" s="16"/>
    </row>
    <row r="308" ht="15.75" customHeight="1">
      <c r="A308" s="14">
        <v>303.0</v>
      </c>
      <c r="B308" s="136" t="s">
        <v>5588</v>
      </c>
      <c r="C308" s="136" t="s">
        <v>5589</v>
      </c>
      <c r="D308" s="555">
        <v>46149.0</v>
      </c>
      <c r="E308" s="556">
        <v>46156.0</v>
      </c>
      <c r="F308" s="557">
        <v>17369.0</v>
      </c>
      <c r="G308" s="290" t="s">
        <v>170</v>
      </c>
      <c r="H308" s="557" t="s">
        <v>506</v>
      </c>
      <c r="I308" s="558" t="s">
        <v>5591</v>
      </c>
      <c r="J308" s="559" t="s">
        <v>839</v>
      </c>
      <c r="K308" s="557" t="s">
        <v>839</v>
      </c>
      <c r="L308" s="557" t="s">
        <v>496</v>
      </c>
      <c r="M308" s="559" t="s">
        <v>5593</v>
      </c>
      <c r="N308" s="557" t="s">
        <v>32</v>
      </c>
      <c r="O308" s="559" t="s">
        <v>5594</v>
      </c>
      <c r="P308" s="560"/>
      <c r="Q308" s="557" t="s">
        <v>5595</v>
      </c>
      <c r="R308" s="561">
        <v>9.7663836E8</v>
      </c>
      <c r="S308" s="559" t="s">
        <v>5596</v>
      </c>
      <c r="T308" s="557">
        <v>1.0</v>
      </c>
      <c r="U308" s="557">
        <v>0.0</v>
      </c>
      <c r="V308" s="557">
        <v>4.0</v>
      </c>
      <c r="W308" s="557">
        <v>0.0</v>
      </c>
      <c r="X308" s="557" t="s">
        <v>5598</v>
      </c>
      <c r="Y308" s="562"/>
      <c r="Z308" s="563"/>
      <c r="AA308" s="564"/>
      <c r="AB308" s="564"/>
      <c r="AC308" s="564"/>
      <c r="AD308" s="564"/>
      <c r="AE308" s="564"/>
    </row>
    <row r="309" ht="15.75" customHeight="1">
      <c r="A309" s="136">
        <v>304.0</v>
      </c>
      <c r="B309" s="136" t="s">
        <v>5599</v>
      </c>
      <c r="C309" s="136" t="s">
        <v>5600</v>
      </c>
      <c r="D309" s="555">
        <v>46167.0</v>
      </c>
      <c r="E309" s="556">
        <v>46169.0</v>
      </c>
      <c r="F309" s="557" t="s">
        <v>5601</v>
      </c>
      <c r="G309" s="136" t="s">
        <v>5602</v>
      </c>
      <c r="H309" s="557" t="s">
        <v>506</v>
      </c>
      <c r="I309" s="558" t="s">
        <v>5604</v>
      </c>
      <c r="J309" s="559" t="s">
        <v>839</v>
      </c>
      <c r="K309" s="557" t="s">
        <v>839</v>
      </c>
      <c r="L309" s="557" t="s">
        <v>496</v>
      </c>
      <c r="M309" s="559" t="s">
        <v>5605</v>
      </c>
      <c r="N309" s="557" t="s">
        <v>32</v>
      </c>
      <c r="O309" s="559" t="s">
        <v>5606</v>
      </c>
      <c r="P309" s="559">
        <v>9.69469787E8</v>
      </c>
      <c r="Q309" s="557" t="s">
        <v>5607</v>
      </c>
      <c r="R309" s="561">
        <v>9.32122822E8</v>
      </c>
      <c r="S309" s="559" t="s">
        <v>5608</v>
      </c>
      <c r="T309" s="557">
        <v>2.0</v>
      </c>
      <c r="U309" s="557">
        <v>0.0</v>
      </c>
      <c r="V309" s="557">
        <v>4.0</v>
      </c>
      <c r="W309" s="557">
        <v>0.0</v>
      </c>
      <c r="X309" s="557" t="s">
        <v>5610</v>
      </c>
      <c r="Y309" s="557" t="s">
        <v>61</v>
      </c>
      <c r="Z309" s="563"/>
      <c r="AA309" s="564"/>
      <c r="AB309" s="564"/>
      <c r="AC309" s="564"/>
      <c r="AD309" s="564"/>
      <c r="AE309" s="564"/>
    </row>
    <row r="310" ht="15.75" customHeight="1">
      <c r="A310" s="136">
        <v>305.0</v>
      </c>
      <c r="B310" s="136" t="s">
        <v>5611</v>
      </c>
      <c r="C310" s="136" t="s">
        <v>5613</v>
      </c>
      <c r="D310" s="131">
        <v>46168.0</v>
      </c>
      <c r="E310" s="131">
        <v>46171.0</v>
      </c>
      <c r="F310" s="136">
        <v>3727.0</v>
      </c>
      <c r="G310" s="136" t="s">
        <v>84</v>
      </c>
      <c r="H310" s="136" t="s">
        <v>1566</v>
      </c>
      <c r="I310" s="178" t="s">
        <v>5616</v>
      </c>
      <c r="J310" s="113" t="s">
        <v>5617</v>
      </c>
      <c r="K310" s="136" t="s">
        <v>5618</v>
      </c>
      <c r="L310" s="136" t="s">
        <v>1293</v>
      </c>
      <c r="M310" s="113" t="s">
        <v>5619</v>
      </c>
      <c r="N310" s="136" t="s">
        <v>50</v>
      </c>
      <c r="O310" s="113" t="s">
        <v>5620</v>
      </c>
      <c r="P310" s="50"/>
      <c r="Q310" s="565" t="s">
        <v>5621</v>
      </c>
      <c r="R310" s="136" t="s">
        <v>5622</v>
      </c>
      <c r="S310" s="113" t="s">
        <v>5623</v>
      </c>
      <c r="T310" s="136">
        <v>0.0</v>
      </c>
      <c r="U310" s="136">
        <v>1.0</v>
      </c>
      <c r="V310" s="136">
        <v>1.0</v>
      </c>
      <c r="W310" s="136">
        <v>4.0</v>
      </c>
      <c r="X310" s="136" t="s">
        <v>5625</v>
      </c>
      <c r="Y310" s="136" t="s">
        <v>61</v>
      </c>
      <c r="Z310" s="14"/>
      <c r="AA310" s="16"/>
      <c r="AB310" s="16"/>
      <c r="AC310" s="16"/>
      <c r="AD310" s="16"/>
      <c r="AE310" s="14"/>
    </row>
    <row r="311" ht="29.25" customHeight="1">
      <c r="A311" s="136">
        <v>306.0</v>
      </c>
      <c r="B311" s="136" t="s">
        <v>5628</v>
      </c>
      <c r="C311" s="136" t="s">
        <v>5630</v>
      </c>
      <c r="D311" s="131">
        <v>46160.0</v>
      </c>
      <c r="E311" s="131">
        <v>46161.0</v>
      </c>
      <c r="F311" s="136">
        <v>35628.0</v>
      </c>
      <c r="G311" s="136" t="s">
        <v>170</v>
      </c>
      <c r="H311" s="136" t="s">
        <v>153</v>
      </c>
      <c r="I311" s="178" t="s">
        <v>5632</v>
      </c>
      <c r="J311" s="113" t="s">
        <v>2844</v>
      </c>
      <c r="K311" s="136" t="s">
        <v>47</v>
      </c>
      <c r="L311" s="136" t="s">
        <v>47</v>
      </c>
      <c r="M311" s="113" t="s">
        <v>5633</v>
      </c>
      <c r="N311" s="136" t="s">
        <v>69</v>
      </c>
      <c r="O311" s="113" t="s">
        <v>5634</v>
      </c>
      <c r="P311" s="113" t="s">
        <v>5635</v>
      </c>
      <c r="Q311" s="566" t="s">
        <v>5636</v>
      </c>
      <c r="R311" s="136">
        <v>9.59099931E8</v>
      </c>
      <c r="S311" s="113" t="s">
        <v>5638</v>
      </c>
      <c r="T311" s="136">
        <v>1.0</v>
      </c>
      <c r="U311" s="136">
        <v>0.0</v>
      </c>
      <c r="V311" s="136">
        <v>3.0</v>
      </c>
      <c r="W311" s="136">
        <v>0.0</v>
      </c>
      <c r="X311" s="136" t="s">
        <v>5639</v>
      </c>
      <c r="Y311" s="136"/>
      <c r="Z311" s="14" t="s">
        <v>5574</v>
      </c>
      <c r="AA311" s="16"/>
      <c r="AB311" s="16"/>
      <c r="AC311" s="16"/>
      <c r="AD311" s="16"/>
      <c r="AE311" s="14"/>
    </row>
    <row r="312" ht="15.75" customHeight="1">
      <c r="A312" s="136">
        <v>307.0</v>
      </c>
      <c r="B312" s="136" t="s">
        <v>5641</v>
      </c>
      <c r="C312" s="136" t="s">
        <v>5642</v>
      </c>
      <c r="D312" s="131">
        <v>46167.0</v>
      </c>
      <c r="E312" s="567">
        <v>46169.0</v>
      </c>
      <c r="F312" s="568">
        <v>18385.0</v>
      </c>
      <c r="G312" s="136" t="s">
        <v>170</v>
      </c>
      <c r="H312" s="136" t="s">
        <v>1299</v>
      </c>
      <c r="I312" s="178" t="s">
        <v>5644</v>
      </c>
      <c r="J312" s="113" t="s">
        <v>3041</v>
      </c>
      <c r="K312" s="136" t="s">
        <v>5646</v>
      </c>
      <c r="L312" s="136" t="s">
        <v>586</v>
      </c>
      <c r="M312" s="569" t="s">
        <v>5647</v>
      </c>
      <c r="N312" s="136" t="s">
        <v>32</v>
      </c>
      <c r="O312" s="179" t="s">
        <v>5648</v>
      </c>
      <c r="P312" s="113">
        <v>9.63213231E8</v>
      </c>
      <c r="Q312" s="136" t="s">
        <v>5649</v>
      </c>
      <c r="R312" s="136" t="s">
        <v>5650</v>
      </c>
      <c r="S312" s="113" t="s">
        <v>5651</v>
      </c>
      <c r="T312" s="136">
        <v>0.0</v>
      </c>
      <c r="U312" s="136">
        <v>1.0</v>
      </c>
      <c r="V312" s="136">
        <v>3.0</v>
      </c>
      <c r="W312" s="136">
        <v>2.0</v>
      </c>
      <c r="X312" s="136" t="s">
        <v>5653</v>
      </c>
      <c r="Y312" s="14"/>
      <c r="Z312" s="14"/>
      <c r="AA312" s="16"/>
      <c r="AB312" s="16"/>
      <c r="AC312" s="16"/>
      <c r="AD312" s="16"/>
      <c r="AE312" s="16"/>
    </row>
    <row r="313" ht="15.75" customHeight="1">
      <c r="A313" s="136">
        <v>308.0</v>
      </c>
      <c r="B313" s="136" t="s">
        <v>5654</v>
      </c>
      <c r="C313" s="136" t="s">
        <v>5655</v>
      </c>
      <c r="D313" s="131">
        <v>46182.0</v>
      </c>
      <c r="E313" s="131">
        <v>46190.0</v>
      </c>
      <c r="F313" s="136">
        <v>1765.0</v>
      </c>
      <c r="G313" s="136" t="s">
        <v>84</v>
      </c>
      <c r="H313" s="136" t="s">
        <v>942</v>
      </c>
      <c r="I313" s="178" t="s">
        <v>5657</v>
      </c>
      <c r="J313" s="113" t="s">
        <v>5658</v>
      </c>
      <c r="K313" s="136" t="s">
        <v>5658</v>
      </c>
      <c r="L313" s="136" t="s">
        <v>948</v>
      </c>
      <c r="M313" s="113" t="s">
        <v>5659</v>
      </c>
      <c r="N313" s="136" t="s">
        <v>50</v>
      </c>
      <c r="O313" s="113" t="s">
        <v>5660</v>
      </c>
      <c r="P313" s="50"/>
      <c r="Q313" s="136" t="s">
        <v>5661</v>
      </c>
      <c r="R313" s="136">
        <v>9.44968508E8</v>
      </c>
      <c r="S313" s="113" t="s">
        <v>5662</v>
      </c>
      <c r="T313" s="136">
        <v>1.0</v>
      </c>
      <c r="U313" s="136">
        <v>0.0</v>
      </c>
      <c r="V313" s="136">
        <v>4.0</v>
      </c>
      <c r="W313" s="136">
        <v>0.0</v>
      </c>
      <c r="X313" s="568" t="s">
        <v>5664</v>
      </c>
      <c r="Y313" s="136" t="s">
        <v>5665</v>
      </c>
      <c r="Z313" s="14"/>
      <c r="AA313" s="16"/>
      <c r="AB313" s="16"/>
      <c r="AC313" s="16"/>
      <c r="AD313" s="16"/>
      <c r="AE313" s="16"/>
    </row>
    <row r="314" ht="15.75" customHeight="1">
      <c r="A314" s="136">
        <v>309.0</v>
      </c>
      <c r="B314" s="136" t="s">
        <v>5666</v>
      </c>
      <c r="C314" s="136" t="s">
        <v>5667</v>
      </c>
      <c r="D314" s="131">
        <v>46190.0</v>
      </c>
      <c r="E314" s="131">
        <v>46192.0</v>
      </c>
      <c r="F314" s="136">
        <v>10515.0</v>
      </c>
      <c r="G314" s="136" t="s">
        <v>84</v>
      </c>
      <c r="H314" s="136" t="s">
        <v>43</v>
      </c>
      <c r="I314" s="178" t="s">
        <v>5668</v>
      </c>
      <c r="J314" s="113" t="s">
        <v>46</v>
      </c>
      <c r="K314" s="136" t="s">
        <v>47</v>
      </c>
      <c r="L314" s="136" t="s">
        <v>47</v>
      </c>
      <c r="M314" s="113" t="s">
        <v>5670</v>
      </c>
      <c r="N314" s="136" t="s">
        <v>32</v>
      </c>
      <c r="O314" s="113" t="s">
        <v>5671</v>
      </c>
      <c r="P314" s="50"/>
      <c r="Q314" s="136" t="s">
        <v>5672</v>
      </c>
      <c r="R314" s="136">
        <v>9.55850085E8</v>
      </c>
      <c r="S314" s="113" t="s">
        <v>5673</v>
      </c>
      <c r="T314" s="136">
        <v>1.0</v>
      </c>
      <c r="U314" s="14"/>
      <c r="V314" s="136">
        <v>2.0</v>
      </c>
      <c r="W314" s="14"/>
      <c r="X314" s="179" t="s">
        <v>5674</v>
      </c>
      <c r="Y314" s="14"/>
      <c r="Z314" s="14"/>
      <c r="AA314" s="16"/>
      <c r="AB314" s="16"/>
      <c r="AC314" s="16"/>
      <c r="AD314" s="16"/>
      <c r="AE314" s="16"/>
    </row>
    <row r="315" ht="15.75" customHeight="1">
      <c r="A315" s="136">
        <v>310.0</v>
      </c>
      <c r="B315" s="136" t="s">
        <v>5678</v>
      </c>
      <c r="C315" s="136" t="s">
        <v>5679</v>
      </c>
      <c r="D315" s="131">
        <v>46211.0</v>
      </c>
      <c r="E315" s="131">
        <v>46213.0</v>
      </c>
      <c r="F315" s="136">
        <v>442.0</v>
      </c>
      <c r="G315" s="136" t="s">
        <v>84</v>
      </c>
      <c r="H315" s="136" t="s">
        <v>2864</v>
      </c>
      <c r="I315" s="178" t="s">
        <v>5680</v>
      </c>
      <c r="J315" s="113" t="s">
        <v>5681</v>
      </c>
      <c r="K315" s="136" t="s">
        <v>5682</v>
      </c>
      <c r="L315" s="136" t="s">
        <v>826</v>
      </c>
      <c r="M315" s="113" t="s">
        <v>5683</v>
      </c>
      <c r="N315" s="136" t="s">
        <v>50</v>
      </c>
      <c r="O315" s="113" t="s">
        <v>5684</v>
      </c>
      <c r="P315" s="50"/>
      <c r="Q315" s="136" t="s">
        <v>5686</v>
      </c>
      <c r="R315" s="14"/>
      <c r="S315" s="570" t="s">
        <v>5688</v>
      </c>
      <c r="T315" s="136">
        <v>0.0</v>
      </c>
      <c r="U315" s="136">
        <v>1.0</v>
      </c>
      <c r="V315" s="136">
        <v>5.0</v>
      </c>
      <c r="W315" s="136">
        <v>0.0</v>
      </c>
      <c r="X315" s="571" t="s">
        <v>5691</v>
      </c>
      <c r="Y315" s="136" t="s">
        <v>5665</v>
      </c>
      <c r="Z315" s="14"/>
      <c r="AA315" s="16"/>
      <c r="AB315" s="16"/>
      <c r="AC315" s="16"/>
      <c r="AD315" s="16"/>
      <c r="AE315" s="16"/>
    </row>
    <row r="316" ht="15.75" customHeight="1">
      <c r="A316" s="136">
        <v>311.0</v>
      </c>
      <c r="B316" s="136" t="s">
        <v>5692</v>
      </c>
      <c r="C316" s="136" t="s">
        <v>5693</v>
      </c>
      <c r="D316" s="131">
        <v>46203.0</v>
      </c>
      <c r="E316" s="131">
        <v>46211.0</v>
      </c>
      <c r="F316" s="136">
        <v>9606.0</v>
      </c>
      <c r="G316" s="136" t="s">
        <v>170</v>
      </c>
      <c r="H316" s="136" t="s">
        <v>2727</v>
      </c>
      <c r="I316" s="572" t="s">
        <v>5697</v>
      </c>
      <c r="J316" s="113" t="s">
        <v>210</v>
      </c>
      <c r="K316" s="136" t="s">
        <v>210</v>
      </c>
      <c r="L316" s="136" t="s">
        <v>210</v>
      </c>
      <c r="M316" s="113" t="s">
        <v>5700</v>
      </c>
      <c r="N316" s="136" t="s">
        <v>32</v>
      </c>
      <c r="O316" s="113" t="s">
        <v>5701</v>
      </c>
      <c r="P316" s="113">
        <v>9.56946154E8</v>
      </c>
      <c r="Q316" s="136" t="s">
        <v>5702</v>
      </c>
      <c r="R316" s="136">
        <v>9.93796242E8</v>
      </c>
      <c r="S316" s="251" t="s">
        <v>5703</v>
      </c>
      <c r="T316" s="14"/>
      <c r="U316" s="14"/>
      <c r="V316" s="14"/>
      <c r="W316" s="14"/>
      <c r="X316" s="136" t="s">
        <v>5705</v>
      </c>
      <c r="Y316" s="14"/>
      <c r="Z316" s="14"/>
      <c r="AA316" s="16"/>
      <c r="AB316" s="16"/>
      <c r="AC316" s="16"/>
      <c r="AD316" s="16"/>
      <c r="AE316" s="16"/>
    </row>
    <row r="317" ht="15.75" customHeight="1">
      <c r="A317" s="136">
        <v>312.0</v>
      </c>
      <c r="B317" s="136" t="s">
        <v>5708</v>
      </c>
      <c r="C317" s="136" t="s">
        <v>5709</v>
      </c>
      <c r="D317" s="573"/>
      <c r="E317" s="573"/>
      <c r="F317" s="136">
        <v>10815.0</v>
      </c>
      <c r="G317" s="136" t="s">
        <v>84</v>
      </c>
      <c r="H317" s="136" t="s">
        <v>4061</v>
      </c>
      <c r="I317" s="178" t="s">
        <v>5710</v>
      </c>
      <c r="J317" s="113" t="s">
        <v>1978</v>
      </c>
      <c r="K317" s="136" t="s">
        <v>1980</v>
      </c>
      <c r="L317" s="136" t="s">
        <v>1222</v>
      </c>
      <c r="M317" s="113" t="s">
        <v>5712</v>
      </c>
      <c r="N317" s="136" t="s">
        <v>32</v>
      </c>
      <c r="O317" s="113" t="s">
        <v>5713</v>
      </c>
      <c r="P317" s="50"/>
      <c r="Q317" s="136" t="s">
        <v>5714</v>
      </c>
      <c r="R317" s="136" t="s">
        <v>5715</v>
      </c>
      <c r="S317" s="251" t="s">
        <v>5716</v>
      </c>
      <c r="T317" s="136">
        <v>0.0</v>
      </c>
      <c r="U317" s="136">
        <v>1.0</v>
      </c>
      <c r="V317" s="136">
        <v>1.0</v>
      </c>
      <c r="W317" s="136">
        <v>3.0</v>
      </c>
      <c r="X317" s="574" t="s">
        <v>5717</v>
      </c>
      <c r="Y317" s="14"/>
      <c r="Z317" s="14"/>
      <c r="AA317" s="16"/>
      <c r="AB317" s="16"/>
      <c r="AC317" s="16"/>
      <c r="AD317" s="16"/>
      <c r="AE317" s="16"/>
    </row>
    <row r="318" ht="27.0" customHeight="1">
      <c r="A318" s="136">
        <v>313.0</v>
      </c>
      <c r="B318" s="136" t="s">
        <v>5719</v>
      </c>
      <c r="C318" s="136" t="s">
        <v>5709</v>
      </c>
      <c r="D318" s="573"/>
      <c r="E318" s="573"/>
      <c r="F318" s="136">
        <v>12106.0</v>
      </c>
      <c r="G318" s="136" t="s">
        <v>170</v>
      </c>
      <c r="H318" s="136" t="s">
        <v>2066</v>
      </c>
      <c r="I318" s="178" t="s">
        <v>5720</v>
      </c>
      <c r="J318" s="113" t="s">
        <v>156</v>
      </c>
      <c r="K318" s="136" t="s">
        <v>47</v>
      </c>
      <c r="L318" s="136" t="s">
        <v>47</v>
      </c>
      <c r="M318" s="113" t="s">
        <v>5721</v>
      </c>
      <c r="N318" s="136" t="s">
        <v>32</v>
      </c>
      <c r="O318" s="113" t="s">
        <v>5722</v>
      </c>
      <c r="P318" s="113" t="s">
        <v>5723</v>
      </c>
      <c r="Q318" s="136" t="s">
        <v>5725</v>
      </c>
      <c r="R318" s="14"/>
      <c r="S318" s="570" t="s">
        <v>5726</v>
      </c>
      <c r="T318" s="136">
        <v>1.0</v>
      </c>
      <c r="U318" s="136">
        <v>0.0</v>
      </c>
      <c r="V318" s="136">
        <v>5.0</v>
      </c>
      <c r="W318" s="136">
        <v>0.0</v>
      </c>
      <c r="X318" s="136" t="s">
        <v>5727</v>
      </c>
      <c r="Y318" s="14"/>
      <c r="Z318" s="14"/>
      <c r="AA318" s="16"/>
      <c r="AB318" s="16"/>
      <c r="AC318" s="16"/>
      <c r="AD318" s="16"/>
      <c r="AE318" s="16"/>
    </row>
    <row r="319" ht="15.75" customHeight="1">
      <c r="A319" s="136">
        <v>314.0</v>
      </c>
      <c r="B319" s="136" t="s">
        <v>5728</v>
      </c>
      <c r="C319" s="136" t="s">
        <v>5709</v>
      </c>
      <c r="D319" s="573"/>
      <c r="E319" s="573"/>
      <c r="F319" s="136">
        <v>20181.0</v>
      </c>
      <c r="G319" s="136" t="s">
        <v>170</v>
      </c>
      <c r="H319" s="136" t="s">
        <v>4061</v>
      </c>
      <c r="I319" s="178" t="s">
        <v>5730</v>
      </c>
      <c r="J319" s="113" t="s">
        <v>1978</v>
      </c>
      <c r="K319" s="136" t="s">
        <v>1980</v>
      </c>
      <c r="L319" s="136" t="s">
        <v>1222</v>
      </c>
      <c r="M319" s="113" t="s">
        <v>5731</v>
      </c>
      <c r="N319" s="136" t="s">
        <v>32</v>
      </c>
      <c r="O319" s="113" t="s">
        <v>5732</v>
      </c>
      <c r="P319" s="50"/>
      <c r="Q319" s="136" t="s">
        <v>5733</v>
      </c>
      <c r="R319" s="14"/>
      <c r="S319" s="570" t="s">
        <v>5734</v>
      </c>
      <c r="T319" s="136">
        <v>1.0</v>
      </c>
      <c r="U319" s="136">
        <v>0.0</v>
      </c>
      <c r="V319" s="136">
        <v>1.0</v>
      </c>
      <c r="W319" s="136">
        <v>2.0</v>
      </c>
      <c r="X319" s="136" t="s">
        <v>5736</v>
      </c>
      <c r="Y319" s="14"/>
      <c r="Z319" s="14"/>
      <c r="AA319" s="16"/>
      <c r="AB319" s="16"/>
      <c r="AC319" s="16"/>
      <c r="AD319" s="16"/>
      <c r="AE319" s="16"/>
    </row>
    <row r="320" ht="15.75" customHeight="1">
      <c r="A320" s="136">
        <v>315.0</v>
      </c>
      <c r="B320" s="136" t="s">
        <v>5737</v>
      </c>
      <c r="C320" s="136" t="s">
        <v>5709</v>
      </c>
      <c r="D320" s="573"/>
      <c r="E320" s="573"/>
      <c r="F320" s="290" t="s">
        <v>5738</v>
      </c>
      <c r="G320" s="243"/>
      <c r="H320" s="136" t="s">
        <v>43</v>
      </c>
      <c r="I320" s="178" t="s">
        <v>5739</v>
      </c>
      <c r="J320" s="113" t="s">
        <v>353</v>
      </c>
      <c r="K320" s="136" t="s">
        <v>47</v>
      </c>
      <c r="L320" s="136" t="s">
        <v>47</v>
      </c>
      <c r="M320" s="113" t="s">
        <v>5741</v>
      </c>
      <c r="N320" s="136" t="s">
        <v>32</v>
      </c>
      <c r="O320" s="113" t="s">
        <v>5742</v>
      </c>
      <c r="P320" s="113">
        <v>9.78363543E8</v>
      </c>
      <c r="Q320" s="136" t="s">
        <v>5743</v>
      </c>
      <c r="R320" s="136" t="s">
        <v>5744</v>
      </c>
      <c r="S320" s="570" t="s">
        <v>5745</v>
      </c>
      <c r="T320" s="136">
        <v>1.0</v>
      </c>
      <c r="U320" s="14"/>
      <c r="V320" s="136">
        <v>1.0</v>
      </c>
      <c r="W320" s="14"/>
      <c r="X320" s="136" t="s">
        <v>5746</v>
      </c>
      <c r="Y320" s="14"/>
      <c r="Z320" s="14"/>
      <c r="AA320" s="16"/>
      <c r="AB320" s="16"/>
      <c r="AC320" s="16"/>
      <c r="AD320" s="16"/>
      <c r="AE320" s="16"/>
    </row>
    <row r="321" ht="15.75" customHeight="1">
      <c r="A321" s="136">
        <v>316.0</v>
      </c>
      <c r="B321" s="136" t="s">
        <v>5748</v>
      </c>
      <c r="C321" s="136" t="s">
        <v>5709</v>
      </c>
      <c r="D321" s="573"/>
      <c r="E321" s="573"/>
      <c r="F321" s="136">
        <v>30934.0</v>
      </c>
      <c r="G321" s="136" t="s">
        <v>84</v>
      </c>
      <c r="H321" s="136" t="s">
        <v>5749</v>
      </c>
      <c r="I321" s="178" t="s">
        <v>5750</v>
      </c>
      <c r="J321" s="113" t="s">
        <v>1464</v>
      </c>
      <c r="K321" s="136" t="s">
        <v>1466</v>
      </c>
      <c r="L321" s="136" t="s">
        <v>1003</v>
      </c>
      <c r="M321" s="113" t="s">
        <v>5751</v>
      </c>
      <c r="N321" s="136" t="s">
        <v>32</v>
      </c>
      <c r="O321" s="113" t="s">
        <v>5752</v>
      </c>
      <c r="P321" s="113">
        <v>9.44481339E8</v>
      </c>
      <c r="Q321" s="136" t="s">
        <v>5753</v>
      </c>
      <c r="R321" s="136">
        <v>9.50960404E8</v>
      </c>
      <c r="S321" s="570" t="s">
        <v>5755</v>
      </c>
      <c r="T321" s="136">
        <v>0.0</v>
      </c>
      <c r="U321" s="136">
        <v>1.0</v>
      </c>
      <c r="V321" s="136">
        <v>3.0</v>
      </c>
      <c r="W321" s="136">
        <v>0.0</v>
      </c>
      <c r="X321" s="136" t="s">
        <v>5756</v>
      </c>
      <c r="Y321" s="14"/>
      <c r="Z321" s="14"/>
      <c r="AA321" s="16"/>
      <c r="AB321" s="16"/>
      <c r="AC321" s="16"/>
      <c r="AD321" s="16"/>
      <c r="AE321" s="16"/>
    </row>
    <row r="322" ht="15.75" customHeight="1">
      <c r="A322" s="136">
        <v>317.0</v>
      </c>
      <c r="B322" s="136" t="s">
        <v>5757</v>
      </c>
      <c r="C322" s="136" t="s">
        <v>5709</v>
      </c>
      <c r="D322" s="573"/>
      <c r="E322" s="573"/>
      <c r="F322" s="136">
        <v>38740.0</v>
      </c>
      <c r="G322" s="136" t="s">
        <v>170</v>
      </c>
      <c r="H322" s="136" t="s">
        <v>2066</v>
      </c>
      <c r="I322" s="178" t="s">
        <v>5759</v>
      </c>
      <c r="J322" s="113" t="s">
        <v>67</v>
      </c>
      <c r="K322" s="136" t="s">
        <v>47</v>
      </c>
      <c r="L322" s="136" t="s">
        <v>47</v>
      </c>
      <c r="M322" s="113" t="s">
        <v>5760</v>
      </c>
      <c r="N322" s="136" t="s">
        <v>32</v>
      </c>
      <c r="O322" s="113" t="s">
        <v>5761</v>
      </c>
      <c r="P322" s="113"/>
      <c r="Q322" s="136" t="s">
        <v>5762</v>
      </c>
      <c r="R322" s="136" t="s">
        <v>5763</v>
      </c>
      <c r="S322" s="570" t="s">
        <v>5764</v>
      </c>
      <c r="T322" s="136">
        <v>1.0</v>
      </c>
      <c r="U322" s="136">
        <v>0.0</v>
      </c>
      <c r="V322" s="136">
        <v>4.0</v>
      </c>
      <c r="W322" s="136">
        <v>0.0</v>
      </c>
      <c r="X322" s="136" t="s">
        <v>5765</v>
      </c>
      <c r="Y322" s="14"/>
      <c r="Z322" s="14"/>
      <c r="AA322" s="16"/>
      <c r="AB322" s="16"/>
      <c r="AC322" s="16"/>
      <c r="AD322" s="16"/>
      <c r="AE322" s="16"/>
    </row>
    <row r="323" ht="15.75" customHeight="1">
      <c r="A323" s="136">
        <v>318.0</v>
      </c>
      <c r="B323" s="136" t="s">
        <v>5767</v>
      </c>
      <c r="C323" s="136" t="s">
        <v>5709</v>
      </c>
      <c r="D323" s="575"/>
      <c r="E323" s="575"/>
      <c r="F323" s="136">
        <v>1516.0</v>
      </c>
      <c r="G323" s="136" t="s">
        <v>84</v>
      </c>
      <c r="H323" s="136" t="s">
        <v>5768</v>
      </c>
      <c r="I323" s="178" t="s">
        <v>5769</v>
      </c>
      <c r="J323" s="113" t="s">
        <v>5770</v>
      </c>
      <c r="K323" s="136" t="s">
        <v>5770</v>
      </c>
      <c r="L323" s="136" t="s">
        <v>948</v>
      </c>
      <c r="M323" s="113" t="s">
        <v>5771</v>
      </c>
      <c r="N323" s="136" t="s">
        <v>50</v>
      </c>
      <c r="O323" s="576" t="s">
        <v>5772</v>
      </c>
      <c r="P323" s="576">
        <v>9.47905013E8</v>
      </c>
      <c r="Q323" s="113" t="s">
        <v>5773</v>
      </c>
      <c r="R323" s="113">
        <v>9.43047628E8</v>
      </c>
      <c r="S323" s="570" t="s">
        <v>5775</v>
      </c>
      <c r="T323" s="136">
        <v>0.0</v>
      </c>
      <c r="U323" s="136">
        <v>1.0</v>
      </c>
      <c r="V323" s="136">
        <v>3.0</v>
      </c>
      <c r="W323" s="136">
        <v>1.0</v>
      </c>
      <c r="X323" s="136" t="s">
        <v>5776</v>
      </c>
      <c r="Y323" s="14"/>
      <c r="Z323" s="14"/>
      <c r="AA323" s="16"/>
      <c r="AB323" s="16"/>
      <c r="AC323" s="16"/>
      <c r="AD323" s="16"/>
      <c r="AE323" s="16"/>
    </row>
    <row r="324" ht="15.75" customHeight="1">
      <c r="A324" s="136">
        <v>319.0</v>
      </c>
      <c r="B324" s="136" t="s">
        <v>5777</v>
      </c>
      <c r="C324" s="136" t="s">
        <v>5709</v>
      </c>
      <c r="D324" s="575"/>
      <c r="E324" s="575"/>
      <c r="F324" s="290" t="s">
        <v>5601</v>
      </c>
      <c r="G324" s="243"/>
      <c r="H324" s="136" t="s">
        <v>140</v>
      </c>
      <c r="I324" s="178" t="s">
        <v>5779</v>
      </c>
      <c r="J324" s="113" t="s">
        <v>477</v>
      </c>
      <c r="K324" s="136" t="s">
        <v>142</v>
      </c>
      <c r="L324" s="136" t="s">
        <v>142</v>
      </c>
      <c r="M324" s="113" t="s">
        <v>5782</v>
      </c>
      <c r="N324" s="136" t="s">
        <v>32</v>
      </c>
      <c r="O324" s="113" t="s">
        <v>5783</v>
      </c>
      <c r="P324" s="113" t="s">
        <v>5784</v>
      </c>
      <c r="Q324" s="136" t="s">
        <v>5785</v>
      </c>
      <c r="R324" s="136">
        <v>9.53759292E8</v>
      </c>
      <c r="S324" s="113" t="s">
        <v>5787</v>
      </c>
      <c r="T324" s="136">
        <v>1.0</v>
      </c>
      <c r="U324" s="136">
        <v>0.0</v>
      </c>
      <c r="V324" s="136">
        <v>3.0</v>
      </c>
      <c r="W324" s="136">
        <v>0.0</v>
      </c>
      <c r="X324" s="136" t="s">
        <v>5788</v>
      </c>
      <c r="Y324" s="136" t="s">
        <v>61</v>
      </c>
      <c r="Z324" s="14"/>
      <c r="AA324" s="16"/>
      <c r="AB324" s="16"/>
      <c r="AC324" s="16"/>
      <c r="AD324" s="16"/>
      <c r="AE324" s="16"/>
    </row>
    <row r="325" ht="15.75" customHeight="1">
      <c r="A325" s="136">
        <v>320.0</v>
      </c>
      <c r="B325" s="136" t="s">
        <v>5789</v>
      </c>
      <c r="C325" s="136" t="s">
        <v>5709</v>
      </c>
      <c r="D325" s="575"/>
      <c r="E325" s="575"/>
      <c r="F325" s="136" t="s">
        <v>5601</v>
      </c>
      <c r="G325" s="14"/>
      <c r="H325" s="136" t="s">
        <v>140</v>
      </c>
      <c r="I325" s="178" t="s">
        <v>5791</v>
      </c>
      <c r="J325" s="113" t="s">
        <v>477</v>
      </c>
      <c r="K325" s="136" t="s">
        <v>5792</v>
      </c>
      <c r="L325" s="136" t="s">
        <v>5792</v>
      </c>
      <c r="M325" s="113" t="s">
        <v>5793</v>
      </c>
      <c r="N325" s="136" t="s">
        <v>32</v>
      </c>
      <c r="O325" s="113" t="s">
        <v>5794</v>
      </c>
      <c r="P325" s="113">
        <v>9.59377049E8</v>
      </c>
      <c r="Q325" s="136" t="s">
        <v>5795</v>
      </c>
      <c r="R325" s="136" t="s">
        <v>5796</v>
      </c>
      <c r="S325" s="113" t="s">
        <v>5797</v>
      </c>
      <c r="T325" s="136">
        <v>1.0</v>
      </c>
      <c r="U325" s="136">
        <v>0.0</v>
      </c>
      <c r="V325" s="136">
        <v>4.0</v>
      </c>
      <c r="W325" s="136">
        <v>0.0</v>
      </c>
      <c r="X325" s="136" t="s">
        <v>5799</v>
      </c>
      <c r="Y325" s="14"/>
      <c r="Z325" s="14"/>
      <c r="AA325" s="16"/>
      <c r="AB325" s="16"/>
      <c r="AC325" s="16"/>
      <c r="AD325" s="16"/>
      <c r="AE325" s="16"/>
    </row>
    <row r="326" ht="15.75" customHeight="1">
      <c r="A326" s="136">
        <v>321.0</v>
      </c>
      <c r="B326" s="136" t="s">
        <v>5800</v>
      </c>
      <c r="C326" s="136" t="s">
        <v>5709</v>
      </c>
      <c r="D326" s="575"/>
      <c r="E326" s="575"/>
      <c r="F326" s="290">
        <v>32707.0</v>
      </c>
      <c r="G326" s="290" t="s">
        <v>2203</v>
      </c>
      <c r="H326" s="136" t="s">
        <v>1234</v>
      </c>
      <c r="I326" s="178" t="s">
        <v>5801</v>
      </c>
      <c r="J326" s="113" t="s">
        <v>5802</v>
      </c>
      <c r="K326" s="136" t="s">
        <v>1240</v>
      </c>
      <c r="L326" s="136" t="s">
        <v>1103</v>
      </c>
      <c r="M326" s="113" t="s">
        <v>5804</v>
      </c>
      <c r="N326" s="136" t="s">
        <v>32</v>
      </c>
      <c r="O326" s="113" t="s">
        <v>5805</v>
      </c>
      <c r="P326" s="113">
        <v>9.75470456E8</v>
      </c>
      <c r="Q326" s="136" t="s">
        <v>5806</v>
      </c>
      <c r="R326" s="14"/>
      <c r="S326" s="113" t="s">
        <v>5808</v>
      </c>
      <c r="T326" s="136">
        <v>1.0</v>
      </c>
      <c r="U326" s="136">
        <v>0.0</v>
      </c>
      <c r="V326" s="136">
        <v>2.0</v>
      </c>
      <c r="W326" s="136">
        <v>0.0</v>
      </c>
      <c r="X326" s="136" t="s">
        <v>5810</v>
      </c>
      <c r="Y326" s="14"/>
      <c r="Z326" s="14" t="s">
        <v>5574</v>
      </c>
      <c r="AA326" s="16"/>
      <c r="AB326" s="16"/>
      <c r="AC326" s="16"/>
      <c r="AD326" s="16"/>
      <c r="AE326" s="16"/>
    </row>
    <row r="327" ht="15.75" customHeight="1">
      <c r="A327" s="136">
        <v>322.0</v>
      </c>
      <c r="B327" s="136" t="s">
        <v>5811</v>
      </c>
      <c r="C327" s="136" t="s">
        <v>5709</v>
      </c>
      <c r="D327" s="575"/>
      <c r="E327" s="575"/>
      <c r="F327" s="577">
        <v>38457.0</v>
      </c>
      <c r="G327" s="136" t="s">
        <v>170</v>
      </c>
      <c r="H327" s="136" t="s">
        <v>273</v>
      </c>
      <c r="I327" s="178" t="s">
        <v>5813</v>
      </c>
      <c r="J327" s="113" t="s">
        <v>277</v>
      </c>
      <c r="K327" s="136" t="s">
        <v>277</v>
      </c>
      <c r="L327" s="136" t="s">
        <v>281</v>
      </c>
      <c r="M327" s="113" t="s">
        <v>5814</v>
      </c>
      <c r="N327" s="136" t="s">
        <v>32</v>
      </c>
      <c r="O327" s="113" t="s">
        <v>5815</v>
      </c>
      <c r="P327" s="113" t="s">
        <v>5816</v>
      </c>
      <c r="Q327" s="136" t="s">
        <v>5818</v>
      </c>
      <c r="R327" s="136">
        <v>9.87770649E8</v>
      </c>
      <c r="S327" s="113" t="s">
        <v>5819</v>
      </c>
      <c r="T327" s="136">
        <v>1.0</v>
      </c>
      <c r="U327" s="136">
        <v>0.0</v>
      </c>
      <c r="V327" s="136">
        <v>4.0</v>
      </c>
      <c r="W327" s="136">
        <v>0.0</v>
      </c>
      <c r="X327" s="136" t="s">
        <v>5820</v>
      </c>
      <c r="Y327" s="136" t="s">
        <v>61</v>
      </c>
      <c r="Z327" s="14"/>
      <c r="AA327" s="16"/>
      <c r="AB327" s="16"/>
      <c r="AC327" s="16"/>
      <c r="AD327" s="16"/>
      <c r="AE327" s="16"/>
    </row>
    <row r="328" ht="15.75" customHeight="1">
      <c r="A328" s="136">
        <v>323.0</v>
      </c>
      <c r="B328" s="14"/>
      <c r="C328" s="14"/>
      <c r="D328" s="14"/>
      <c r="E328" s="14"/>
      <c r="F328" s="14"/>
      <c r="G328" s="14"/>
      <c r="H328" s="14"/>
      <c r="I328" s="80"/>
      <c r="J328" s="50"/>
      <c r="K328" s="14"/>
      <c r="L328" s="14"/>
      <c r="M328" s="50"/>
      <c r="N328" s="14"/>
      <c r="O328" s="50"/>
      <c r="P328" s="50"/>
      <c r="Q328" s="14"/>
      <c r="R328" s="14"/>
      <c r="S328" s="50"/>
      <c r="T328" s="14"/>
      <c r="U328" s="14"/>
      <c r="V328" s="14"/>
      <c r="W328" s="14"/>
      <c r="X328" s="14"/>
      <c r="Y328" s="14"/>
      <c r="Z328" s="14"/>
      <c r="AA328" s="16"/>
      <c r="AB328" s="16"/>
      <c r="AC328" s="16"/>
      <c r="AD328" s="16"/>
      <c r="AE328" s="16"/>
    </row>
    <row r="329" ht="15.75" customHeight="1">
      <c r="A329" s="136">
        <v>324.0</v>
      </c>
      <c r="B329" s="14"/>
      <c r="C329" s="14"/>
      <c r="D329" s="14"/>
      <c r="E329" s="14"/>
      <c r="F329" s="14"/>
      <c r="G329" s="14"/>
      <c r="H329" s="14"/>
      <c r="I329" s="80"/>
      <c r="J329" s="50"/>
      <c r="K329" s="14"/>
      <c r="L329" s="14"/>
      <c r="M329" s="50"/>
      <c r="N329" s="14"/>
      <c r="O329" s="50"/>
      <c r="P329" s="50"/>
      <c r="Q329" s="14"/>
      <c r="R329" s="14"/>
      <c r="S329" s="50"/>
      <c r="T329" s="14"/>
      <c r="U329" s="14"/>
      <c r="V329" s="14"/>
      <c r="W329" s="14"/>
      <c r="X329" s="14"/>
      <c r="Y329" s="14"/>
      <c r="Z329" s="14"/>
      <c r="AA329" s="16"/>
      <c r="AB329" s="16"/>
      <c r="AC329" s="16"/>
      <c r="AD329" s="16"/>
      <c r="AE329" s="16"/>
    </row>
    <row r="330" ht="15.75" customHeight="1">
      <c r="A330" s="16"/>
      <c r="B330" s="16"/>
      <c r="C330" s="16"/>
      <c r="D330" s="16"/>
      <c r="E330" s="16"/>
      <c r="F330" s="16"/>
      <c r="G330" s="16"/>
      <c r="H330" s="16"/>
      <c r="I330" s="195"/>
      <c r="J330" s="10"/>
      <c r="K330" s="16"/>
      <c r="L330" s="16"/>
      <c r="M330" s="10"/>
      <c r="N330" s="16"/>
      <c r="O330" s="10"/>
      <c r="P330" s="10"/>
      <c r="Q330" s="16"/>
      <c r="R330" s="16"/>
      <c r="S330" s="10"/>
      <c r="T330" s="16"/>
      <c r="U330" s="16"/>
      <c r="V330" s="16"/>
      <c r="W330" s="16"/>
      <c r="X330" s="16"/>
      <c r="Y330" s="16"/>
      <c r="Z330" s="16"/>
      <c r="AA330" s="16"/>
      <c r="AB330" s="16"/>
      <c r="AC330" s="16"/>
      <c r="AD330" s="16"/>
      <c r="AE330" s="16"/>
    </row>
    <row r="331" ht="15.75" customHeight="1">
      <c r="A331" s="16"/>
      <c r="B331" s="16"/>
      <c r="C331" s="16"/>
      <c r="D331" s="16"/>
      <c r="E331" s="16"/>
      <c r="F331" s="16"/>
      <c r="G331" s="16"/>
      <c r="H331" s="16"/>
      <c r="I331" s="195"/>
      <c r="J331" s="10"/>
      <c r="K331" s="16"/>
      <c r="L331" s="16"/>
      <c r="M331" s="10"/>
      <c r="N331" s="16"/>
      <c r="O331" s="10"/>
      <c r="P331" s="10"/>
      <c r="Q331" s="16"/>
      <c r="R331" s="16"/>
      <c r="S331" s="10"/>
      <c r="T331" s="16"/>
      <c r="U331" s="16"/>
      <c r="V331" s="16"/>
      <c r="W331" s="16"/>
      <c r="X331" s="16"/>
      <c r="Y331" s="16"/>
      <c r="Z331" s="16"/>
      <c r="AA331" s="16"/>
      <c r="AB331" s="16"/>
      <c r="AC331" s="16"/>
      <c r="AD331" s="16"/>
      <c r="AE331" s="16"/>
    </row>
    <row r="332" ht="15.75" customHeight="1">
      <c r="A332" s="16"/>
      <c r="B332" s="16"/>
      <c r="C332" s="16"/>
      <c r="D332" s="16"/>
      <c r="E332" s="16"/>
      <c r="F332" s="16"/>
      <c r="G332" s="16"/>
      <c r="H332" s="16"/>
      <c r="I332" s="195"/>
      <c r="J332" s="10"/>
      <c r="K332" s="16"/>
      <c r="L332" s="16"/>
      <c r="M332" s="10"/>
      <c r="N332" s="16"/>
      <c r="O332" s="10"/>
      <c r="P332" s="10"/>
      <c r="Q332" s="16"/>
      <c r="R332" s="16"/>
      <c r="S332" s="10"/>
      <c r="T332" s="16"/>
      <c r="U332" s="16"/>
      <c r="V332" s="16"/>
      <c r="W332" s="16"/>
      <c r="X332" s="16"/>
      <c r="Y332" s="16"/>
      <c r="Z332" s="16"/>
      <c r="AA332" s="16"/>
      <c r="AB332" s="16"/>
      <c r="AC332" s="16"/>
      <c r="AD332" s="16"/>
      <c r="AE332" s="16"/>
    </row>
    <row r="333" ht="15.75" customHeight="1">
      <c r="A333" s="16"/>
      <c r="B333" s="16"/>
      <c r="C333" s="16"/>
      <c r="D333" s="16"/>
      <c r="E333" s="16"/>
      <c r="F333" s="16"/>
      <c r="G333" s="16"/>
      <c r="H333" s="16"/>
      <c r="I333" s="195"/>
      <c r="J333" s="10"/>
      <c r="K333" s="16"/>
      <c r="L333" s="16"/>
      <c r="M333" s="10"/>
      <c r="N333" s="16"/>
      <c r="O333" s="10"/>
      <c r="P333" s="10"/>
      <c r="Q333" s="16"/>
      <c r="R333" s="16"/>
      <c r="S333" s="10"/>
      <c r="T333" s="16"/>
      <c r="U333" s="16"/>
      <c r="V333" s="16"/>
      <c r="W333" s="16"/>
      <c r="X333" s="16"/>
      <c r="Y333" s="16"/>
      <c r="Z333" s="16"/>
      <c r="AA333" s="16"/>
      <c r="AB333" s="16"/>
      <c r="AC333" s="16"/>
      <c r="AD333" s="16"/>
      <c r="AE333" s="16"/>
    </row>
    <row r="334" ht="15.75" customHeight="1">
      <c r="A334" s="16"/>
      <c r="B334" s="16"/>
      <c r="C334" s="16"/>
      <c r="D334" s="16"/>
      <c r="E334" s="16"/>
      <c r="F334" s="16"/>
      <c r="G334" s="16"/>
      <c r="H334" s="16"/>
      <c r="I334" s="195"/>
      <c r="J334" s="10"/>
      <c r="K334" s="16"/>
      <c r="L334" s="16"/>
      <c r="M334" s="10"/>
      <c r="N334" s="16"/>
      <c r="O334" s="10"/>
      <c r="P334" s="10"/>
      <c r="Q334" s="16"/>
      <c r="R334" s="16"/>
      <c r="S334" s="10"/>
      <c r="T334" s="16"/>
      <c r="U334" s="16"/>
      <c r="V334" s="16"/>
      <c r="W334" s="16"/>
      <c r="X334" s="16"/>
      <c r="Y334" s="16"/>
      <c r="Z334" s="16"/>
      <c r="AA334" s="16"/>
      <c r="AB334" s="16"/>
      <c r="AC334" s="16"/>
      <c r="AD334" s="16"/>
      <c r="AE334" s="16"/>
    </row>
    <row r="335" ht="15.75" customHeight="1">
      <c r="A335" s="16"/>
      <c r="B335" s="16"/>
      <c r="C335" s="16"/>
      <c r="D335" s="16"/>
      <c r="E335" s="16"/>
      <c r="F335" s="16"/>
      <c r="G335" s="16"/>
      <c r="H335" s="16"/>
      <c r="I335" s="195"/>
      <c r="J335" s="10"/>
      <c r="K335" s="16"/>
      <c r="L335" s="16"/>
      <c r="M335" s="10"/>
      <c r="N335" s="16"/>
      <c r="O335" s="10"/>
      <c r="P335" s="10"/>
      <c r="Q335" s="16"/>
      <c r="R335" s="16"/>
      <c r="S335" s="10"/>
      <c r="T335" s="16"/>
      <c r="U335" s="16"/>
      <c r="V335" s="16"/>
      <c r="W335" s="16"/>
      <c r="X335" s="16"/>
      <c r="Y335" s="16"/>
      <c r="Z335" s="16"/>
      <c r="AA335" s="16"/>
      <c r="AB335" s="16"/>
      <c r="AC335" s="16"/>
      <c r="AD335" s="16"/>
      <c r="AE335" s="16"/>
    </row>
    <row r="336" ht="15.75" customHeight="1">
      <c r="A336" s="16"/>
      <c r="B336" s="16"/>
      <c r="C336" s="16"/>
      <c r="D336" s="16"/>
      <c r="E336" s="16"/>
      <c r="F336" s="16"/>
      <c r="G336" s="16"/>
      <c r="H336" s="16"/>
      <c r="I336" s="195"/>
      <c r="J336" s="10"/>
      <c r="K336" s="16"/>
      <c r="L336" s="16"/>
      <c r="M336" s="10"/>
      <c r="N336" s="16"/>
      <c r="O336" s="10"/>
      <c r="P336" s="10"/>
      <c r="Q336" s="16"/>
      <c r="R336" s="16"/>
      <c r="S336" s="10"/>
      <c r="T336" s="16"/>
      <c r="U336" s="16"/>
      <c r="V336" s="16"/>
      <c r="W336" s="16"/>
      <c r="X336" s="16"/>
      <c r="Y336" s="16"/>
      <c r="Z336" s="16"/>
      <c r="AA336" s="16"/>
      <c r="AB336" s="16"/>
      <c r="AC336" s="16"/>
      <c r="AD336" s="16"/>
      <c r="AE336" s="16"/>
    </row>
    <row r="337" ht="15.75" customHeight="1">
      <c r="A337" s="16"/>
      <c r="B337" s="16"/>
      <c r="C337" s="16"/>
      <c r="D337" s="16"/>
      <c r="E337" s="16"/>
      <c r="F337" s="16"/>
      <c r="G337" s="16"/>
      <c r="H337" s="16"/>
      <c r="I337" s="195"/>
      <c r="J337" s="10"/>
      <c r="K337" s="16"/>
      <c r="L337" s="16"/>
      <c r="M337" s="10"/>
      <c r="N337" s="16"/>
      <c r="O337" s="10"/>
      <c r="P337" s="10"/>
      <c r="Q337" s="16"/>
      <c r="R337" s="16"/>
      <c r="S337" s="10"/>
      <c r="T337" s="16"/>
      <c r="U337" s="16"/>
      <c r="V337" s="16"/>
      <c r="W337" s="16"/>
      <c r="X337" s="16"/>
      <c r="Y337" s="16"/>
      <c r="Z337" s="16"/>
      <c r="AA337" s="16"/>
      <c r="AB337" s="16"/>
      <c r="AC337" s="16"/>
      <c r="AD337" s="16"/>
      <c r="AE337" s="16"/>
    </row>
    <row r="338" ht="15.75" customHeight="1">
      <c r="A338" s="16"/>
      <c r="B338" s="16"/>
      <c r="C338" s="16"/>
      <c r="D338" s="16"/>
      <c r="E338" s="16"/>
      <c r="F338" s="16"/>
      <c r="G338" s="16"/>
      <c r="H338" s="16"/>
      <c r="I338" s="195"/>
      <c r="J338" s="10"/>
      <c r="K338" s="16"/>
      <c r="L338" s="16"/>
      <c r="M338" s="10"/>
      <c r="N338" s="16"/>
      <c r="O338" s="10"/>
      <c r="P338" s="10"/>
      <c r="Q338" s="16"/>
      <c r="R338" s="16"/>
      <c r="S338" s="10"/>
      <c r="T338" s="16"/>
      <c r="U338" s="16"/>
      <c r="V338" s="16"/>
      <c r="W338" s="16"/>
      <c r="X338" s="16"/>
      <c r="Y338" s="16"/>
      <c r="Z338" s="16"/>
      <c r="AA338" s="16"/>
      <c r="AB338" s="16"/>
      <c r="AC338" s="16"/>
      <c r="AD338" s="16"/>
      <c r="AE338" s="16"/>
    </row>
    <row r="339" ht="15.75" customHeight="1">
      <c r="A339" s="16"/>
      <c r="B339" s="16"/>
      <c r="C339" s="16"/>
      <c r="D339" s="16"/>
      <c r="E339" s="16"/>
      <c r="F339" s="16"/>
      <c r="G339" s="16"/>
      <c r="H339" s="16"/>
      <c r="I339" s="195"/>
      <c r="J339" s="10"/>
      <c r="K339" s="16"/>
      <c r="L339" s="16"/>
      <c r="M339" s="10"/>
      <c r="N339" s="16"/>
      <c r="O339" s="10"/>
      <c r="P339" s="10"/>
      <c r="Q339" s="16"/>
      <c r="R339" s="16"/>
      <c r="S339" s="10"/>
      <c r="T339" s="16"/>
      <c r="U339" s="16"/>
      <c r="V339" s="16"/>
      <c r="W339" s="16"/>
      <c r="X339" s="16"/>
      <c r="Y339" s="16"/>
      <c r="Z339" s="16"/>
      <c r="AA339" s="16"/>
      <c r="AB339" s="16"/>
      <c r="AC339" s="16"/>
      <c r="AD339" s="16"/>
      <c r="AE339" s="16"/>
    </row>
    <row r="340" ht="15.75" customHeight="1">
      <c r="A340" s="16"/>
      <c r="B340" s="16"/>
      <c r="C340" s="16"/>
      <c r="D340" s="16"/>
      <c r="E340" s="16"/>
      <c r="F340" s="16"/>
      <c r="G340" s="16"/>
      <c r="H340" s="16"/>
      <c r="I340" s="195"/>
      <c r="J340" s="10"/>
      <c r="K340" s="16"/>
      <c r="L340" s="16"/>
      <c r="M340" s="10"/>
      <c r="N340" s="16"/>
      <c r="O340" s="10"/>
      <c r="P340" s="10"/>
      <c r="Q340" s="16"/>
      <c r="R340" s="16"/>
      <c r="S340" s="10"/>
      <c r="T340" s="16"/>
      <c r="U340" s="16"/>
      <c r="V340" s="16"/>
      <c r="W340" s="16"/>
      <c r="X340" s="16"/>
      <c r="Y340" s="16"/>
      <c r="Z340" s="16"/>
      <c r="AA340" s="16"/>
      <c r="AB340" s="16"/>
      <c r="AC340" s="16"/>
      <c r="AD340" s="16"/>
      <c r="AE340" s="16"/>
    </row>
    <row r="341" ht="15.75" customHeight="1">
      <c r="A341" s="16"/>
      <c r="B341" s="16"/>
      <c r="C341" s="16"/>
      <c r="D341" s="16"/>
      <c r="E341" s="16"/>
      <c r="F341" s="16"/>
      <c r="G341" s="16"/>
      <c r="H341" s="16"/>
      <c r="I341" s="195"/>
      <c r="J341" s="10"/>
      <c r="K341" s="16"/>
      <c r="L341" s="16"/>
      <c r="M341" s="10"/>
      <c r="N341" s="16"/>
      <c r="O341" s="10"/>
      <c r="P341" s="10"/>
      <c r="Q341" s="16"/>
      <c r="R341" s="16"/>
      <c r="S341" s="10"/>
      <c r="T341" s="16"/>
      <c r="U341" s="16"/>
      <c r="V341" s="16"/>
      <c r="W341" s="16"/>
      <c r="X341" s="16"/>
      <c r="Y341" s="16"/>
      <c r="Z341" s="16"/>
      <c r="AA341" s="16"/>
      <c r="AB341" s="16"/>
      <c r="AC341" s="16"/>
      <c r="AD341" s="16"/>
      <c r="AE341" s="16"/>
    </row>
    <row r="342" ht="15.75" customHeight="1">
      <c r="A342" s="16"/>
      <c r="B342" s="16"/>
      <c r="C342" s="16"/>
      <c r="D342" s="16"/>
      <c r="E342" s="16"/>
      <c r="F342" s="16"/>
      <c r="G342" s="16"/>
      <c r="H342" s="16"/>
      <c r="I342" s="195"/>
      <c r="J342" s="10"/>
      <c r="K342" s="16"/>
      <c r="L342" s="16"/>
      <c r="M342" s="10"/>
      <c r="N342" s="16"/>
      <c r="O342" s="10"/>
      <c r="P342" s="10"/>
      <c r="Q342" s="16"/>
      <c r="R342" s="16"/>
      <c r="S342" s="10"/>
      <c r="T342" s="16"/>
      <c r="U342" s="16"/>
      <c r="V342" s="16"/>
      <c r="W342" s="16"/>
      <c r="X342" s="16"/>
      <c r="Y342" s="16"/>
      <c r="Z342" s="16"/>
      <c r="AA342" s="16"/>
      <c r="AB342" s="16"/>
      <c r="AC342" s="16"/>
      <c r="AD342" s="16"/>
      <c r="AE342" s="16"/>
    </row>
    <row r="343" ht="15.75" customHeight="1">
      <c r="A343" s="16"/>
      <c r="B343" s="16"/>
      <c r="C343" s="16"/>
      <c r="D343" s="16"/>
      <c r="E343" s="16"/>
      <c r="F343" s="16"/>
      <c r="G343" s="16"/>
      <c r="H343" s="16"/>
      <c r="I343" s="195"/>
      <c r="J343" s="10"/>
      <c r="K343" s="16"/>
      <c r="L343" s="16"/>
      <c r="M343" s="10"/>
      <c r="N343" s="16"/>
      <c r="O343" s="10"/>
      <c r="P343" s="10"/>
      <c r="Q343" s="16"/>
      <c r="R343" s="16"/>
      <c r="S343" s="10"/>
      <c r="T343" s="16"/>
      <c r="U343" s="16"/>
      <c r="V343" s="16"/>
      <c r="W343" s="16"/>
      <c r="X343" s="16"/>
      <c r="Y343" s="16"/>
      <c r="Z343" s="16"/>
      <c r="AA343" s="16"/>
      <c r="AB343" s="16"/>
      <c r="AC343" s="16"/>
      <c r="AD343" s="16"/>
      <c r="AE343" s="16"/>
    </row>
    <row r="344" ht="15.75" customHeight="1">
      <c r="A344" s="16"/>
      <c r="B344" s="16"/>
      <c r="C344" s="16"/>
      <c r="D344" s="16"/>
      <c r="E344" s="16"/>
      <c r="F344" s="16"/>
      <c r="G344" s="16"/>
      <c r="H344" s="16"/>
      <c r="I344" s="195"/>
      <c r="J344" s="10"/>
      <c r="K344" s="16"/>
      <c r="L344" s="16"/>
      <c r="M344" s="10"/>
      <c r="N344" s="16"/>
      <c r="O344" s="10"/>
      <c r="P344" s="10"/>
      <c r="Q344" s="16"/>
      <c r="R344" s="16"/>
      <c r="S344" s="10"/>
      <c r="T344" s="16"/>
      <c r="U344" s="16"/>
      <c r="V344" s="16"/>
      <c r="W344" s="16"/>
      <c r="X344" s="16"/>
      <c r="Y344" s="16"/>
      <c r="Z344" s="16"/>
      <c r="AA344" s="16"/>
      <c r="AB344" s="16"/>
      <c r="AC344" s="16"/>
      <c r="AD344" s="16"/>
      <c r="AE344" s="16"/>
    </row>
    <row r="345" ht="15.75" customHeight="1">
      <c r="A345" s="16"/>
      <c r="B345" s="16"/>
      <c r="C345" s="16"/>
      <c r="D345" s="16"/>
      <c r="E345" s="16"/>
      <c r="F345" s="16"/>
      <c r="G345" s="16"/>
      <c r="H345" s="16"/>
      <c r="I345" s="195"/>
      <c r="J345" s="10"/>
      <c r="K345" s="16"/>
      <c r="L345" s="16"/>
      <c r="M345" s="10"/>
      <c r="N345" s="16"/>
      <c r="O345" s="10"/>
      <c r="P345" s="10"/>
      <c r="Q345" s="16"/>
      <c r="R345" s="16"/>
      <c r="S345" s="10"/>
      <c r="T345" s="16"/>
      <c r="U345" s="16"/>
      <c r="V345" s="16"/>
      <c r="W345" s="16"/>
      <c r="X345" s="16"/>
      <c r="Y345" s="16"/>
      <c r="Z345" s="16"/>
      <c r="AA345" s="16"/>
      <c r="AB345" s="16"/>
      <c r="AC345" s="16"/>
      <c r="AD345" s="16"/>
      <c r="AE345" s="16"/>
    </row>
    <row r="346" ht="15.75" customHeight="1">
      <c r="A346" s="16"/>
      <c r="B346" s="16"/>
      <c r="C346" s="16"/>
      <c r="D346" s="16"/>
      <c r="E346" s="16"/>
      <c r="F346" s="16"/>
      <c r="G346" s="16"/>
      <c r="H346" s="16"/>
      <c r="I346" s="195"/>
      <c r="J346" s="10"/>
      <c r="K346" s="16"/>
      <c r="L346" s="16"/>
      <c r="M346" s="10"/>
      <c r="N346" s="16"/>
      <c r="O346" s="10"/>
      <c r="P346" s="10"/>
      <c r="Q346" s="16"/>
      <c r="R346" s="16"/>
      <c r="S346" s="10"/>
      <c r="T346" s="16"/>
      <c r="U346" s="16"/>
      <c r="V346" s="16"/>
      <c r="W346" s="16"/>
      <c r="X346" s="16"/>
      <c r="Y346" s="16"/>
      <c r="Z346" s="16"/>
      <c r="AA346" s="16"/>
      <c r="AB346" s="16"/>
      <c r="AC346" s="16"/>
      <c r="AD346" s="16"/>
      <c r="AE346" s="16"/>
    </row>
    <row r="347" ht="15.75" customHeight="1">
      <c r="A347" s="16"/>
      <c r="B347" s="16"/>
      <c r="C347" s="16"/>
      <c r="D347" s="16"/>
      <c r="E347" s="16"/>
      <c r="F347" s="16"/>
      <c r="G347" s="16"/>
      <c r="H347" s="16"/>
      <c r="I347" s="195"/>
      <c r="J347" s="10"/>
      <c r="K347" s="16"/>
      <c r="L347" s="16"/>
      <c r="M347" s="10"/>
      <c r="N347" s="16"/>
      <c r="O347" s="10"/>
      <c r="P347" s="10"/>
      <c r="Q347" s="16"/>
      <c r="R347" s="16"/>
      <c r="S347" s="10"/>
      <c r="T347" s="16"/>
      <c r="U347" s="16"/>
      <c r="V347" s="16"/>
      <c r="W347" s="16"/>
      <c r="X347" s="16"/>
      <c r="Y347" s="16"/>
      <c r="Z347" s="16"/>
      <c r="AA347" s="16"/>
      <c r="AB347" s="16"/>
      <c r="AC347" s="16"/>
      <c r="AD347" s="16"/>
      <c r="AE347" s="16"/>
    </row>
    <row r="348" ht="15.75" customHeight="1">
      <c r="A348" s="16"/>
      <c r="B348" s="16"/>
      <c r="C348" s="16"/>
      <c r="D348" s="16"/>
      <c r="E348" s="16"/>
      <c r="F348" s="16"/>
      <c r="G348" s="16"/>
      <c r="H348" s="16"/>
      <c r="I348" s="195"/>
      <c r="J348" s="10"/>
      <c r="K348" s="16"/>
      <c r="L348" s="16"/>
      <c r="M348" s="10"/>
      <c r="N348" s="16"/>
      <c r="O348" s="10"/>
      <c r="P348" s="10"/>
      <c r="Q348" s="16"/>
      <c r="R348" s="16"/>
      <c r="S348" s="10"/>
      <c r="T348" s="16"/>
      <c r="U348" s="16"/>
      <c r="V348" s="16"/>
      <c r="W348" s="16"/>
      <c r="X348" s="16"/>
      <c r="Y348" s="16"/>
      <c r="Z348" s="16"/>
      <c r="AA348" s="16"/>
      <c r="AB348" s="16"/>
      <c r="AC348" s="16"/>
      <c r="AD348" s="16"/>
      <c r="AE348" s="16"/>
    </row>
    <row r="349" ht="15.75" customHeight="1">
      <c r="A349" s="16"/>
      <c r="B349" s="16"/>
      <c r="C349" s="16"/>
      <c r="D349" s="16"/>
      <c r="E349" s="16"/>
      <c r="F349" s="16"/>
      <c r="G349" s="16"/>
      <c r="H349" s="16"/>
      <c r="I349" s="195"/>
      <c r="J349" s="10"/>
      <c r="K349" s="16"/>
      <c r="L349" s="16"/>
      <c r="M349" s="10"/>
      <c r="N349" s="16"/>
      <c r="O349" s="10"/>
      <c r="P349" s="10"/>
      <c r="Q349" s="16"/>
      <c r="R349" s="16"/>
      <c r="S349" s="10"/>
      <c r="T349" s="16"/>
      <c r="U349" s="16"/>
      <c r="V349" s="16"/>
      <c r="W349" s="16"/>
      <c r="X349" s="16"/>
      <c r="Y349" s="16"/>
      <c r="Z349" s="16"/>
      <c r="AA349" s="16"/>
      <c r="AB349" s="16"/>
      <c r="AC349" s="16"/>
      <c r="AD349" s="16"/>
      <c r="AE349" s="16"/>
    </row>
    <row r="350" ht="15.75" customHeight="1">
      <c r="A350" s="16"/>
      <c r="B350" s="16"/>
      <c r="C350" s="16"/>
      <c r="D350" s="16"/>
      <c r="E350" s="16"/>
      <c r="F350" s="16"/>
      <c r="G350" s="16"/>
      <c r="H350" s="16"/>
      <c r="I350" s="195"/>
      <c r="J350" s="10"/>
      <c r="K350" s="16"/>
      <c r="L350" s="16"/>
      <c r="M350" s="10"/>
      <c r="N350" s="16"/>
      <c r="O350" s="10"/>
      <c r="P350" s="10"/>
      <c r="Q350" s="16"/>
      <c r="R350" s="16"/>
      <c r="S350" s="10"/>
      <c r="T350" s="16"/>
      <c r="U350" s="16"/>
      <c r="V350" s="16"/>
      <c r="W350" s="16"/>
      <c r="X350" s="16"/>
      <c r="Y350" s="16"/>
      <c r="Z350" s="16"/>
      <c r="AA350" s="16"/>
      <c r="AB350" s="16"/>
      <c r="AC350" s="16"/>
      <c r="AD350" s="16"/>
      <c r="AE350" s="16"/>
    </row>
    <row r="351" ht="15.75" customHeight="1">
      <c r="A351" s="16"/>
      <c r="B351" s="16"/>
      <c r="C351" s="16"/>
      <c r="D351" s="16"/>
      <c r="E351" s="16"/>
      <c r="F351" s="16"/>
      <c r="G351" s="16"/>
      <c r="H351" s="16"/>
      <c r="I351" s="195"/>
      <c r="J351" s="10"/>
      <c r="K351" s="16"/>
      <c r="L351" s="16"/>
      <c r="M351" s="10"/>
      <c r="N351" s="16"/>
      <c r="O351" s="10"/>
      <c r="P351" s="10"/>
      <c r="Q351" s="16"/>
      <c r="R351" s="16"/>
      <c r="S351" s="10"/>
      <c r="T351" s="16"/>
      <c r="U351" s="16"/>
      <c r="V351" s="16"/>
      <c r="W351" s="16"/>
      <c r="X351" s="16"/>
      <c r="Y351" s="16"/>
      <c r="Z351" s="16"/>
      <c r="AA351" s="16"/>
      <c r="AB351" s="16"/>
      <c r="AC351" s="16"/>
      <c r="AD351" s="16"/>
      <c r="AE351" s="16"/>
    </row>
    <row r="352" ht="15.75" customHeight="1">
      <c r="A352" s="16"/>
      <c r="B352" s="16"/>
      <c r="C352" s="16"/>
      <c r="D352" s="16"/>
      <c r="E352" s="16"/>
      <c r="F352" s="16"/>
      <c r="G352" s="16"/>
      <c r="H352" s="16"/>
      <c r="I352" s="195"/>
      <c r="J352" s="10"/>
      <c r="K352" s="16"/>
      <c r="L352" s="16"/>
      <c r="M352" s="10"/>
      <c r="N352" s="16"/>
      <c r="O352" s="10"/>
      <c r="P352" s="10"/>
      <c r="Q352" s="16"/>
      <c r="R352" s="16"/>
      <c r="S352" s="10"/>
      <c r="T352" s="16"/>
      <c r="U352" s="16"/>
      <c r="V352" s="16"/>
      <c r="W352" s="16"/>
      <c r="X352" s="16"/>
      <c r="Y352" s="16"/>
      <c r="Z352" s="16"/>
      <c r="AA352" s="16"/>
      <c r="AB352" s="16"/>
      <c r="AC352" s="16"/>
      <c r="AD352" s="16"/>
      <c r="AE352" s="16"/>
    </row>
    <row r="353" ht="15.75" customHeight="1">
      <c r="A353" s="16"/>
      <c r="B353" s="16"/>
      <c r="C353" s="16"/>
      <c r="D353" s="16"/>
      <c r="E353" s="16"/>
      <c r="F353" s="16"/>
      <c r="G353" s="16"/>
      <c r="H353" s="16"/>
      <c r="I353" s="195"/>
      <c r="J353" s="10"/>
      <c r="K353" s="16"/>
      <c r="L353" s="16"/>
      <c r="M353" s="10"/>
      <c r="N353" s="16"/>
      <c r="O353" s="10"/>
      <c r="P353" s="10"/>
      <c r="Q353" s="16"/>
      <c r="R353" s="16"/>
      <c r="S353" s="10"/>
      <c r="T353" s="16"/>
      <c r="U353" s="16"/>
      <c r="V353" s="16"/>
      <c r="W353" s="16"/>
      <c r="X353" s="16"/>
      <c r="Y353" s="16"/>
      <c r="Z353" s="16"/>
      <c r="AA353" s="16"/>
      <c r="AB353" s="16"/>
      <c r="AC353" s="16"/>
      <c r="AD353" s="16"/>
      <c r="AE353" s="16"/>
    </row>
    <row r="354" ht="15.75" customHeight="1">
      <c r="A354" s="16"/>
      <c r="B354" s="16"/>
      <c r="C354" s="16"/>
      <c r="D354" s="16"/>
      <c r="E354" s="16"/>
      <c r="F354" s="16"/>
      <c r="G354" s="16"/>
      <c r="H354" s="16"/>
      <c r="I354" s="195"/>
      <c r="J354" s="10"/>
      <c r="K354" s="16"/>
      <c r="L354" s="16"/>
      <c r="M354" s="10"/>
      <c r="N354" s="16"/>
      <c r="O354" s="10"/>
      <c r="P354" s="10"/>
      <c r="Q354" s="16"/>
      <c r="R354" s="16"/>
      <c r="S354" s="10"/>
      <c r="T354" s="16"/>
      <c r="U354" s="16"/>
      <c r="V354" s="16"/>
      <c r="W354" s="16"/>
      <c r="X354" s="16"/>
      <c r="Y354" s="16"/>
      <c r="Z354" s="16"/>
      <c r="AA354" s="16"/>
      <c r="AB354" s="16"/>
      <c r="AC354" s="16"/>
      <c r="AD354" s="16"/>
      <c r="AE354" s="16"/>
    </row>
    <row r="355" ht="15.75" customHeight="1">
      <c r="A355" s="16"/>
      <c r="B355" s="16"/>
      <c r="C355" s="16"/>
      <c r="D355" s="16"/>
      <c r="E355" s="16"/>
      <c r="F355" s="16"/>
      <c r="G355" s="16"/>
      <c r="H355" s="16"/>
      <c r="I355" s="195"/>
      <c r="J355" s="10"/>
      <c r="K355" s="16"/>
      <c r="L355" s="16"/>
      <c r="M355" s="10"/>
      <c r="N355" s="16"/>
      <c r="O355" s="10"/>
      <c r="P355" s="10"/>
      <c r="Q355" s="16"/>
      <c r="R355" s="16"/>
      <c r="S355" s="10"/>
      <c r="T355" s="16"/>
      <c r="U355" s="16"/>
      <c r="V355" s="16"/>
      <c r="W355" s="16"/>
      <c r="X355" s="16"/>
      <c r="Y355" s="16"/>
      <c r="Z355" s="16"/>
      <c r="AA355" s="16"/>
      <c r="AB355" s="16"/>
      <c r="AC355" s="16"/>
      <c r="AD355" s="16"/>
      <c r="AE355" s="16"/>
    </row>
    <row r="356" ht="15.75" customHeight="1">
      <c r="A356" s="16"/>
      <c r="B356" s="16"/>
      <c r="C356" s="16"/>
      <c r="D356" s="16"/>
      <c r="E356" s="16"/>
      <c r="F356" s="16"/>
      <c r="G356" s="16"/>
      <c r="H356" s="16"/>
      <c r="I356" s="195"/>
      <c r="J356" s="10"/>
      <c r="K356" s="16"/>
      <c r="L356" s="16"/>
      <c r="M356" s="10"/>
      <c r="N356" s="16"/>
      <c r="O356" s="10"/>
      <c r="P356" s="10"/>
      <c r="Q356" s="16"/>
      <c r="R356" s="16"/>
      <c r="S356" s="10"/>
      <c r="T356" s="16"/>
      <c r="U356" s="16"/>
      <c r="V356" s="16"/>
      <c r="W356" s="16"/>
      <c r="X356" s="16"/>
      <c r="Y356" s="16"/>
      <c r="Z356" s="16"/>
      <c r="AA356" s="16"/>
      <c r="AB356" s="16"/>
      <c r="AC356" s="16"/>
      <c r="AD356" s="16"/>
      <c r="AE356" s="16"/>
    </row>
    <row r="357" ht="15.75" customHeight="1">
      <c r="A357" s="16"/>
      <c r="B357" s="16"/>
      <c r="C357" s="16"/>
      <c r="D357" s="16"/>
      <c r="E357" s="16"/>
      <c r="F357" s="16"/>
      <c r="G357" s="16"/>
      <c r="H357" s="16"/>
      <c r="I357" s="195"/>
      <c r="J357" s="10"/>
      <c r="K357" s="16"/>
      <c r="L357" s="16"/>
      <c r="M357" s="10"/>
      <c r="N357" s="16"/>
      <c r="O357" s="10"/>
      <c r="P357" s="10"/>
      <c r="Q357" s="16"/>
      <c r="R357" s="16"/>
      <c r="S357" s="10"/>
      <c r="T357" s="16"/>
      <c r="U357" s="16"/>
      <c r="V357" s="16"/>
      <c r="W357" s="16"/>
      <c r="X357" s="16"/>
      <c r="Y357" s="16"/>
      <c r="Z357" s="16"/>
      <c r="AA357" s="16"/>
      <c r="AB357" s="16"/>
      <c r="AC357" s="16"/>
      <c r="AD357" s="16"/>
      <c r="AE357" s="16"/>
    </row>
    <row r="358" ht="15.75" customHeight="1">
      <c r="A358" s="16"/>
      <c r="B358" s="16"/>
      <c r="C358" s="16"/>
      <c r="D358" s="16"/>
      <c r="E358" s="16"/>
      <c r="F358" s="16"/>
      <c r="G358" s="16"/>
      <c r="H358" s="16"/>
      <c r="I358" s="195"/>
      <c r="J358" s="10"/>
      <c r="K358" s="16"/>
      <c r="L358" s="16"/>
      <c r="M358" s="10"/>
      <c r="N358" s="16"/>
      <c r="O358" s="10"/>
      <c r="P358" s="10"/>
      <c r="Q358" s="16"/>
      <c r="R358" s="16"/>
      <c r="S358" s="10"/>
      <c r="T358" s="16"/>
      <c r="U358" s="16"/>
      <c r="V358" s="16"/>
      <c r="W358" s="16"/>
      <c r="X358" s="16"/>
      <c r="Y358" s="16"/>
      <c r="Z358" s="16"/>
      <c r="AA358" s="16"/>
      <c r="AB358" s="16"/>
      <c r="AC358" s="16"/>
      <c r="AD358" s="16"/>
      <c r="AE358" s="16"/>
    </row>
    <row r="359" ht="15.75" customHeight="1">
      <c r="A359" s="16"/>
      <c r="B359" s="16"/>
      <c r="C359" s="16"/>
      <c r="D359" s="16"/>
      <c r="E359" s="16"/>
      <c r="F359" s="16"/>
      <c r="G359" s="16"/>
      <c r="H359" s="16"/>
      <c r="I359" s="195"/>
      <c r="J359" s="10"/>
      <c r="K359" s="16"/>
      <c r="L359" s="16"/>
      <c r="M359" s="10"/>
      <c r="N359" s="16"/>
      <c r="O359" s="10"/>
      <c r="P359" s="10"/>
      <c r="Q359" s="16"/>
      <c r="R359" s="16"/>
      <c r="S359" s="10"/>
      <c r="T359" s="16"/>
      <c r="U359" s="16"/>
      <c r="V359" s="16"/>
      <c r="W359" s="16"/>
      <c r="X359" s="16"/>
      <c r="Y359" s="16"/>
      <c r="Z359" s="16"/>
      <c r="AA359" s="16"/>
      <c r="AB359" s="16"/>
      <c r="AC359" s="16"/>
      <c r="AD359" s="16"/>
      <c r="AE359" s="16"/>
    </row>
    <row r="360" ht="15.75" customHeight="1">
      <c r="A360" s="16"/>
      <c r="B360" s="16"/>
      <c r="C360" s="16"/>
      <c r="D360" s="16"/>
      <c r="E360" s="16"/>
      <c r="F360" s="16"/>
      <c r="G360" s="16"/>
      <c r="H360" s="16"/>
      <c r="I360" s="195"/>
      <c r="J360" s="10"/>
      <c r="K360" s="16"/>
      <c r="L360" s="16"/>
      <c r="M360" s="10"/>
      <c r="N360" s="16"/>
      <c r="O360" s="10"/>
      <c r="P360" s="10"/>
      <c r="Q360" s="16"/>
      <c r="R360" s="16"/>
      <c r="S360" s="10"/>
      <c r="T360" s="16"/>
      <c r="U360" s="16"/>
      <c r="V360" s="16"/>
      <c r="W360" s="16"/>
      <c r="X360" s="16"/>
      <c r="Y360" s="16"/>
      <c r="Z360" s="16"/>
      <c r="AA360" s="16"/>
      <c r="AB360" s="16"/>
      <c r="AC360" s="16"/>
      <c r="AD360" s="16"/>
      <c r="AE360" s="16"/>
    </row>
    <row r="361" ht="15.75" customHeight="1">
      <c r="A361" s="16"/>
      <c r="B361" s="16"/>
      <c r="C361" s="16"/>
      <c r="D361" s="16"/>
      <c r="E361" s="16"/>
      <c r="F361" s="16"/>
      <c r="G361" s="16"/>
      <c r="H361" s="16"/>
      <c r="I361" s="195"/>
      <c r="J361" s="10"/>
      <c r="K361" s="16"/>
      <c r="L361" s="16"/>
      <c r="M361" s="10"/>
      <c r="N361" s="16"/>
      <c r="O361" s="10"/>
      <c r="P361" s="10"/>
      <c r="Q361" s="16"/>
      <c r="R361" s="16"/>
      <c r="S361" s="10"/>
      <c r="T361" s="16"/>
      <c r="U361" s="16"/>
      <c r="V361" s="16"/>
      <c r="W361" s="16"/>
      <c r="X361" s="16"/>
      <c r="Y361" s="16"/>
      <c r="Z361" s="16"/>
      <c r="AA361" s="16"/>
      <c r="AB361" s="16"/>
      <c r="AC361" s="16"/>
      <c r="AD361" s="16"/>
      <c r="AE361" s="16"/>
    </row>
    <row r="362" ht="15.75" customHeight="1">
      <c r="A362" s="16"/>
      <c r="B362" s="16"/>
      <c r="C362" s="16"/>
      <c r="D362" s="16"/>
      <c r="E362" s="16"/>
      <c r="F362" s="16"/>
      <c r="G362" s="16"/>
      <c r="H362" s="16"/>
      <c r="I362" s="195"/>
      <c r="J362" s="10"/>
      <c r="K362" s="16"/>
      <c r="L362" s="16"/>
      <c r="M362" s="10"/>
      <c r="N362" s="16"/>
      <c r="O362" s="10"/>
      <c r="P362" s="10"/>
      <c r="Q362" s="16"/>
      <c r="R362" s="16"/>
      <c r="S362" s="10"/>
      <c r="T362" s="16"/>
      <c r="U362" s="16"/>
      <c r="V362" s="16"/>
      <c r="W362" s="16"/>
      <c r="X362" s="16"/>
      <c r="Y362" s="16"/>
      <c r="Z362" s="16"/>
      <c r="AA362" s="16"/>
      <c r="AB362" s="16"/>
      <c r="AC362" s="16"/>
      <c r="AD362" s="16"/>
      <c r="AE362" s="16"/>
    </row>
    <row r="363" ht="15.75" customHeight="1">
      <c r="A363" s="16"/>
      <c r="B363" s="16"/>
      <c r="C363" s="16"/>
      <c r="D363" s="16"/>
      <c r="E363" s="16"/>
      <c r="F363" s="16"/>
      <c r="G363" s="16"/>
      <c r="H363" s="16"/>
      <c r="I363" s="195"/>
      <c r="J363" s="10"/>
      <c r="K363" s="16"/>
      <c r="L363" s="16"/>
      <c r="M363" s="10"/>
      <c r="N363" s="16"/>
      <c r="O363" s="10"/>
      <c r="P363" s="10"/>
      <c r="Q363" s="16"/>
      <c r="R363" s="16"/>
      <c r="S363" s="10"/>
      <c r="T363" s="16"/>
      <c r="U363" s="16"/>
      <c r="V363" s="16"/>
      <c r="W363" s="16"/>
      <c r="X363" s="16"/>
      <c r="Y363" s="16"/>
      <c r="Z363" s="16"/>
      <c r="AA363" s="16"/>
      <c r="AB363" s="16"/>
      <c r="AC363" s="16"/>
      <c r="AD363" s="16"/>
      <c r="AE363" s="16"/>
    </row>
    <row r="364" ht="15.75" customHeight="1">
      <c r="A364" s="16"/>
      <c r="B364" s="16"/>
      <c r="C364" s="16"/>
      <c r="D364" s="16"/>
      <c r="E364" s="16"/>
      <c r="F364" s="16"/>
      <c r="G364" s="16"/>
      <c r="H364" s="16"/>
      <c r="I364" s="195"/>
      <c r="J364" s="10"/>
      <c r="K364" s="16"/>
      <c r="L364" s="16"/>
      <c r="M364" s="10"/>
      <c r="N364" s="16"/>
      <c r="O364" s="10"/>
      <c r="P364" s="10"/>
      <c r="Q364" s="16"/>
      <c r="R364" s="16"/>
      <c r="S364" s="10"/>
      <c r="T364" s="16"/>
      <c r="U364" s="16"/>
      <c r="V364" s="16"/>
      <c r="W364" s="16"/>
      <c r="X364" s="16"/>
      <c r="Y364" s="16"/>
      <c r="Z364" s="16"/>
      <c r="AA364" s="16"/>
      <c r="AB364" s="16"/>
      <c r="AC364" s="16"/>
      <c r="AD364" s="16"/>
      <c r="AE364" s="16"/>
    </row>
    <row r="365" ht="15.75" customHeight="1">
      <c r="A365" s="16"/>
      <c r="B365" s="16"/>
      <c r="C365" s="16"/>
      <c r="D365" s="16"/>
      <c r="E365" s="16"/>
      <c r="F365" s="16"/>
      <c r="G365" s="16"/>
      <c r="H365" s="16"/>
      <c r="I365" s="195"/>
      <c r="J365" s="10"/>
      <c r="K365" s="16"/>
      <c r="L365" s="16"/>
      <c r="M365" s="10"/>
      <c r="N365" s="16"/>
      <c r="O365" s="10"/>
      <c r="P365" s="10"/>
      <c r="Q365" s="16"/>
      <c r="R365" s="16"/>
      <c r="S365" s="10"/>
      <c r="T365" s="16"/>
      <c r="U365" s="16"/>
      <c r="V365" s="16"/>
      <c r="W365" s="16"/>
      <c r="X365" s="16"/>
      <c r="Y365" s="16"/>
      <c r="Z365" s="16"/>
      <c r="AA365" s="16"/>
      <c r="AB365" s="16"/>
      <c r="AC365" s="16"/>
      <c r="AD365" s="16"/>
      <c r="AE365" s="16"/>
    </row>
    <row r="366" ht="15.75" customHeight="1">
      <c r="A366" s="16"/>
      <c r="B366" s="16"/>
      <c r="C366" s="16"/>
      <c r="D366" s="16"/>
      <c r="E366" s="16"/>
      <c r="F366" s="16"/>
      <c r="G366" s="16"/>
      <c r="H366" s="16"/>
      <c r="I366" s="195"/>
      <c r="J366" s="10"/>
      <c r="K366" s="16"/>
      <c r="L366" s="16"/>
      <c r="M366" s="10"/>
      <c r="N366" s="16"/>
      <c r="O366" s="10"/>
      <c r="P366" s="10"/>
      <c r="Q366" s="16"/>
      <c r="R366" s="16"/>
      <c r="S366" s="10"/>
      <c r="T366" s="16"/>
      <c r="U366" s="16"/>
      <c r="V366" s="16"/>
      <c r="W366" s="16"/>
      <c r="X366" s="16"/>
      <c r="Y366" s="16"/>
      <c r="Z366" s="16"/>
      <c r="AA366" s="16"/>
      <c r="AB366" s="16"/>
      <c r="AC366" s="16"/>
      <c r="AD366" s="16"/>
      <c r="AE366" s="16"/>
    </row>
    <row r="367" ht="15.75" customHeight="1">
      <c r="A367" s="16"/>
      <c r="B367" s="16"/>
      <c r="C367" s="16"/>
      <c r="D367" s="16"/>
      <c r="E367" s="16"/>
      <c r="F367" s="16"/>
      <c r="G367" s="16"/>
      <c r="H367" s="16"/>
      <c r="I367" s="195"/>
      <c r="J367" s="10"/>
      <c r="K367" s="16"/>
      <c r="L367" s="16"/>
      <c r="M367" s="10"/>
      <c r="N367" s="16"/>
      <c r="O367" s="10"/>
      <c r="P367" s="10"/>
      <c r="Q367" s="16"/>
      <c r="R367" s="16"/>
      <c r="S367" s="10"/>
      <c r="T367" s="16"/>
      <c r="U367" s="16"/>
      <c r="V367" s="16"/>
      <c r="W367" s="16"/>
      <c r="X367" s="16"/>
      <c r="Y367" s="16"/>
      <c r="Z367" s="16"/>
      <c r="AA367" s="16"/>
      <c r="AB367" s="16"/>
      <c r="AC367" s="16"/>
      <c r="AD367" s="16"/>
      <c r="AE367" s="16"/>
    </row>
    <row r="368" ht="15.75" customHeight="1">
      <c r="A368" s="16"/>
      <c r="B368" s="16"/>
      <c r="C368" s="16"/>
      <c r="D368" s="16"/>
      <c r="E368" s="16"/>
      <c r="F368" s="16"/>
      <c r="G368" s="16"/>
      <c r="H368" s="16"/>
      <c r="I368" s="195"/>
      <c r="J368" s="10"/>
      <c r="K368" s="16"/>
      <c r="L368" s="16"/>
      <c r="M368" s="10"/>
      <c r="N368" s="16"/>
      <c r="O368" s="10"/>
      <c r="P368" s="10"/>
      <c r="Q368" s="16"/>
      <c r="R368" s="16"/>
      <c r="S368" s="10"/>
      <c r="T368" s="16"/>
      <c r="U368" s="16"/>
      <c r="V368" s="16"/>
      <c r="W368" s="16"/>
      <c r="X368" s="16"/>
      <c r="Y368" s="16"/>
      <c r="Z368" s="16"/>
      <c r="AA368" s="16"/>
      <c r="AB368" s="16"/>
      <c r="AC368" s="16"/>
      <c r="AD368" s="16"/>
      <c r="AE368" s="16"/>
    </row>
    <row r="369" ht="15.75" customHeight="1">
      <c r="A369" s="16"/>
      <c r="B369" s="16"/>
      <c r="C369" s="16"/>
      <c r="D369" s="16"/>
      <c r="E369" s="16"/>
      <c r="F369" s="16"/>
      <c r="G369" s="16"/>
      <c r="H369" s="16"/>
      <c r="I369" s="195"/>
      <c r="J369" s="10"/>
      <c r="K369" s="16"/>
      <c r="L369" s="16"/>
      <c r="M369" s="10"/>
      <c r="N369" s="16"/>
      <c r="O369" s="10"/>
      <c r="P369" s="10"/>
      <c r="Q369" s="16"/>
      <c r="R369" s="16"/>
      <c r="S369" s="10"/>
      <c r="T369" s="16"/>
      <c r="U369" s="16"/>
      <c r="V369" s="16"/>
      <c r="W369" s="16"/>
      <c r="X369" s="16"/>
      <c r="Y369" s="16"/>
      <c r="Z369" s="16"/>
      <c r="AA369" s="16"/>
      <c r="AB369" s="16"/>
      <c r="AC369" s="16"/>
      <c r="AD369" s="16"/>
      <c r="AE369" s="16"/>
    </row>
    <row r="370" ht="15.75" customHeight="1">
      <c r="A370" s="16"/>
      <c r="B370" s="16"/>
      <c r="C370" s="16"/>
      <c r="D370" s="16"/>
      <c r="E370" s="16"/>
      <c r="F370" s="16"/>
      <c r="G370" s="16"/>
      <c r="H370" s="16"/>
      <c r="I370" s="195"/>
      <c r="J370" s="10"/>
      <c r="K370" s="16"/>
      <c r="L370" s="16"/>
      <c r="M370" s="10"/>
      <c r="N370" s="16"/>
      <c r="O370" s="10"/>
      <c r="P370" s="10"/>
      <c r="Q370" s="16"/>
      <c r="R370" s="16"/>
      <c r="S370" s="10"/>
      <c r="T370" s="16"/>
      <c r="U370" s="16"/>
      <c r="V370" s="16"/>
      <c r="W370" s="16"/>
      <c r="X370" s="16"/>
      <c r="Y370" s="16"/>
      <c r="Z370" s="16"/>
      <c r="AA370" s="16"/>
      <c r="AB370" s="16"/>
      <c r="AC370" s="16"/>
      <c r="AD370" s="16"/>
      <c r="AE370" s="16"/>
    </row>
    <row r="371" ht="15.75" customHeight="1">
      <c r="A371" s="16"/>
      <c r="B371" s="16"/>
      <c r="C371" s="16"/>
      <c r="D371" s="16"/>
      <c r="E371" s="16"/>
      <c r="F371" s="16"/>
      <c r="G371" s="16"/>
      <c r="H371" s="16"/>
      <c r="I371" s="195"/>
      <c r="J371" s="10"/>
      <c r="K371" s="16"/>
      <c r="L371" s="16"/>
      <c r="M371" s="10"/>
      <c r="N371" s="16"/>
      <c r="O371" s="10"/>
      <c r="P371" s="10"/>
      <c r="Q371" s="16"/>
      <c r="R371" s="16"/>
      <c r="S371" s="10"/>
      <c r="T371" s="16"/>
      <c r="U371" s="16"/>
      <c r="V371" s="16"/>
      <c r="W371" s="16"/>
      <c r="X371" s="16"/>
      <c r="Y371" s="16"/>
      <c r="Z371" s="16"/>
      <c r="AA371" s="16"/>
      <c r="AB371" s="16"/>
      <c r="AC371" s="16"/>
      <c r="AD371" s="16"/>
      <c r="AE371" s="16"/>
    </row>
    <row r="372" ht="15.75" customHeight="1">
      <c r="A372" s="16"/>
      <c r="B372" s="16"/>
      <c r="C372" s="16"/>
      <c r="D372" s="16"/>
      <c r="E372" s="16"/>
      <c r="F372" s="16"/>
      <c r="G372" s="16"/>
      <c r="H372" s="16"/>
      <c r="I372" s="195"/>
      <c r="J372" s="10"/>
      <c r="K372" s="16"/>
      <c r="L372" s="16"/>
      <c r="M372" s="10"/>
      <c r="N372" s="16"/>
      <c r="O372" s="10"/>
      <c r="P372" s="10"/>
      <c r="Q372" s="16"/>
      <c r="R372" s="16"/>
      <c r="S372" s="10"/>
      <c r="T372" s="16"/>
      <c r="U372" s="16"/>
      <c r="V372" s="16"/>
      <c r="W372" s="16"/>
      <c r="X372" s="16"/>
      <c r="Y372" s="16"/>
      <c r="Z372" s="16"/>
      <c r="AA372" s="16"/>
      <c r="AB372" s="16"/>
      <c r="AC372" s="16"/>
      <c r="AD372" s="16"/>
      <c r="AE372" s="16"/>
    </row>
    <row r="373" ht="15.75" customHeight="1">
      <c r="A373" s="16"/>
      <c r="B373" s="16"/>
      <c r="C373" s="16"/>
      <c r="D373" s="16"/>
      <c r="E373" s="16"/>
      <c r="F373" s="16"/>
      <c r="G373" s="16"/>
      <c r="H373" s="16"/>
      <c r="I373" s="195"/>
      <c r="J373" s="10"/>
      <c r="K373" s="16"/>
      <c r="L373" s="16"/>
      <c r="M373" s="10"/>
      <c r="N373" s="16"/>
      <c r="O373" s="10"/>
      <c r="P373" s="10"/>
      <c r="Q373" s="16"/>
      <c r="R373" s="16"/>
      <c r="S373" s="10"/>
      <c r="T373" s="16"/>
      <c r="U373" s="16"/>
      <c r="V373" s="16"/>
      <c r="W373" s="16"/>
      <c r="X373" s="16"/>
      <c r="Y373" s="16"/>
      <c r="Z373" s="16"/>
      <c r="AA373" s="16"/>
      <c r="AB373" s="16"/>
      <c r="AC373" s="16"/>
      <c r="AD373" s="16"/>
      <c r="AE373" s="16"/>
    </row>
    <row r="374" ht="15.75" customHeight="1">
      <c r="A374" s="16"/>
      <c r="B374" s="16"/>
      <c r="C374" s="16"/>
      <c r="D374" s="16"/>
      <c r="E374" s="16"/>
      <c r="F374" s="16"/>
      <c r="G374" s="16"/>
      <c r="H374" s="16"/>
      <c r="I374" s="195"/>
      <c r="J374" s="10"/>
      <c r="K374" s="16"/>
      <c r="L374" s="16"/>
      <c r="M374" s="10"/>
      <c r="N374" s="16"/>
      <c r="O374" s="10"/>
      <c r="P374" s="10"/>
      <c r="Q374" s="16"/>
      <c r="R374" s="16"/>
      <c r="S374" s="10"/>
      <c r="T374" s="16"/>
      <c r="U374" s="16"/>
      <c r="V374" s="16"/>
      <c r="W374" s="16"/>
      <c r="X374" s="16"/>
      <c r="Y374" s="16"/>
      <c r="Z374" s="16"/>
      <c r="AA374" s="16"/>
      <c r="AB374" s="16"/>
      <c r="AC374" s="16"/>
      <c r="AD374" s="16"/>
      <c r="AE374" s="16"/>
    </row>
    <row r="375" ht="15.75" customHeight="1">
      <c r="A375" s="16"/>
      <c r="B375" s="16"/>
      <c r="C375" s="16"/>
      <c r="D375" s="16"/>
      <c r="E375" s="16"/>
      <c r="F375" s="16"/>
      <c r="G375" s="16"/>
      <c r="H375" s="16"/>
      <c r="I375" s="195"/>
      <c r="J375" s="10"/>
      <c r="K375" s="16"/>
      <c r="L375" s="16"/>
      <c r="M375" s="10"/>
      <c r="N375" s="16"/>
      <c r="O375" s="10"/>
      <c r="P375" s="10"/>
      <c r="Q375" s="16"/>
      <c r="R375" s="16"/>
      <c r="S375" s="10"/>
      <c r="T375" s="16"/>
      <c r="U375" s="16"/>
      <c r="V375" s="16"/>
      <c r="W375" s="16"/>
      <c r="X375" s="16"/>
      <c r="Y375" s="16"/>
      <c r="Z375" s="16"/>
      <c r="AA375" s="16"/>
      <c r="AB375" s="16"/>
      <c r="AC375" s="16"/>
      <c r="AD375" s="16"/>
      <c r="AE375" s="16"/>
    </row>
    <row r="376" ht="15.75" customHeight="1">
      <c r="A376" s="16"/>
      <c r="B376" s="16"/>
      <c r="C376" s="16"/>
      <c r="D376" s="16"/>
      <c r="E376" s="16"/>
      <c r="F376" s="16"/>
      <c r="G376" s="16"/>
      <c r="H376" s="16"/>
      <c r="I376" s="195"/>
      <c r="J376" s="10"/>
      <c r="K376" s="16"/>
      <c r="L376" s="16"/>
      <c r="M376" s="10"/>
      <c r="N376" s="16"/>
      <c r="O376" s="10"/>
      <c r="P376" s="10"/>
      <c r="Q376" s="16"/>
      <c r="R376" s="16"/>
      <c r="S376" s="10"/>
      <c r="T376" s="16"/>
      <c r="U376" s="16"/>
      <c r="V376" s="16"/>
      <c r="W376" s="16"/>
      <c r="X376" s="16"/>
      <c r="Y376" s="16"/>
      <c r="Z376" s="16"/>
      <c r="AA376" s="16"/>
      <c r="AB376" s="16"/>
      <c r="AC376" s="16"/>
      <c r="AD376" s="16"/>
      <c r="AE376" s="16"/>
    </row>
    <row r="377" ht="15.75" customHeight="1">
      <c r="A377" s="16"/>
      <c r="B377" s="16"/>
      <c r="C377" s="16"/>
      <c r="D377" s="16"/>
      <c r="E377" s="16"/>
      <c r="F377" s="16"/>
      <c r="G377" s="16"/>
      <c r="H377" s="16"/>
      <c r="I377" s="195"/>
      <c r="J377" s="10"/>
      <c r="K377" s="16"/>
      <c r="L377" s="16"/>
      <c r="M377" s="10"/>
      <c r="N377" s="16"/>
      <c r="O377" s="10"/>
      <c r="P377" s="10"/>
      <c r="Q377" s="16"/>
      <c r="R377" s="16"/>
      <c r="S377" s="10"/>
      <c r="T377" s="16"/>
      <c r="U377" s="16"/>
      <c r="V377" s="16"/>
      <c r="W377" s="16"/>
      <c r="X377" s="16"/>
      <c r="Y377" s="16"/>
      <c r="Z377" s="16"/>
      <c r="AA377" s="16"/>
      <c r="AB377" s="16"/>
      <c r="AC377" s="16"/>
      <c r="AD377" s="16"/>
      <c r="AE377" s="16"/>
    </row>
    <row r="378" ht="15.75" customHeight="1">
      <c r="A378" s="16"/>
      <c r="B378" s="16"/>
      <c r="C378" s="16"/>
      <c r="D378" s="16"/>
      <c r="E378" s="16"/>
      <c r="F378" s="16"/>
      <c r="G378" s="16"/>
      <c r="H378" s="16"/>
      <c r="I378" s="195"/>
      <c r="J378" s="10"/>
      <c r="K378" s="16"/>
      <c r="L378" s="16"/>
      <c r="M378" s="10"/>
      <c r="N378" s="16"/>
      <c r="O378" s="10"/>
      <c r="P378" s="10"/>
      <c r="Q378" s="16"/>
      <c r="R378" s="16"/>
      <c r="S378" s="10"/>
      <c r="T378" s="16"/>
      <c r="U378" s="16"/>
      <c r="V378" s="16"/>
      <c r="W378" s="16"/>
      <c r="X378" s="16"/>
      <c r="Y378" s="16"/>
      <c r="Z378" s="16"/>
      <c r="AA378" s="16"/>
      <c r="AB378" s="16"/>
      <c r="AC378" s="16"/>
      <c r="AD378" s="16"/>
      <c r="AE378" s="16"/>
    </row>
    <row r="379" ht="15.75" customHeight="1">
      <c r="A379" s="16"/>
      <c r="B379" s="16"/>
      <c r="C379" s="16"/>
      <c r="D379" s="16"/>
      <c r="E379" s="16"/>
      <c r="F379" s="16"/>
      <c r="G379" s="16"/>
      <c r="H379" s="16"/>
      <c r="I379" s="195"/>
      <c r="J379" s="10"/>
      <c r="K379" s="16"/>
      <c r="L379" s="16"/>
      <c r="M379" s="10"/>
      <c r="N379" s="16"/>
      <c r="O379" s="10"/>
      <c r="P379" s="10"/>
      <c r="Q379" s="16"/>
      <c r="R379" s="16"/>
      <c r="S379" s="10"/>
      <c r="T379" s="16"/>
      <c r="U379" s="16"/>
      <c r="V379" s="16"/>
      <c r="W379" s="16"/>
      <c r="X379" s="16"/>
      <c r="Y379" s="16"/>
      <c r="Z379" s="16"/>
      <c r="AA379" s="16"/>
      <c r="AB379" s="16"/>
      <c r="AC379" s="16"/>
      <c r="AD379" s="16"/>
      <c r="AE379" s="16"/>
    </row>
    <row r="380" ht="15.75" customHeight="1">
      <c r="A380" s="16"/>
      <c r="B380" s="16"/>
      <c r="C380" s="16"/>
      <c r="D380" s="16"/>
      <c r="E380" s="16"/>
      <c r="F380" s="16"/>
      <c r="G380" s="16"/>
      <c r="H380" s="16"/>
      <c r="I380" s="195"/>
      <c r="J380" s="10"/>
      <c r="K380" s="16"/>
      <c r="L380" s="16"/>
      <c r="M380" s="10"/>
      <c r="N380" s="16"/>
      <c r="O380" s="10"/>
      <c r="P380" s="10"/>
      <c r="Q380" s="16"/>
      <c r="R380" s="16"/>
      <c r="S380" s="10"/>
      <c r="T380" s="16"/>
      <c r="U380" s="16"/>
      <c r="V380" s="16"/>
      <c r="W380" s="16"/>
      <c r="X380" s="16"/>
      <c r="Y380" s="16"/>
      <c r="Z380" s="16"/>
      <c r="AA380" s="16"/>
      <c r="AB380" s="16"/>
      <c r="AC380" s="16"/>
      <c r="AD380" s="16"/>
      <c r="AE380" s="16"/>
    </row>
    <row r="381" ht="15.75" customHeight="1">
      <c r="A381" s="16"/>
      <c r="B381" s="16"/>
      <c r="C381" s="16"/>
      <c r="D381" s="16"/>
      <c r="E381" s="16"/>
      <c r="F381" s="16"/>
      <c r="G381" s="16"/>
      <c r="H381" s="16"/>
      <c r="I381" s="195"/>
      <c r="J381" s="10"/>
      <c r="K381" s="16"/>
      <c r="L381" s="16"/>
      <c r="M381" s="10"/>
      <c r="N381" s="16"/>
      <c r="O381" s="10"/>
      <c r="P381" s="10"/>
      <c r="Q381" s="16"/>
      <c r="R381" s="16"/>
      <c r="S381" s="10"/>
      <c r="T381" s="16"/>
      <c r="U381" s="16"/>
      <c r="V381" s="16"/>
      <c r="W381" s="16"/>
      <c r="X381" s="16"/>
      <c r="Y381" s="16"/>
      <c r="Z381" s="16"/>
      <c r="AA381" s="16"/>
      <c r="AB381" s="16"/>
      <c r="AC381" s="16"/>
      <c r="AD381" s="16"/>
      <c r="AE381" s="16"/>
    </row>
    <row r="382" ht="15.75" customHeight="1">
      <c r="A382" s="16"/>
      <c r="B382" s="16"/>
      <c r="C382" s="16"/>
      <c r="D382" s="16"/>
      <c r="E382" s="16"/>
      <c r="F382" s="16"/>
      <c r="G382" s="16"/>
      <c r="H382" s="16"/>
      <c r="I382" s="195"/>
      <c r="J382" s="10"/>
      <c r="K382" s="16"/>
      <c r="L382" s="16"/>
      <c r="M382" s="10"/>
      <c r="N382" s="16"/>
      <c r="O382" s="10"/>
      <c r="P382" s="10"/>
      <c r="Q382" s="16"/>
      <c r="R382" s="16"/>
      <c r="S382" s="10"/>
      <c r="T382" s="16"/>
      <c r="U382" s="16"/>
      <c r="V382" s="16"/>
      <c r="W382" s="16"/>
      <c r="X382" s="16"/>
      <c r="Y382" s="16"/>
      <c r="Z382" s="16"/>
      <c r="AA382" s="16"/>
      <c r="AB382" s="16"/>
      <c r="AC382" s="16"/>
      <c r="AD382" s="16"/>
      <c r="AE382" s="16"/>
    </row>
    <row r="383" ht="15.75" customHeight="1">
      <c r="A383" s="16"/>
      <c r="B383" s="16"/>
      <c r="C383" s="16"/>
      <c r="D383" s="16"/>
      <c r="E383" s="16"/>
      <c r="F383" s="16"/>
      <c r="G383" s="16"/>
      <c r="H383" s="16"/>
      <c r="I383" s="195"/>
      <c r="J383" s="10"/>
      <c r="K383" s="16"/>
      <c r="L383" s="16"/>
      <c r="M383" s="10"/>
      <c r="N383" s="16"/>
      <c r="O383" s="10"/>
      <c r="P383" s="10"/>
      <c r="Q383" s="16"/>
      <c r="R383" s="16"/>
      <c r="S383" s="10"/>
      <c r="T383" s="16"/>
      <c r="U383" s="16"/>
      <c r="V383" s="16"/>
      <c r="W383" s="16"/>
      <c r="X383" s="16"/>
      <c r="Y383" s="16"/>
      <c r="Z383" s="16"/>
      <c r="AA383" s="16"/>
      <c r="AB383" s="16"/>
      <c r="AC383" s="16"/>
      <c r="AD383" s="16"/>
      <c r="AE383" s="16"/>
    </row>
    <row r="384" ht="15.75" customHeight="1">
      <c r="A384" s="16"/>
      <c r="B384" s="16"/>
      <c r="C384" s="16"/>
      <c r="D384" s="16"/>
      <c r="E384" s="16"/>
      <c r="F384" s="16"/>
      <c r="G384" s="16"/>
      <c r="H384" s="16"/>
      <c r="I384" s="195"/>
      <c r="J384" s="10"/>
      <c r="K384" s="16"/>
      <c r="L384" s="16"/>
      <c r="M384" s="10"/>
      <c r="N384" s="16"/>
      <c r="O384" s="10"/>
      <c r="P384" s="10"/>
      <c r="Q384" s="16"/>
      <c r="R384" s="16"/>
      <c r="S384" s="10"/>
      <c r="T384" s="16"/>
      <c r="U384" s="16"/>
      <c r="V384" s="16"/>
      <c r="W384" s="16"/>
      <c r="X384" s="16"/>
      <c r="Y384" s="16"/>
      <c r="Z384" s="16"/>
      <c r="AA384" s="16"/>
      <c r="AB384" s="16"/>
      <c r="AC384" s="16"/>
      <c r="AD384" s="16"/>
      <c r="AE384" s="16"/>
    </row>
    <row r="385" ht="15.75" customHeight="1">
      <c r="A385" s="16"/>
      <c r="B385" s="16"/>
      <c r="C385" s="16"/>
      <c r="D385" s="16"/>
      <c r="E385" s="16"/>
      <c r="F385" s="16"/>
      <c r="G385" s="16"/>
      <c r="H385" s="16"/>
      <c r="I385" s="195"/>
      <c r="J385" s="10"/>
      <c r="K385" s="16"/>
      <c r="L385" s="16"/>
      <c r="M385" s="10"/>
      <c r="N385" s="16"/>
      <c r="O385" s="10"/>
      <c r="P385" s="10"/>
      <c r="Q385" s="16"/>
      <c r="R385" s="16"/>
      <c r="S385" s="10"/>
      <c r="T385" s="16"/>
      <c r="U385" s="16"/>
      <c r="V385" s="16"/>
      <c r="W385" s="16"/>
      <c r="X385" s="16"/>
      <c r="Y385" s="16"/>
      <c r="Z385" s="16"/>
      <c r="AA385" s="16"/>
      <c r="AB385" s="16"/>
      <c r="AC385" s="16"/>
      <c r="AD385" s="16"/>
      <c r="AE385" s="16"/>
    </row>
    <row r="386" ht="15.75" customHeight="1">
      <c r="A386" s="16"/>
      <c r="B386" s="16"/>
      <c r="C386" s="16"/>
      <c r="D386" s="16"/>
      <c r="E386" s="16"/>
      <c r="F386" s="16"/>
      <c r="G386" s="16"/>
      <c r="H386" s="16"/>
      <c r="I386" s="195"/>
      <c r="J386" s="10"/>
      <c r="K386" s="16"/>
      <c r="L386" s="16"/>
      <c r="M386" s="10"/>
      <c r="N386" s="16"/>
      <c r="O386" s="10"/>
      <c r="P386" s="10"/>
      <c r="Q386" s="16"/>
      <c r="R386" s="16"/>
      <c r="S386" s="10"/>
      <c r="T386" s="16"/>
      <c r="U386" s="16"/>
      <c r="V386" s="16"/>
      <c r="W386" s="16"/>
      <c r="X386" s="16"/>
      <c r="Y386" s="16"/>
      <c r="Z386" s="16"/>
      <c r="AA386" s="16"/>
      <c r="AB386" s="16"/>
      <c r="AC386" s="16"/>
      <c r="AD386" s="16"/>
      <c r="AE386" s="16"/>
    </row>
    <row r="387" ht="15.75" customHeight="1">
      <c r="A387" s="16"/>
      <c r="B387" s="16"/>
      <c r="C387" s="16"/>
      <c r="D387" s="16"/>
      <c r="E387" s="16"/>
      <c r="F387" s="16"/>
      <c r="G387" s="16"/>
      <c r="H387" s="16"/>
      <c r="I387" s="195"/>
      <c r="J387" s="10"/>
      <c r="K387" s="16"/>
      <c r="L387" s="16"/>
      <c r="M387" s="10"/>
      <c r="N387" s="16"/>
      <c r="O387" s="10"/>
      <c r="P387" s="10"/>
      <c r="Q387" s="16"/>
      <c r="R387" s="16"/>
      <c r="S387" s="10"/>
      <c r="T387" s="16"/>
      <c r="U387" s="16"/>
      <c r="V387" s="16"/>
      <c r="W387" s="16"/>
      <c r="X387" s="16"/>
      <c r="Y387" s="16"/>
      <c r="Z387" s="16"/>
      <c r="AA387" s="16"/>
      <c r="AB387" s="16"/>
      <c r="AC387" s="16"/>
      <c r="AD387" s="16"/>
      <c r="AE387" s="16"/>
    </row>
    <row r="388" ht="15.75" customHeight="1">
      <c r="A388" s="16"/>
      <c r="B388" s="16"/>
      <c r="C388" s="16"/>
      <c r="D388" s="16"/>
      <c r="E388" s="16"/>
      <c r="F388" s="16"/>
      <c r="G388" s="16"/>
      <c r="H388" s="16"/>
      <c r="I388" s="195"/>
      <c r="J388" s="10"/>
      <c r="K388" s="16"/>
      <c r="L388" s="16"/>
      <c r="M388" s="10"/>
      <c r="N388" s="16"/>
      <c r="O388" s="10"/>
      <c r="P388" s="10"/>
      <c r="Q388" s="16"/>
      <c r="R388" s="16"/>
      <c r="S388" s="10"/>
      <c r="T388" s="16"/>
      <c r="U388" s="16"/>
      <c r="V388" s="16"/>
      <c r="W388" s="16"/>
      <c r="X388" s="16"/>
      <c r="Y388" s="16"/>
      <c r="Z388" s="16"/>
      <c r="AA388" s="16"/>
      <c r="AB388" s="16"/>
      <c r="AC388" s="16"/>
      <c r="AD388" s="16"/>
      <c r="AE388" s="16"/>
    </row>
    <row r="389" ht="15.75" customHeight="1">
      <c r="A389" s="16"/>
      <c r="B389" s="16"/>
      <c r="C389" s="16"/>
      <c r="D389" s="16"/>
      <c r="E389" s="16"/>
      <c r="F389" s="16"/>
      <c r="G389" s="16"/>
      <c r="H389" s="16"/>
      <c r="I389" s="195"/>
      <c r="J389" s="10"/>
      <c r="K389" s="16"/>
      <c r="L389" s="16"/>
      <c r="M389" s="10"/>
      <c r="N389" s="16"/>
      <c r="O389" s="10"/>
      <c r="P389" s="10"/>
      <c r="Q389" s="16"/>
      <c r="R389" s="16"/>
      <c r="S389" s="10"/>
      <c r="T389" s="16"/>
      <c r="U389" s="16"/>
      <c r="V389" s="16"/>
      <c r="W389" s="16"/>
      <c r="X389" s="16"/>
      <c r="Y389" s="16"/>
      <c r="Z389" s="16"/>
      <c r="AA389" s="16"/>
      <c r="AB389" s="16"/>
      <c r="AC389" s="16"/>
      <c r="AD389" s="16"/>
      <c r="AE389" s="16"/>
    </row>
    <row r="390" ht="15.75" customHeight="1">
      <c r="A390" s="16"/>
      <c r="B390" s="16"/>
      <c r="C390" s="16"/>
      <c r="D390" s="16"/>
      <c r="E390" s="16"/>
      <c r="F390" s="16"/>
      <c r="G390" s="16"/>
      <c r="H390" s="16"/>
      <c r="I390" s="195"/>
      <c r="J390" s="10"/>
      <c r="K390" s="16"/>
      <c r="L390" s="16"/>
      <c r="M390" s="10"/>
      <c r="N390" s="16"/>
      <c r="O390" s="10"/>
      <c r="P390" s="10"/>
      <c r="Q390" s="16"/>
      <c r="R390" s="16"/>
      <c r="S390" s="10"/>
      <c r="T390" s="16"/>
      <c r="U390" s="16"/>
      <c r="V390" s="16"/>
      <c r="W390" s="16"/>
      <c r="X390" s="16"/>
      <c r="Y390" s="16"/>
      <c r="Z390" s="16"/>
      <c r="AA390" s="16"/>
      <c r="AB390" s="16"/>
      <c r="AC390" s="16"/>
      <c r="AD390" s="16"/>
      <c r="AE390" s="16"/>
    </row>
    <row r="391" ht="15.75" customHeight="1">
      <c r="A391" s="16"/>
      <c r="B391" s="16"/>
      <c r="C391" s="16"/>
      <c r="D391" s="16"/>
      <c r="E391" s="16"/>
      <c r="F391" s="16"/>
      <c r="G391" s="16"/>
      <c r="H391" s="16"/>
      <c r="I391" s="195"/>
      <c r="J391" s="10"/>
      <c r="K391" s="16"/>
      <c r="L391" s="16"/>
      <c r="M391" s="10"/>
      <c r="N391" s="16"/>
      <c r="O391" s="10"/>
      <c r="P391" s="10"/>
      <c r="Q391" s="16"/>
      <c r="R391" s="16"/>
      <c r="S391" s="10"/>
      <c r="T391" s="16"/>
      <c r="U391" s="16"/>
      <c r="V391" s="16"/>
      <c r="W391" s="16"/>
      <c r="X391" s="16"/>
      <c r="Y391" s="16"/>
      <c r="Z391" s="16"/>
      <c r="AA391" s="16"/>
      <c r="AB391" s="16"/>
      <c r="AC391" s="16"/>
      <c r="AD391" s="16"/>
      <c r="AE391" s="16"/>
    </row>
    <row r="392" ht="15.75" customHeight="1">
      <c r="A392" s="16"/>
      <c r="B392" s="16"/>
      <c r="C392" s="16"/>
      <c r="D392" s="16"/>
      <c r="E392" s="16"/>
      <c r="F392" s="16"/>
      <c r="G392" s="16"/>
      <c r="H392" s="16"/>
      <c r="I392" s="195"/>
      <c r="J392" s="10"/>
      <c r="K392" s="16"/>
      <c r="L392" s="16"/>
      <c r="M392" s="10"/>
      <c r="N392" s="16"/>
      <c r="O392" s="10"/>
      <c r="P392" s="10"/>
      <c r="Q392" s="16"/>
      <c r="R392" s="16"/>
      <c r="S392" s="10"/>
      <c r="T392" s="16"/>
      <c r="U392" s="16"/>
      <c r="V392" s="16"/>
      <c r="W392" s="16"/>
      <c r="X392" s="16"/>
      <c r="Y392" s="16"/>
      <c r="Z392" s="16"/>
      <c r="AA392" s="16"/>
      <c r="AB392" s="16"/>
      <c r="AC392" s="16"/>
      <c r="AD392" s="16"/>
      <c r="AE392" s="16"/>
    </row>
    <row r="393" ht="15.75" customHeight="1">
      <c r="A393" s="16"/>
      <c r="B393" s="16"/>
      <c r="C393" s="16"/>
      <c r="D393" s="16"/>
      <c r="E393" s="16"/>
      <c r="F393" s="16"/>
      <c r="G393" s="16"/>
      <c r="H393" s="16"/>
      <c r="I393" s="195"/>
      <c r="J393" s="10"/>
      <c r="K393" s="16"/>
      <c r="L393" s="16"/>
      <c r="M393" s="10"/>
      <c r="N393" s="16"/>
      <c r="O393" s="10"/>
      <c r="P393" s="10"/>
      <c r="Q393" s="16"/>
      <c r="R393" s="16"/>
      <c r="S393" s="10"/>
      <c r="T393" s="16"/>
      <c r="U393" s="16"/>
      <c r="V393" s="16"/>
      <c r="W393" s="16"/>
      <c r="X393" s="16"/>
      <c r="Y393" s="16"/>
      <c r="Z393" s="16"/>
      <c r="AA393" s="16"/>
      <c r="AB393" s="16"/>
      <c r="AC393" s="16"/>
      <c r="AD393" s="16"/>
      <c r="AE393" s="16"/>
    </row>
    <row r="394" ht="15.75" customHeight="1">
      <c r="A394" s="16"/>
      <c r="B394" s="16"/>
      <c r="C394" s="16"/>
      <c r="D394" s="16"/>
      <c r="E394" s="16"/>
      <c r="F394" s="16"/>
      <c r="G394" s="16"/>
      <c r="H394" s="16"/>
      <c r="I394" s="195"/>
      <c r="J394" s="10"/>
      <c r="K394" s="16"/>
      <c r="L394" s="16"/>
      <c r="M394" s="10"/>
      <c r="N394" s="16"/>
      <c r="O394" s="10"/>
      <c r="P394" s="10"/>
      <c r="Q394" s="16"/>
      <c r="R394" s="16"/>
      <c r="S394" s="10"/>
      <c r="T394" s="16"/>
      <c r="U394" s="16"/>
      <c r="V394" s="16"/>
      <c r="W394" s="16"/>
      <c r="X394" s="16"/>
      <c r="Y394" s="16"/>
      <c r="Z394" s="16"/>
      <c r="AA394" s="16"/>
      <c r="AB394" s="16"/>
      <c r="AC394" s="16"/>
      <c r="AD394" s="16"/>
      <c r="AE394" s="16"/>
    </row>
    <row r="395" ht="15.75" customHeight="1">
      <c r="A395" s="16"/>
      <c r="B395" s="16"/>
      <c r="C395" s="16"/>
      <c r="D395" s="16"/>
      <c r="E395" s="16"/>
      <c r="F395" s="16"/>
      <c r="G395" s="16"/>
      <c r="H395" s="16"/>
      <c r="I395" s="195"/>
      <c r="J395" s="10"/>
      <c r="K395" s="16"/>
      <c r="L395" s="16"/>
      <c r="M395" s="10"/>
      <c r="N395" s="16"/>
      <c r="O395" s="10"/>
      <c r="P395" s="10"/>
      <c r="Q395" s="16"/>
      <c r="R395" s="16"/>
      <c r="S395" s="10"/>
      <c r="T395" s="16"/>
      <c r="U395" s="16"/>
      <c r="V395" s="16"/>
      <c r="W395" s="16"/>
      <c r="X395" s="16"/>
      <c r="Y395" s="16"/>
      <c r="Z395" s="16"/>
      <c r="AA395" s="16"/>
      <c r="AB395" s="16"/>
      <c r="AC395" s="16"/>
      <c r="AD395" s="16"/>
      <c r="AE395" s="16"/>
    </row>
    <row r="396" ht="15.75" customHeight="1">
      <c r="A396" s="16"/>
      <c r="B396" s="16"/>
      <c r="C396" s="16"/>
      <c r="D396" s="16"/>
      <c r="E396" s="16"/>
      <c r="F396" s="16"/>
      <c r="G396" s="16"/>
      <c r="H396" s="16"/>
      <c r="I396" s="195"/>
      <c r="J396" s="10"/>
      <c r="K396" s="16"/>
      <c r="L396" s="16"/>
      <c r="M396" s="10"/>
      <c r="N396" s="16"/>
      <c r="O396" s="10"/>
      <c r="P396" s="10"/>
      <c r="Q396" s="16"/>
      <c r="R396" s="16"/>
      <c r="S396" s="10"/>
      <c r="T396" s="16"/>
      <c r="U396" s="16"/>
      <c r="V396" s="16"/>
      <c r="W396" s="16"/>
      <c r="X396" s="16"/>
      <c r="Y396" s="16"/>
      <c r="Z396" s="16"/>
      <c r="AA396" s="16"/>
      <c r="AB396" s="16"/>
      <c r="AC396" s="16"/>
      <c r="AD396" s="16"/>
      <c r="AE396" s="16"/>
    </row>
    <row r="397" ht="15.75" customHeight="1">
      <c r="A397" s="16"/>
      <c r="B397" s="16"/>
      <c r="C397" s="16"/>
      <c r="D397" s="16"/>
      <c r="E397" s="16"/>
      <c r="F397" s="16"/>
      <c r="G397" s="16"/>
      <c r="H397" s="16"/>
      <c r="I397" s="195"/>
      <c r="J397" s="10"/>
      <c r="K397" s="16"/>
      <c r="L397" s="16"/>
      <c r="M397" s="10"/>
      <c r="N397" s="16"/>
      <c r="O397" s="10"/>
      <c r="P397" s="10"/>
      <c r="Q397" s="16"/>
      <c r="R397" s="16"/>
      <c r="S397" s="10"/>
      <c r="T397" s="16"/>
      <c r="U397" s="16"/>
      <c r="V397" s="16"/>
      <c r="W397" s="16"/>
      <c r="X397" s="16"/>
      <c r="Y397" s="16"/>
      <c r="Z397" s="16"/>
      <c r="AA397" s="16"/>
      <c r="AB397" s="16"/>
      <c r="AC397" s="16"/>
      <c r="AD397" s="16"/>
      <c r="AE397" s="16"/>
    </row>
    <row r="398" ht="15.75" customHeight="1">
      <c r="A398" s="16"/>
      <c r="B398" s="16"/>
      <c r="C398" s="16"/>
      <c r="D398" s="16"/>
      <c r="E398" s="16"/>
      <c r="F398" s="16"/>
      <c r="G398" s="16"/>
      <c r="H398" s="16"/>
      <c r="I398" s="195"/>
      <c r="J398" s="10"/>
      <c r="K398" s="16"/>
      <c r="L398" s="16"/>
      <c r="M398" s="10"/>
      <c r="N398" s="16"/>
      <c r="O398" s="10"/>
      <c r="P398" s="10"/>
      <c r="Q398" s="16"/>
      <c r="R398" s="16"/>
      <c r="S398" s="10"/>
      <c r="T398" s="16"/>
      <c r="U398" s="16"/>
      <c r="V398" s="16"/>
      <c r="W398" s="16"/>
      <c r="X398" s="16"/>
      <c r="Y398" s="16"/>
      <c r="Z398" s="16"/>
      <c r="AA398" s="16"/>
      <c r="AB398" s="16"/>
      <c r="AC398" s="16"/>
      <c r="AD398" s="16"/>
      <c r="AE398" s="16"/>
    </row>
    <row r="399" ht="15.75" customHeight="1">
      <c r="A399" s="16"/>
      <c r="B399" s="16"/>
      <c r="C399" s="16"/>
      <c r="D399" s="16"/>
      <c r="E399" s="16"/>
      <c r="F399" s="16"/>
      <c r="G399" s="16"/>
      <c r="H399" s="16"/>
      <c r="I399" s="195"/>
      <c r="J399" s="10"/>
      <c r="K399" s="16"/>
      <c r="L399" s="16"/>
      <c r="M399" s="10"/>
      <c r="N399" s="16"/>
      <c r="O399" s="10"/>
      <c r="P399" s="10"/>
      <c r="Q399" s="16"/>
      <c r="R399" s="16"/>
      <c r="S399" s="10"/>
      <c r="T399" s="16"/>
      <c r="U399" s="16"/>
      <c r="V399" s="16"/>
      <c r="W399" s="16"/>
      <c r="X399" s="16"/>
      <c r="Y399" s="16"/>
      <c r="Z399" s="16"/>
      <c r="AA399" s="16"/>
      <c r="AB399" s="16"/>
      <c r="AC399" s="16"/>
      <c r="AD399" s="16"/>
      <c r="AE399" s="16"/>
    </row>
    <row r="400" ht="15.75" customHeight="1">
      <c r="A400" s="16"/>
      <c r="B400" s="16"/>
      <c r="C400" s="16"/>
      <c r="D400" s="16"/>
      <c r="E400" s="16"/>
      <c r="F400" s="16"/>
      <c r="G400" s="16"/>
      <c r="H400" s="16"/>
      <c r="I400" s="195"/>
      <c r="J400" s="10"/>
      <c r="K400" s="16"/>
      <c r="L400" s="16"/>
      <c r="M400" s="10"/>
      <c r="N400" s="16"/>
      <c r="O400" s="10"/>
      <c r="P400" s="10"/>
      <c r="Q400" s="16"/>
      <c r="R400" s="16"/>
      <c r="S400" s="10"/>
      <c r="T400" s="16"/>
      <c r="U400" s="16"/>
      <c r="V400" s="16"/>
      <c r="W400" s="16"/>
      <c r="X400" s="16"/>
      <c r="Y400" s="16"/>
      <c r="Z400" s="16"/>
      <c r="AA400" s="16"/>
      <c r="AB400" s="16"/>
      <c r="AC400" s="16"/>
      <c r="AD400" s="16"/>
      <c r="AE400" s="16"/>
    </row>
    <row r="401" ht="15.75" customHeight="1">
      <c r="A401" s="16"/>
      <c r="B401" s="16"/>
      <c r="C401" s="16"/>
      <c r="D401" s="16"/>
      <c r="E401" s="16"/>
      <c r="F401" s="16"/>
      <c r="G401" s="16"/>
      <c r="H401" s="16"/>
      <c r="I401" s="195"/>
      <c r="J401" s="10"/>
      <c r="K401" s="16"/>
      <c r="L401" s="16"/>
      <c r="M401" s="10"/>
      <c r="N401" s="16"/>
      <c r="O401" s="10"/>
      <c r="P401" s="10"/>
      <c r="Q401" s="16"/>
      <c r="R401" s="16"/>
      <c r="S401" s="10"/>
      <c r="T401" s="16"/>
      <c r="U401" s="16"/>
      <c r="V401" s="16"/>
      <c r="W401" s="16"/>
      <c r="X401" s="16"/>
      <c r="Y401" s="16"/>
      <c r="Z401" s="16"/>
      <c r="AA401" s="16"/>
      <c r="AB401" s="16"/>
      <c r="AC401" s="16"/>
      <c r="AD401" s="16"/>
      <c r="AE401" s="16"/>
    </row>
    <row r="402" ht="15.75" customHeight="1">
      <c r="A402" s="16"/>
      <c r="B402" s="16"/>
      <c r="C402" s="16"/>
      <c r="D402" s="16"/>
      <c r="E402" s="16"/>
      <c r="F402" s="16"/>
      <c r="G402" s="16"/>
      <c r="H402" s="16"/>
      <c r="I402" s="195"/>
      <c r="J402" s="10"/>
      <c r="K402" s="16"/>
      <c r="L402" s="16"/>
      <c r="M402" s="10"/>
      <c r="N402" s="16"/>
      <c r="O402" s="10"/>
      <c r="P402" s="10"/>
      <c r="Q402" s="16"/>
      <c r="R402" s="16"/>
      <c r="S402" s="10"/>
      <c r="T402" s="16"/>
      <c r="U402" s="16"/>
      <c r="V402" s="16"/>
      <c r="W402" s="16"/>
      <c r="X402" s="16"/>
      <c r="Y402" s="16"/>
      <c r="Z402" s="16"/>
      <c r="AA402" s="16"/>
      <c r="AB402" s="16"/>
      <c r="AC402" s="16"/>
      <c r="AD402" s="16"/>
      <c r="AE402" s="16"/>
    </row>
    <row r="403" ht="15.75" customHeight="1">
      <c r="A403" s="16"/>
      <c r="B403" s="16"/>
      <c r="C403" s="16"/>
      <c r="D403" s="16"/>
      <c r="E403" s="16"/>
      <c r="F403" s="16"/>
      <c r="G403" s="16"/>
      <c r="H403" s="16"/>
      <c r="I403" s="195"/>
      <c r="J403" s="10"/>
      <c r="K403" s="16"/>
      <c r="L403" s="16"/>
      <c r="M403" s="10"/>
      <c r="N403" s="16"/>
      <c r="O403" s="10"/>
      <c r="P403" s="10"/>
      <c r="Q403" s="16"/>
      <c r="R403" s="16"/>
      <c r="S403" s="10"/>
      <c r="T403" s="16"/>
      <c r="U403" s="16"/>
      <c r="V403" s="16"/>
      <c r="W403" s="16"/>
      <c r="X403" s="16"/>
      <c r="Y403" s="16"/>
      <c r="Z403" s="16"/>
      <c r="AA403" s="16"/>
      <c r="AB403" s="16"/>
      <c r="AC403" s="16"/>
      <c r="AD403" s="16"/>
      <c r="AE403" s="16"/>
    </row>
    <row r="404" ht="15.75" customHeight="1">
      <c r="A404" s="16"/>
      <c r="B404" s="16"/>
      <c r="C404" s="16"/>
      <c r="D404" s="16"/>
      <c r="E404" s="16"/>
      <c r="F404" s="16"/>
      <c r="G404" s="16"/>
      <c r="H404" s="16"/>
      <c r="I404" s="195"/>
      <c r="J404" s="10"/>
      <c r="K404" s="16"/>
      <c r="L404" s="16"/>
      <c r="M404" s="10"/>
      <c r="N404" s="16"/>
      <c r="O404" s="10"/>
      <c r="P404" s="10"/>
      <c r="Q404" s="16"/>
      <c r="R404" s="16"/>
      <c r="S404" s="10"/>
      <c r="T404" s="16"/>
      <c r="U404" s="16"/>
      <c r="V404" s="16"/>
      <c r="W404" s="16"/>
      <c r="X404" s="16"/>
      <c r="Y404" s="16"/>
      <c r="Z404" s="16"/>
      <c r="AA404" s="16"/>
      <c r="AB404" s="16"/>
      <c r="AC404" s="16"/>
      <c r="AD404" s="16"/>
      <c r="AE404" s="16"/>
    </row>
    <row r="405" ht="15.75" customHeight="1">
      <c r="A405" s="16"/>
      <c r="B405" s="16"/>
      <c r="C405" s="16"/>
      <c r="D405" s="16"/>
      <c r="E405" s="16"/>
      <c r="F405" s="16"/>
      <c r="G405" s="16"/>
      <c r="H405" s="16"/>
      <c r="I405" s="195"/>
      <c r="J405" s="10"/>
      <c r="K405" s="16"/>
      <c r="L405" s="16"/>
      <c r="M405" s="10"/>
      <c r="N405" s="16"/>
      <c r="O405" s="10"/>
      <c r="P405" s="10"/>
      <c r="Q405" s="16"/>
      <c r="R405" s="16"/>
      <c r="S405" s="10"/>
      <c r="T405" s="16"/>
      <c r="U405" s="16"/>
      <c r="V405" s="16"/>
      <c r="W405" s="16"/>
      <c r="X405" s="16"/>
      <c r="Y405" s="16"/>
      <c r="Z405" s="16"/>
      <c r="AA405" s="16"/>
      <c r="AB405" s="16"/>
      <c r="AC405" s="16"/>
      <c r="AD405" s="16"/>
      <c r="AE405" s="16"/>
    </row>
    <row r="406" ht="15.75" customHeight="1">
      <c r="A406" s="16"/>
      <c r="B406" s="16"/>
      <c r="C406" s="16"/>
      <c r="D406" s="16"/>
      <c r="E406" s="16"/>
      <c r="F406" s="16"/>
      <c r="G406" s="16"/>
      <c r="H406" s="16"/>
      <c r="I406" s="195"/>
      <c r="J406" s="10"/>
      <c r="K406" s="16"/>
      <c r="L406" s="16"/>
      <c r="M406" s="10"/>
      <c r="N406" s="16"/>
      <c r="O406" s="10"/>
      <c r="P406" s="10"/>
      <c r="Q406" s="16"/>
      <c r="R406" s="16"/>
      <c r="S406" s="10"/>
      <c r="T406" s="16"/>
      <c r="U406" s="16"/>
      <c r="V406" s="16"/>
      <c r="W406" s="16"/>
      <c r="X406" s="16"/>
      <c r="Y406" s="16"/>
      <c r="Z406" s="16"/>
      <c r="AA406" s="16"/>
      <c r="AB406" s="16"/>
      <c r="AC406" s="16"/>
      <c r="AD406" s="16"/>
      <c r="AE406" s="16"/>
    </row>
    <row r="407" ht="15.75" customHeight="1">
      <c r="A407" s="16"/>
      <c r="B407" s="16"/>
      <c r="C407" s="16"/>
      <c r="D407" s="16"/>
      <c r="E407" s="16"/>
      <c r="F407" s="16"/>
      <c r="G407" s="16"/>
      <c r="H407" s="16"/>
      <c r="I407" s="195"/>
      <c r="J407" s="10"/>
      <c r="K407" s="16"/>
      <c r="L407" s="16"/>
      <c r="M407" s="10"/>
      <c r="N407" s="16"/>
      <c r="O407" s="10"/>
      <c r="P407" s="10"/>
      <c r="Q407" s="16"/>
      <c r="R407" s="16"/>
      <c r="S407" s="10"/>
      <c r="T407" s="16"/>
      <c r="U407" s="16"/>
      <c r="V407" s="16"/>
      <c r="W407" s="16"/>
      <c r="X407" s="16"/>
      <c r="Y407" s="16"/>
      <c r="Z407" s="16"/>
      <c r="AA407" s="16"/>
      <c r="AB407" s="16"/>
      <c r="AC407" s="16"/>
      <c r="AD407" s="16"/>
      <c r="AE407" s="16"/>
    </row>
    <row r="408" ht="15.75" customHeight="1">
      <c r="A408" s="16"/>
      <c r="B408" s="16"/>
      <c r="C408" s="16"/>
      <c r="D408" s="16"/>
      <c r="E408" s="16"/>
      <c r="F408" s="16"/>
      <c r="G408" s="16"/>
      <c r="H408" s="16"/>
      <c r="I408" s="195"/>
      <c r="J408" s="10"/>
      <c r="K408" s="16"/>
      <c r="L408" s="16"/>
      <c r="M408" s="10"/>
      <c r="N408" s="16"/>
      <c r="O408" s="10"/>
      <c r="P408" s="10"/>
      <c r="Q408" s="16"/>
      <c r="R408" s="16"/>
      <c r="S408" s="10"/>
      <c r="T408" s="16"/>
      <c r="U408" s="16"/>
      <c r="V408" s="16"/>
      <c r="W408" s="16"/>
      <c r="X408" s="16"/>
      <c r="Y408" s="16"/>
      <c r="Z408" s="16"/>
      <c r="AA408" s="16"/>
      <c r="AB408" s="16"/>
      <c r="AC408" s="16"/>
      <c r="AD408" s="16"/>
      <c r="AE408" s="16"/>
    </row>
    <row r="409" ht="15.75" customHeight="1">
      <c r="A409" s="16"/>
      <c r="B409" s="16"/>
      <c r="C409" s="16"/>
      <c r="D409" s="16"/>
      <c r="E409" s="16"/>
      <c r="F409" s="16"/>
      <c r="G409" s="16"/>
      <c r="H409" s="16"/>
      <c r="I409" s="195"/>
      <c r="J409" s="10"/>
      <c r="K409" s="16"/>
      <c r="L409" s="16"/>
      <c r="M409" s="10"/>
      <c r="N409" s="16"/>
      <c r="O409" s="10"/>
      <c r="P409" s="10"/>
      <c r="Q409" s="16"/>
      <c r="R409" s="16"/>
      <c r="S409" s="10"/>
      <c r="T409" s="16"/>
      <c r="U409" s="16"/>
      <c r="V409" s="16"/>
      <c r="W409" s="16"/>
      <c r="X409" s="16"/>
      <c r="Y409" s="16"/>
      <c r="Z409" s="16"/>
      <c r="AA409" s="16"/>
      <c r="AB409" s="16"/>
      <c r="AC409" s="16"/>
      <c r="AD409" s="16"/>
      <c r="AE409" s="16"/>
    </row>
    <row r="410" ht="15.75" customHeight="1">
      <c r="A410" s="16"/>
      <c r="B410" s="16"/>
      <c r="C410" s="16"/>
      <c r="D410" s="16"/>
      <c r="E410" s="16"/>
      <c r="F410" s="16"/>
      <c r="G410" s="16"/>
      <c r="H410" s="16"/>
      <c r="I410" s="195"/>
      <c r="J410" s="10"/>
      <c r="K410" s="16"/>
      <c r="L410" s="16"/>
      <c r="M410" s="10"/>
      <c r="N410" s="16"/>
      <c r="O410" s="10"/>
      <c r="P410" s="10"/>
      <c r="Q410" s="16"/>
      <c r="R410" s="16"/>
      <c r="S410" s="10"/>
      <c r="T410" s="16"/>
      <c r="U410" s="16"/>
      <c r="V410" s="16"/>
      <c r="W410" s="16"/>
      <c r="X410" s="16"/>
      <c r="Y410" s="16"/>
      <c r="Z410" s="16"/>
      <c r="AA410" s="16"/>
      <c r="AB410" s="16"/>
      <c r="AC410" s="16"/>
      <c r="AD410" s="16"/>
      <c r="AE410" s="16"/>
    </row>
    <row r="411" ht="15.75" customHeight="1">
      <c r="A411" s="16"/>
      <c r="B411" s="16"/>
      <c r="C411" s="16"/>
      <c r="D411" s="16"/>
      <c r="E411" s="16"/>
      <c r="F411" s="16"/>
      <c r="G411" s="16"/>
      <c r="H411" s="16"/>
      <c r="I411" s="195"/>
      <c r="J411" s="10"/>
      <c r="K411" s="16"/>
      <c r="L411" s="16"/>
      <c r="M411" s="10"/>
      <c r="N411" s="16"/>
      <c r="O411" s="10"/>
      <c r="P411" s="10"/>
      <c r="Q411" s="16"/>
      <c r="R411" s="16"/>
      <c r="S411" s="10"/>
      <c r="T411" s="16"/>
      <c r="U411" s="16"/>
      <c r="V411" s="16"/>
      <c r="W411" s="16"/>
      <c r="X411" s="16"/>
      <c r="Y411" s="16"/>
      <c r="Z411" s="16"/>
      <c r="AA411" s="16"/>
      <c r="AB411" s="16"/>
      <c r="AC411" s="16"/>
      <c r="AD411" s="16"/>
      <c r="AE411" s="16"/>
    </row>
    <row r="412" ht="15.75" customHeight="1">
      <c r="A412" s="16"/>
      <c r="B412" s="16"/>
      <c r="C412" s="16"/>
      <c r="D412" s="16"/>
      <c r="E412" s="16"/>
      <c r="F412" s="16"/>
      <c r="G412" s="16"/>
      <c r="H412" s="16"/>
      <c r="I412" s="195"/>
      <c r="J412" s="10"/>
      <c r="K412" s="16"/>
      <c r="L412" s="16"/>
      <c r="M412" s="10"/>
      <c r="N412" s="16"/>
      <c r="O412" s="10"/>
      <c r="P412" s="10"/>
      <c r="Q412" s="16"/>
      <c r="R412" s="16"/>
      <c r="S412" s="10"/>
      <c r="T412" s="16"/>
      <c r="U412" s="16"/>
      <c r="V412" s="16"/>
      <c r="W412" s="16"/>
      <c r="X412" s="16"/>
      <c r="Y412" s="16"/>
      <c r="Z412" s="16"/>
      <c r="AA412" s="16"/>
      <c r="AB412" s="16"/>
      <c r="AC412" s="16"/>
      <c r="AD412" s="16"/>
      <c r="AE412" s="16"/>
    </row>
    <row r="413" ht="15.75" customHeight="1">
      <c r="A413" s="16"/>
      <c r="B413" s="16"/>
      <c r="C413" s="16"/>
      <c r="D413" s="16"/>
      <c r="E413" s="16"/>
      <c r="F413" s="16"/>
      <c r="G413" s="16"/>
      <c r="H413" s="16"/>
      <c r="I413" s="195"/>
      <c r="J413" s="10"/>
      <c r="K413" s="16"/>
      <c r="L413" s="16"/>
      <c r="M413" s="10"/>
      <c r="N413" s="16"/>
      <c r="O413" s="10"/>
      <c r="P413" s="10"/>
      <c r="Q413" s="16"/>
      <c r="R413" s="16"/>
      <c r="S413" s="10"/>
      <c r="T413" s="16"/>
      <c r="U413" s="16"/>
      <c r="V413" s="16"/>
      <c r="W413" s="16"/>
      <c r="X413" s="16"/>
      <c r="Y413" s="16"/>
      <c r="Z413" s="16"/>
      <c r="AA413" s="16"/>
      <c r="AB413" s="16"/>
      <c r="AC413" s="16"/>
      <c r="AD413" s="16"/>
      <c r="AE413" s="16"/>
    </row>
    <row r="414" ht="15.75" customHeight="1">
      <c r="A414" s="16"/>
      <c r="B414" s="16"/>
      <c r="C414" s="16"/>
      <c r="D414" s="16"/>
      <c r="E414" s="16"/>
      <c r="F414" s="16"/>
      <c r="G414" s="16"/>
      <c r="H414" s="16"/>
      <c r="I414" s="195"/>
      <c r="J414" s="10"/>
      <c r="K414" s="16"/>
      <c r="L414" s="16"/>
      <c r="M414" s="10"/>
      <c r="N414" s="16"/>
      <c r="O414" s="10"/>
      <c r="P414" s="10"/>
      <c r="Q414" s="16"/>
      <c r="R414" s="16"/>
      <c r="S414" s="10"/>
      <c r="T414" s="16"/>
      <c r="U414" s="16"/>
      <c r="V414" s="16"/>
      <c r="W414" s="16"/>
      <c r="X414" s="16"/>
      <c r="Y414" s="16"/>
      <c r="Z414" s="16"/>
      <c r="AA414" s="16"/>
      <c r="AB414" s="16"/>
      <c r="AC414" s="16"/>
      <c r="AD414" s="16"/>
      <c r="AE414" s="16"/>
    </row>
    <row r="415" ht="15.75" customHeight="1">
      <c r="A415" s="16"/>
      <c r="B415" s="16"/>
      <c r="C415" s="16"/>
      <c r="D415" s="16"/>
      <c r="E415" s="16"/>
      <c r="F415" s="16"/>
      <c r="G415" s="16"/>
      <c r="H415" s="16"/>
      <c r="I415" s="195"/>
      <c r="J415" s="10"/>
      <c r="K415" s="16"/>
      <c r="L415" s="16"/>
      <c r="M415" s="10"/>
      <c r="N415" s="16"/>
      <c r="O415" s="10"/>
      <c r="P415" s="10"/>
      <c r="Q415" s="16"/>
      <c r="R415" s="16"/>
      <c r="S415" s="10"/>
      <c r="T415" s="16"/>
      <c r="U415" s="16"/>
      <c r="V415" s="16"/>
      <c r="W415" s="16"/>
      <c r="X415" s="16"/>
      <c r="Y415" s="16"/>
      <c r="Z415" s="16"/>
      <c r="AA415" s="16"/>
      <c r="AB415" s="16"/>
      <c r="AC415" s="16"/>
      <c r="AD415" s="16"/>
      <c r="AE415" s="16"/>
    </row>
    <row r="416" ht="15.75" customHeight="1">
      <c r="A416" s="16"/>
      <c r="B416" s="16"/>
      <c r="C416" s="16"/>
      <c r="D416" s="16"/>
      <c r="E416" s="16"/>
      <c r="F416" s="16"/>
      <c r="G416" s="16"/>
      <c r="H416" s="16"/>
      <c r="I416" s="195"/>
      <c r="J416" s="10"/>
      <c r="K416" s="16"/>
      <c r="L416" s="16"/>
      <c r="M416" s="10"/>
      <c r="N416" s="16"/>
      <c r="O416" s="10"/>
      <c r="P416" s="10"/>
      <c r="Q416" s="16"/>
      <c r="R416" s="16"/>
      <c r="S416" s="10"/>
      <c r="T416" s="16"/>
      <c r="U416" s="16"/>
      <c r="V416" s="16"/>
      <c r="W416" s="16"/>
      <c r="X416" s="16"/>
      <c r="Y416" s="16"/>
      <c r="Z416" s="16"/>
      <c r="AA416" s="16"/>
      <c r="AB416" s="16"/>
      <c r="AC416" s="16"/>
      <c r="AD416" s="16"/>
      <c r="AE416" s="16"/>
    </row>
    <row r="417" ht="15.75" customHeight="1">
      <c r="A417" s="16"/>
      <c r="B417" s="16"/>
      <c r="C417" s="16"/>
      <c r="D417" s="16"/>
      <c r="E417" s="16"/>
      <c r="F417" s="16"/>
      <c r="G417" s="16"/>
      <c r="H417" s="16"/>
      <c r="I417" s="195"/>
      <c r="J417" s="10"/>
      <c r="K417" s="16"/>
      <c r="L417" s="16"/>
      <c r="M417" s="10"/>
      <c r="N417" s="16"/>
      <c r="O417" s="10"/>
      <c r="P417" s="10"/>
      <c r="Q417" s="16"/>
      <c r="R417" s="16"/>
      <c r="S417" s="10"/>
      <c r="T417" s="16"/>
      <c r="U417" s="16"/>
      <c r="V417" s="16"/>
      <c r="W417" s="16"/>
      <c r="X417" s="16"/>
      <c r="Y417" s="16"/>
      <c r="Z417" s="16"/>
      <c r="AA417" s="16"/>
      <c r="AB417" s="16"/>
      <c r="AC417" s="16"/>
      <c r="AD417" s="16"/>
      <c r="AE417" s="16"/>
    </row>
    <row r="418" ht="15.75" customHeight="1">
      <c r="A418" s="16"/>
      <c r="B418" s="16"/>
      <c r="C418" s="16"/>
      <c r="D418" s="16"/>
      <c r="E418" s="16"/>
      <c r="F418" s="16"/>
      <c r="G418" s="16"/>
      <c r="H418" s="16"/>
      <c r="I418" s="195"/>
      <c r="J418" s="10"/>
      <c r="K418" s="16"/>
      <c r="L418" s="16"/>
      <c r="M418" s="10"/>
      <c r="N418" s="16"/>
      <c r="O418" s="10"/>
      <c r="P418" s="10"/>
      <c r="Q418" s="16"/>
      <c r="R418" s="16"/>
      <c r="S418" s="10"/>
      <c r="T418" s="16"/>
      <c r="U418" s="16"/>
      <c r="V418" s="16"/>
      <c r="W418" s="16"/>
      <c r="X418" s="16"/>
      <c r="Y418" s="16"/>
      <c r="Z418" s="16"/>
      <c r="AA418" s="16"/>
      <c r="AB418" s="16"/>
      <c r="AC418" s="16"/>
      <c r="AD418" s="16"/>
      <c r="AE418" s="16"/>
    </row>
    <row r="419" ht="15.75" customHeight="1">
      <c r="A419" s="16"/>
      <c r="B419" s="16"/>
      <c r="C419" s="16"/>
      <c r="D419" s="16"/>
      <c r="E419" s="16"/>
      <c r="F419" s="16"/>
      <c r="G419" s="16"/>
      <c r="H419" s="16"/>
      <c r="I419" s="195"/>
      <c r="J419" s="10"/>
      <c r="K419" s="16"/>
      <c r="L419" s="16"/>
      <c r="M419" s="10"/>
      <c r="N419" s="16"/>
      <c r="O419" s="10"/>
      <c r="P419" s="10"/>
      <c r="Q419" s="16"/>
      <c r="R419" s="16"/>
      <c r="S419" s="10"/>
      <c r="T419" s="16"/>
      <c r="U419" s="16"/>
      <c r="V419" s="16"/>
      <c r="W419" s="16"/>
      <c r="X419" s="16"/>
      <c r="Y419" s="16"/>
      <c r="Z419" s="16"/>
      <c r="AA419" s="16"/>
      <c r="AB419" s="16"/>
      <c r="AC419" s="16"/>
      <c r="AD419" s="16"/>
      <c r="AE419" s="16"/>
    </row>
    <row r="420" ht="15.75" customHeight="1">
      <c r="A420" s="16"/>
      <c r="B420" s="16"/>
      <c r="C420" s="16"/>
      <c r="D420" s="16"/>
      <c r="E420" s="16"/>
      <c r="F420" s="16"/>
      <c r="G420" s="16"/>
      <c r="H420" s="16"/>
      <c r="I420" s="195"/>
      <c r="J420" s="10"/>
      <c r="K420" s="16"/>
      <c r="L420" s="16"/>
      <c r="M420" s="10"/>
      <c r="N420" s="16"/>
      <c r="O420" s="10"/>
      <c r="P420" s="10"/>
      <c r="Q420" s="16"/>
      <c r="R420" s="16"/>
      <c r="S420" s="10"/>
      <c r="T420" s="16"/>
      <c r="U420" s="16"/>
      <c r="V420" s="16"/>
      <c r="W420" s="16"/>
      <c r="X420" s="16"/>
      <c r="Y420" s="16"/>
      <c r="Z420" s="16"/>
      <c r="AA420" s="16"/>
      <c r="AB420" s="16"/>
      <c r="AC420" s="16"/>
      <c r="AD420" s="16"/>
      <c r="AE420" s="16"/>
    </row>
    <row r="421" ht="15.75" customHeight="1">
      <c r="A421" s="16"/>
      <c r="B421" s="16"/>
      <c r="C421" s="16"/>
      <c r="D421" s="16"/>
      <c r="E421" s="16"/>
      <c r="F421" s="16"/>
      <c r="G421" s="16"/>
      <c r="H421" s="16"/>
      <c r="I421" s="195"/>
      <c r="J421" s="10"/>
      <c r="K421" s="16"/>
      <c r="L421" s="16"/>
      <c r="M421" s="10"/>
      <c r="N421" s="16"/>
      <c r="O421" s="10"/>
      <c r="P421" s="10"/>
      <c r="Q421" s="16"/>
      <c r="R421" s="16"/>
      <c r="S421" s="10"/>
      <c r="T421" s="16"/>
      <c r="U421" s="16"/>
      <c r="V421" s="16"/>
      <c r="W421" s="16"/>
      <c r="X421" s="16"/>
      <c r="Y421" s="16"/>
      <c r="Z421" s="16"/>
      <c r="AA421" s="16"/>
      <c r="AB421" s="16"/>
      <c r="AC421" s="16"/>
      <c r="AD421" s="16"/>
      <c r="AE421" s="16"/>
    </row>
    <row r="422" ht="15.75" customHeight="1">
      <c r="A422" s="16"/>
      <c r="B422" s="16"/>
      <c r="C422" s="16"/>
      <c r="D422" s="16"/>
      <c r="E422" s="16"/>
      <c r="F422" s="16"/>
      <c r="G422" s="16"/>
      <c r="H422" s="16"/>
      <c r="I422" s="195"/>
      <c r="J422" s="10"/>
      <c r="K422" s="16"/>
      <c r="L422" s="16"/>
      <c r="M422" s="10"/>
      <c r="N422" s="16"/>
      <c r="O422" s="10"/>
      <c r="P422" s="10"/>
      <c r="Q422" s="16"/>
      <c r="R422" s="16"/>
      <c r="S422" s="10"/>
      <c r="T422" s="16"/>
      <c r="U422" s="16"/>
      <c r="V422" s="16"/>
      <c r="W422" s="16"/>
      <c r="X422" s="16"/>
      <c r="Y422" s="16"/>
      <c r="Z422" s="16"/>
      <c r="AA422" s="16"/>
      <c r="AB422" s="16"/>
      <c r="AC422" s="16"/>
      <c r="AD422" s="16"/>
      <c r="AE422" s="16"/>
    </row>
    <row r="423" ht="15.75" customHeight="1">
      <c r="A423" s="16"/>
      <c r="B423" s="16"/>
      <c r="C423" s="16"/>
      <c r="D423" s="16"/>
      <c r="E423" s="16"/>
      <c r="F423" s="16"/>
      <c r="G423" s="16"/>
      <c r="H423" s="16"/>
      <c r="I423" s="195"/>
      <c r="J423" s="10"/>
      <c r="K423" s="16"/>
      <c r="L423" s="16"/>
      <c r="M423" s="10"/>
      <c r="N423" s="16"/>
      <c r="O423" s="10"/>
      <c r="P423" s="10"/>
      <c r="Q423" s="16"/>
      <c r="R423" s="16"/>
      <c r="S423" s="10"/>
      <c r="T423" s="16"/>
      <c r="U423" s="16"/>
      <c r="V423" s="16"/>
      <c r="W423" s="16"/>
      <c r="X423" s="16"/>
      <c r="Y423" s="16"/>
      <c r="Z423" s="16"/>
      <c r="AA423" s="16"/>
      <c r="AB423" s="16"/>
      <c r="AC423" s="16"/>
      <c r="AD423" s="16"/>
      <c r="AE423" s="16"/>
    </row>
    <row r="424" ht="15.75" customHeight="1">
      <c r="A424" s="16"/>
      <c r="B424" s="16"/>
      <c r="C424" s="16"/>
      <c r="D424" s="16"/>
      <c r="E424" s="16"/>
      <c r="F424" s="16"/>
      <c r="G424" s="16"/>
      <c r="H424" s="16"/>
      <c r="I424" s="195"/>
      <c r="J424" s="10"/>
      <c r="K424" s="16"/>
      <c r="L424" s="16"/>
      <c r="M424" s="10"/>
      <c r="N424" s="16"/>
      <c r="O424" s="10"/>
      <c r="P424" s="10"/>
      <c r="Q424" s="16"/>
      <c r="R424" s="16"/>
      <c r="S424" s="10"/>
      <c r="T424" s="16"/>
      <c r="U424" s="16"/>
      <c r="V424" s="16"/>
      <c r="W424" s="16"/>
      <c r="X424" s="16"/>
      <c r="Y424" s="16"/>
      <c r="Z424" s="16"/>
      <c r="AA424" s="16"/>
      <c r="AB424" s="16"/>
      <c r="AC424" s="16"/>
      <c r="AD424" s="16"/>
      <c r="AE424" s="16"/>
    </row>
    <row r="425" ht="15.75" customHeight="1">
      <c r="A425" s="16"/>
      <c r="B425" s="16"/>
      <c r="C425" s="16"/>
      <c r="D425" s="16"/>
      <c r="E425" s="16"/>
      <c r="F425" s="16"/>
      <c r="G425" s="16"/>
      <c r="H425" s="16"/>
      <c r="I425" s="195"/>
      <c r="J425" s="10"/>
      <c r="K425" s="16"/>
      <c r="L425" s="16"/>
      <c r="M425" s="10"/>
      <c r="N425" s="16"/>
      <c r="O425" s="10"/>
      <c r="P425" s="10"/>
      <c r="Q425" s="16"/>
      <c r="R425" s="16"/>
      <c r="S425" s="10"/>
      <c r="T425" s="16"/>
      <c r="U425" s="16"/>
      <c r="V425" s="16"/>
      <c r="W425" s="16"/>
      <c r="X425" s="16"/>
      <c r="Y425" s="16"/>
      <c r="Z425" s="16"/>
      <c r="AA425" s="16"/>
      <c r="AB425" s="16"/>
      <c r="AC425" s="16"/>
      <c r="AD425" s="16"/>
      <c r="AE425" s="16"/>
    </row>
    <row r="426" ht="15.75" customHeight="1">
      <c r="A426" s="16"/>
      <c r="B426" s="16"/>
      <c r="C426" s="16"/>
      <c r="D426" s="16"/>
      <c r="E426" s="16"/>
      <c r="F426" s="16"/>
      <c r="G426" s="16"/>
      <c r="H426" s="16"/>
      <c r="I426" s="195"/>
      <c r="J426" s="10"/>
      <c r="K426" s="16"/>
      <c r="L426" s="16"/>
      <c r="M426" s="10"/>
      <c r="N426" s="16"/>
      <c r="O426" s="10"/>
      <c r="P426" s="10"/>
      <c r="Q426" s="16"/>
      <c r="R426" s="16"/>
      <c r="S426" s="10"/>
      <c r="T426" s="16"/>
      <c r="U426" s="16"/>
      <c r="V426" s="16"/>
      <c r="W426" s="16"/>
      <c r="X426" s="16"/>
      <c r="Y426" s="16"/>
      <c r="Z426" s="16"/>
      <c r="AA426" s="16"/>
      <c r="AB426" s="16"/>
      <c r="AC426" s="16"/>
      <c r="AD426" s="16"/>
      <c r="AE426" s="16"/>
    </row>
    <row r="427" ht="15.75" customHeight="1">
      <c r="A427" s="16"/>
      <c r="B427" s="16"/>
      <c r="C427" s="16"/>
      <c r="D427" s="16"/>
      <c r="E427" s="16"/>
      <c r="F427" s="16"/>
      <c r="G427" s="16"/>
      <c r="H427" s="16"/>
      <c r="I427" s="195"/>
      <c r="J427" s="10"/>
      <c r="K427" s="16"/>
      <c r="L427" s="16"/>
      <c r="M427" s="10"/>
      <c r="N427" s="16"/>
      <c r="O427" s="10"/>
      <c r="P427" s="10"/>
      <c r="Q427" s="16"/>
      <c r="R427" s="16"/>
      <c r="S427" s="10"/>
      <c r="T427" s="16"/>
      <c r="U427" s="16"/>
      <c r="V427" s="16"/>
      <c r="W427" s="16"/>
      <c r="X427" s="16"/>
      <c r="Y427" s="16"/>
      <c r="Z427" s="16"/>
      <c r="AA427" s="16"/>
      <c r="AB427" s="16"/>
      <c r="AC427" s="16"/>
      <c r="AD427" s="16"/>
      <c r="AE427" s="16"/>
    </row>
    <row r="428" ht="15.75" customHeight="1">
      <c r="A428" s="16"/>
      <c r="B428" s="16"/>
      <c r="C428" s="16"/>
      <c r="D428" s="16"/>
      <c r="E428" s="16"/>
      <c r="F428" s="16"/>
      <c r="G428" s="16"/>
      <c r="H428" s="16"/>
      <c r="I428" s="195"/>
      <c r="J428" s="10"/>
      <c r="K428" s="16"/>
      <c r="L428" s="16"/>
      <c r="M428" s="10"/>
      <c r="N428" s="16"/>
      <c r="O428" s="10"/>
      <c r="P428" s="10"/>
      <c r="Q428" s="16"/>
      <c r="R428" s="16"/>
      <c r="S428" s="10"/>
      <c r="T428" s="16"/>
      <c r="U428" s="16"/>
      <c r="V428" s="16"/>
      <c r="W428" s="16"/>
      <c r="X428" s="16"/>
      <c r="Y428" s="16"/>
      <c r="Z428" s="16"/>
      <c r="AA428" s="16"/>
      <c r="AB428" s="16"/>
      <c r="AC428" s="16"/>
      <c r="AD428" s="16"/>
      <c r="AE428" s="16"/>
    </row>
    <row r="429" ht="15.75" customHeight="1">
      <c r="A429" s="16"/>
      <c r="B429" s="16"/>
      <c r="C429" s="16"/>
      <c r="D429" s="16"/>
      <c r="E429" s="16"/>
      <c r="F429" s="16"/>
      <c r="G429" s="16"/>
      <c r="H429" s="16"/>
      <c r="I429" s="195"/>
      <c r="J429" s="10"/>
      <c r="K429" s="16"/>
      <c r="L429" s="16"/>
      <c r="M429" s="10"/>
      <c r="N429" s="16"/>
      <c r="O429" s="10"/>
      <c r="P429" s="10"/>
      <c r="Q429" s="16"/>
      <c r="R429" s="16"/>
      <c r="S429" s="10"/>
      <c r="T429" s="16"/>
      <c r="U429" s="16"/>
      <c r="V429" s="16"/>
      <c r="W429" s="16"/>
      <c r="X429" s="16"/>
      <c r="Y429" s="16"/>
      <c r="Z429" s="16"/>
      <c r="AA429" s="16"/>
      <c r="AB429" s="16"/>
      <c r="AC429" s="16"/>
      <c r="AD429" s="16"/>
      <c r="AE429" s="16"/>
    </row>
    <row r="430" ht="15.75" customHeight="1">
      <c r="A430" s="16"/>
      <c r="B430" s="16"/>
      <c r="C430" s="16"/>
      <c r="D430" s="16"/>
      <c r="E430" s="16"/>
      <c r="F430" s="16"/>
      <c r="G430" s="16"/>
      <c r="H430" s="16"/>
      <c r="I430" s="195"/>
      <c r="J430" s="10"/>
      <c r="K430" s="16"/>
      <c r="L430" s="16"/>
      <c r="M430" s="10"/>
      <c r="N430" s="16"/>
      <c r="O430" s="10"/>
      <c r="P430" s="10"/>
      <c r="Q430" s="16"/>
      <c r="R430" s="16"/>
      <c r="S430" s="10"/>
      <c r="T430" s="16"/>
      <c r="U430" s="16"/>
      <c r="V430" s="16"/>
      <c r="W430" s="16"/>
      <c r="X430" s="16"/>
      <c r="Y430" s="16"/>
      <c r="Z430" s="16"/>
      <c r="AA430" s="16"/>
      <c r="AB430" s="16"/>
      <c r="AC430" s="16"/>
      <c r="AD430" s="16"/>
      <c r="AE430" s="16"/>
    </row>
    <row r="431" ht="15.75" customHeight="1">
      <c r="A431" s="16"/>
      <c r="B431" s="16"/>
      <c r="C431" s="16"/>
      <c r="D431" s="16"/>
      <c r="E431" s="16"/>
      <c r="F431" s="16"/>
      <c r="G431" s="16"/>
      <c r="H431" s="16"/>
      <c r="I431" s="195"/>
      <c r="J431" s="10"/>
      <c r="K431" s="16"/>
      <c r="L431" s="16"/>
      <c r="M431" s="10"/>
      <c r="N431" s="16"/>
      <c r="O431" s="10"/>
      <c r="P431" s="10"/>
      <c r="Q431" s="16"/>
      <c r="R431" s="16"/>
      <c r="S431" s="10"/>
      <c r="T431" s="16"/>
      <c r="U431" s="16"/>
      <c r="V431" s="16"/>
      <c r="W431" s="16"/>
      <c r="X431" s="16"/>
      <c r="Y431" s="16"/>
      <c r="Z431" s="16"/>
      <c r="AA431" s="16"/>
      <c r="AB431" s="16"/>
      <c r="AC431" s="16"/>
      <c r="AD431" s="16"/>
      <c r="AE431" s="16"/>
    </row>
    <row r="432" ht="15.75" customHeight="1">
      <c r="A432" s="16"/>
      <c r="B432" s="16"/>
      <c r="C432" s="16"/>
      <c r="D432" s="16"/>
      <c r="E432" s="16"/>
      <c r="F432" s="16"/>
      <c r="G432" s="16"/>
      <c r="H432" s="16"/>
      <c r="I432" s="195"/>
      <c r="J432" s="10"/>
      <c r="K432" s="16"/>
      <c r="L432" s="16"/>
      <c r="M432" s="10"/>
      <c r="N432" s="16"/>
      <c r="O432" s="10"/>
      <c r="P432" s="10"/>
      <c r="Q432" s="16"/>
      <c r="R432" s="16"/>
      <c r="S432" s="10"/>
      <c r="T432" s="16"/>
      <c r="U432" s="16"/>
      <c r="V432" s="16"/>
      <c r="W432" s="16"/>
      <c r="X432" s="16"/>
      <c r="Y432" s="16"/>
      <c r="Z432" s="16"/>
      <c r="AA432" s="16"/>
      <c r="AB432" s="16"/>
      <c r="AC432" s="16"/>
      <c r="AD432" s="16"/>
      <c r="AE432" s="16"/>
    </row>
    <row r="433" ht="15.75" customHeight="1">
      <c r="A433" s="16"/>
      <c r="B433" s="16"/>
      <c r="C433" s="16"/>
      <c r="D433" s="16"/>
      <c r="E433" s="16"/>
      <c r="F433" s="16"/>
      <c r="G433" s="16"/>
      <c r="H433" s="16"/>
      <c r="I433" s="195"/>
      <c r="J433" s="10"/>
      <c r="K433" s="16"/>
      <c r="L433" s="16"/>
      <c r="M433" s="10"/>
      <c r="N433" s="16"/>
      <c r="O433" s="10"/>
      <c r="P433" s="10"/>
      <c r="Q433" s="16"/>
      <c r="R433" s="16"/>
      <c r="S433" s="10"/>
      <c r="T433" s="16"/>
      <c r="U433" s="16"/>
      <c r="V433" s="16"/>
      <c r="W433" s="16"/>
      <c r="X433" s="16"/>
      <c r="Y433" s="16"/>
      <c r="Z433" s="16"/>
      <c r="AA433" s="16"/>
      <c r="AB433" s="16"/>
      <c r="AC433" s="16"/>
      <c r="AD433" s="16"/>
      <c r="AE433" s="16"/>
    </row>
    <row r="434" ht="15.75" customHeight="1">
      <c r="A434" s="16"/>
      <c r="B434" s="16"/>
      <c r="C434" s="16"/>
      <c r="D434" s="16"/>
      <c r="E434" s="16"/>
      <c r="F434" s="16"/>
      <c r="G434" s="16"/>
      <c r="H434" s="16"/>
      <c r="I434" s="195"/>
      <c r="J434" s="10"/>
      <c r="K434" s="16"/>
      <c r="L434" s="16"/>
      <c r="M434" s="10"/>
      <c r="N434" s="16"/>
      <c r="O434" s="10"/>
      <c r="P434" s="10"/>
      <c r="Q434" s="16"/>
      <c r="R434" s="16"/>
      <c r="S434" s="10"/>
      <c r="T434" s="16"/>
      <c r="U434" s="16"/>
      <c r="V434" s="16"/>
      <c r="W434" s="16"/>
      <c r="X434" s="16"/>
      <c r="Y434" s="16"/>
      <c r="Z434" s="16"/>
      <c r="AA434" s="16"/>
      <c r="AB434" s="16"/>
      <c r="AC434" s="16"/>
      <c r="AD434" s="16"/>
      <c r="AE434" s="16"/>
    </row>
    <row r="435" ht="15.75" customHeight="1">
      <c r="A435" s="16"/>
      <c r="B435" s="16"/>
      <c r="C435" s="16"/>
      <c r="D435" s="16"/>
      <c r="E435" s="16"/>
      <c r="F435" s="16"/>
      <c r="G435" s="16"/>
      <c r="H435" s="16"/>
      <c r="I435" s="195"/>
      <c r="J435" s="10"/>
      <c r="K435" s="16"/>
      <c r="L435" s="16"/>
      <c r="M435" s="10"/>
      <c r="N435" s="16"/>
      <c r="O435" s="10"/>
      <c r="P435" s="10"/>
      <c r="Q435" s="16"/>
      <c r="R435" s="16"/>
      <c r="S435" s="10"/>
      <c r="T435" s="16"/>
      <c r="U435" s="16"/>
      <c r="V435" s="16"/>
      <c r="W435" s="16"/>
      <c r="X435" s="16"/>
      <c r="Y435" s="16"/>
      <c r="Z435" s="16"/>
      <c r="AA435" s="16"/>
      <c r="AB435" s="16"/>
      <c r="AC435" s="16"/>
      <c r="AD435" s="16"/>
      <c r="AE435" s="16"/>
    </row>
    <row r="436" ht="15.75" customHeight="1">
      <c r="A436" s="16"/>
      <c r="B436" s="16"/>
      <c r="C436" s="16"/>
      <c r="D436" s="16"/>
      <c r="E436" s="16"/>
      <c r="F436" s="16"/>
      <c r="G436" s="16"/>
      <c r="H436" s="16"/>
      <c r="I436" s="195"/>
      <c r="J436" s="10"/>
      <c r="K436" s="16"/>
      <c r="L436" s="16"/>
      <c r="M436" s="10"/>
      <c r="N436" s="16"/>
      <c r="O436" s="10"/>
      <c r="P436" s="10"/>
      <c r="Q436" s="16"/>
      <c r="R436" s="16"/>
      <c r="S436" s="10"/>
      <c r="T436" s="16"/>
      <c r="U436" s="16"/>
      <c r="V436" s="16"/>
      <c r="W436" s="16"/>
      <c r="X436" s="16"/>
      <c r="Y436" s="16"/>
      <c r="Z436" s="16"/>
      <c r="AA436" s="16"/>
      <c r="AB436" s="16"/>
      <c r="AC436" s="16"/>
      <c r="AD436" s="16"/>
      <c r="AE436" s="16"/>
    </row>
    <row r="437" ht="15.75" customHeight="1">
      <c r="A437" s="16"/>
      <c r="B437" s="16"/>
      <c r="C437" s="16"/>
      <c r="D437" s="16"/>
      <c r="E437" s="16"/>
      <c r="F437" s="16"/>
      <c r="G437" s="16"/>
      <c r="H437" s="16"/>
      <c r="I437" s="195"/>
      <c r="J437" s="10"/>
      <c r="K437" s="16"/>
      <c r="L437" s="16"/>
      <c r="M437" s="10"/>
      <c r="N437" s="16"/>
      <c r="O437" s="10"/>
      <c r="P437" s="10"/>
      <c r="Q437" s="16"/>
      <c r="R437" s="16"/>
      <c r="S437" s="10"/>
      <c r="T437" s="16"/>
      <c r="U437" s="16"/>
      <c r="V437" s="16"/>
      <c r="W437" s="16"/>
      <c r="X437" s="16"/>
      <c r="Y437" s="16"/>
      <c r="Z437" s="16"/>
      <c r="AA437" s="16"/>
      <c r="AB437" s="16"/>
      <c r="AC437" s="16"/>
      <c r="AD437" s="16"/>
      <c r="AE437" s="16"/>
    </row>
    <row r="438" ht="15.75" customHeight="1">
      <c r="A438" s="16"/>
      <c r="B438" s="16"/>
      <c r="C438" s="16"/>
      <c r="D438" s="16"/>
      <c r="E438" s="16"/>
      <c r="F438" s="16"/>
      <c r="G438" s="16"/>
      <c r="H438" s="16"/>
      <c r="I438" s="195"/>
      <c r="J438" s="10"/>
      <c r="K438" s="16"/>
      <c r="L438" s="16"/>
      <c r="M438" s="10"/>
      <c r="N438" s="16"/>
      <c r="O438" s="10"/>
      <c r="P438" s="10"/>
      <c r="Q438" s="16"/>
      <c r="R438" s="16"/>
      <c r="S438" s="10"/>
      <c r="T438" s="16"/>
      <c r="U438" s="16"/>
      <c r="V438" s="16"/>
      <c r="W438" s="16"/>
      <c r="X438" s="16"/>
      <c r="Y438" s="16"/>
      <c r="Z438" s="16"/>
      <c r="AA438" s="16"/>
      <c r="AB438" s="16"/>
      <c r="AC438" s="16"/>
      <c r="AD438" s="16"/>
      <c r="AE438" s="16"/>
    </row>
    <row r="439" ht="15.75" customHeight="1">
      <c r="A439" s="16"/>
      <c r="B439" s="16"/>
      <c r="C439" s="16"/>
      <c r="D439" s="16"/>
      <c r="E439" s="16"/>
      <c r="F439" s="16"/>
      <c r="G439" s="16"/>
      <c r="H439" s="16"/>
      <c r="I439" s="195"/>
      <c r="J439" s="10"/>
      <c r="K439" s="16"/>
      <c r="L439" s="16"/>
      <c r="M439" s="10"/>
      <c r="N439" s="16"/>
      <c r="O439" s="10"/>
      <c r="P439" s="10"/>
      <c r="Q439" s="16"/>
      <c r="R439" s="16"/>
      <c r="S439" s="10"/>
      <c r="T439" s="16"/>
      <c r="U439" s="16"/>
      <c r="V439" s="16"/>
      <c r="W439" s="16"/>
      <c r="X439" s="16"/>
      <c r="Y439" s="16"/>
      <c r="Z439" s="16"/>
      <c r="AA439" s="16"/>
      <c r="AB439" s="16"/>
      <c r="AC439" s="16"/>
      <c r="AD439" s="16"/>
      <c r="AE439" s="16"/>
    </row>
    <row r="440" ht="15.75" customHeight="1">
      <c r="A440" s="16"/>
      <c r="B440" s="16"/>
      <c r="C440" s="16"/>
      <c r="D440" s="16"/>
      <c r="E440" s="16"/>
      <c r="F440" s="16"/>
      <c r="G440" s="16"/>
      <c r="H440" s="16"/>
      <c r="I440" s="195"/>
      <c r="J440" s="10"/>
      <c r="K440" s="16"/>
      <c r="L440" s="16"/>
      <c r="M440" s="10"/>
      <c r="N440" s="16"/>
      <c r="O440" s="10"/>
      <c r="P440" s="10"/>
      <c r="Q440" s="16"/>
      <c r="R440" s="16"/>
      <c r="S440" s="10"/>
      <c r="T440" s="16"/>
      <c r="U440" s="16"/>
      <c r="V440" s="16"/>
      <c r="W440" s="16"/>
      <c r="X440" s="16"/>
      <c r="Y440" s="16"/>
      <c r="Z440" s="16"/>
      <c r="AA440" s="16"/>
      <c r="AB440" s="16"/>
      <c r="AC440" s="16"/>
      <c r="AD440" s="16"/>
      <c r="AE440" s="16"/>
    </row>
    <row r="441" ht="15.75" customHeight="1">
      <c r="A441" s="16"/>
      <c r="B441" s="16"/>
      <c r="C441" s="16"/>
      <c r="D441" s="16"/>
      <c r="E441" s="16"/>
      <c r="F441" s="16"/>
      <c r="G441" s="16"/>
      <c r="H441" s="16"/>
      <c r="I441" s="195"/>
      <c r="J441" s="10"/>
      <c r="K441" s="16"/>
      <c r="L441" s="16"/>
      <c r="M441" s="10"/>
      <c r="N441" s="16"/>
      <c r="O441" s="10"/>
      <c r="P441" s="10"/>
      <c r="Q441" s="16"/>
      <c r="R441" s="16"/>
      <c r="S441" s="10"/>
      <c r="T441" s="16"/>
      <c r="U441" s="16"/>
      <c r="V441" s="16"/>
      <c r="W441" s="16"/>
      <c r="X441" s="16"/>
      <c r="Y441" s="16"/>
      <c r="Z441" s="16"/>
      <c r="AA441" s="16"/>
      <c r="AB441" s="16"/>
      <c r="AC441" s="16"/>
      <c r="AD441" s="16"/>
      <c r="AE441" s="16"/>
    </row>
    <row r="442" ht="15.75" customHeight="1">
      <c r="A442" s="16"/>
      <c r="B442" s="16"/>
      <c r="C442" s="16"/>
      <c r="D442" s="16"/>
      <c r="E442" s="16"/>
      <c r="F442" s="16"/>
      <c r="G442" s="16"/>
      <c r="H442" s="16"/>
      <c r="I442" s="195"/>
      <c r="J442" s="10"/>
      <c r="K442" s="16"/>
      <c r="L442" s="16"/>
      <c r="M442" s="10"/>
      <c r="N442" s="16"/>
      <c r="O442" s="10"/>
      <c r="P442" s="10"/>
      <c r="Q442" s="16"/>
      <c r="R442" s="16"/>
      <c r="S442" s="10"/>
      <c r="T442" s="16"/>
      <c r="U442" s="16"/>
      <c r="V442" s="16"/>
      <c r="W442" s="16"/>
      <c r="X442" s="16"/>
      <c r="Y442" s="16"/>
      <c r="Z442" s="16"/>
      <c r="AA442" s="16"/>
      <c r="AB442" s="16"/>
      <c r="AC442" s="16"/>
      <c r="AD442" s="16"/>
      <c r="AE442" s="16"/>
    </row>
    <row r="443" ht="15.75" customHeight="1">
      <c r="A443" s="16"/>
      <c r="B443" s="16"/>
      <c r="C443" s="16"/>
      <c r="D443" s="16"/>
      <c r="E443" s="16"/>
      <c r="F443" s="16"/>
      <c r="G443" s="16"/>
      <c r="H443" s="16"/>
      <c r="I443" s="195"/>
      <c r="J443" s="10"/>
      <c r="K443" s="16"/>
      <c r="L443" s="16"/>
      <c r="M443" s="10"/>
      <c r="N443" s="16"/>
      <c r="O443" s="10"/>
      <c r="P443" s="10"/>
      <c r="Q443" s="16"/>
      <c r="R443" s="16"/>
      <c r="S443" s="10"/>
      <c r="T443" s="16"/>
      <c r="U443" s="16"/>
      <c r="V443" s="16"/>
      <c r="W443" s="16"/>
      <c r="X443" s="16"/>
      <c r="Y443" s="16"/>
      <c r="Z443" s="16"/>
      <c r="AA443" s="16"/>
      <c r="AB443" s="16"/>
      <c r="AC443" s="16"/>
      <c r="AD443" s="16"/>
      <c r="AE443" s="16"/>
    </row>
    <row r="444" ht="15.75" customHeight="1">
      <c r="A444" s="16"/>
      <c r="B444" s="16"/>
      <c r="C444" s="16"/>
      <c r="D444" s="16"/>
      <c r="E444" s="16"/>
      <c r="F444" s="16"/>
      <c r="G444" s="16"/>
      <c r="H444" s="16"/>
      <c r="I444" s="195"/>
      <c r="J444" s="10"/>
      <c r="K444" s="16"/>
      <c r="L444" s="16"/>
      <c r="M444" s="10"/>
      <c r="N444" s="16"/>
      <c r="O444" s="10"/>
      <c r="P444" s="10"/>
      <c r="Q444" s="16"/>
      <c r="R444" s="16"/>
      <c r="S444" s="10"/>
      <c r="T444" s="16"/>
      <c r="U444" s="16"/>
      <c r="V444" s="16"/>
      <c r="W444" s="16"/>
      <c r="X444" s="16"/>
      <c r="Y444" s="16"/>
      <c r="Z444" s="16"/>
      <c r="AA444" s="16"/>
      <c r="AB444" s="16"/>
      <c r="AC444" s="16"/>
      <c r="AD444" s="16"/>
      <c r="AE444" s="16"/>
    </row>
    <row r="445" ht="15.75" customHeight="1">
      <c r="A445" s="16"/>
      <c r="B445" s="16"/>
      <c r="C445" s="16"/>
      <c r="D445" s="16"/>
      <c r="E445" s="16"/>
      <c r="F445" s="16"/>
      <c r="G445" s="16"/>
      <c r="H445" s="16"/>
      <c r="I445" s="195"/>
      <c r="J445" s="10"/>
      <c r="K445" s="16"/>
      <c r="L445" s="16"/>
      <c r="M445" s="10"/>
      <c r="N445" s="16"/>
      <c r="O445" s="10"/>
      <c r="P445" s="10"/>
      <c r="Q445" s="16"/>
      <c r="R445" s="16"/>
      <c r="S445" s="10"/>
      <c r="T445" s="16"/>
      <c r="U445" s="16"/>
      <c r="V445" s="16"/>
      <c r="W445" s="16"/>
      <c r="X445" s="16"/>
      <c r="Y445" s="16"/>
      <c r="Z445" s="16"/>
      <c r="AA445" s="16"/>
      <c r="AB445" s="16"/>
      <c r="AC445" s="16"/>
      <c r="AD445" s="16"/>
      <c r="AE445" s="16"/>
    </row>
    <row r="446" ht="15.75" customHeight="1">
      <c r="A446" s="16"/>
      <c r="B446" s="16"/>
      <c r="C446" s="16"/>
      <c r="D446" s="16"/>
      <c r="E446" s="16"/>
      <c r="F446" s="16"/>
      <c r="G446" s="16"/>
      <c r="H446" s="16"/>
      <c r="I446" s="195"/>
      <c r="J446" s="10"/>
      <c r="K446" s="16"/>
      <c r="L446" s="16"/>
      <c r="M446" s="10"/>
      <c r="N446" s="16"/>
      <c r="O446" s="10"/>
      <c r="P446" s="10"/>
      <c r="Q446" s="16"/>
      <c r="R446" s="16"/>
      <c r="S446" s="10"/>
      <c r="T446" s="16"/>
      <c r="U446" s="16"/>
      <c r="V446" s="16"/>
      <c r="W446" s="16"/>
      <c r="X446" s="16"/>
      <c r="Y446" s="16"/>
      <c r="Z446" s="16"/>
      <c r="AA446" s="16"/>
      <c r="AB446" s="16"/>
      <c r="AC446" s="16"/>
      <c r="AD446" s="16"/>
      <c r="AE446" s="16"/>
    </row>
    <row r="447" ht="15.75" customHeight="1">
      <c r="A447" s="16"/>
      <c r="B447" s="16"/>
      <c r="C447" s="16"/>
      <c r="D447" s="16"/>
      <c r="E447" s="16"/>
      <c r="F447" s="16"/>
      <c r="G447" s="16"/>
      <c r="H447" s="16"/>
      <c r="I447" s="195"/>
      <c r="J447" s="10"/>
      <c r="K447" s="16"/>
      <c r="L447" s="16"/>
      <c r="M447" s="10"/>
      <c r="N447" s="16"/>
      <c r="O447" s="10"/>
      <c r="P447" s="10"/>
      <c r="Q447" s="16"/>
      <c r="R447" s="16"/>
      <c r="S447" s="10"/>
      <c r="T447" s="16"/>
      <c r="U447" s="16"/>
      <c r="V447" s="16"/>
      <c r="W447" s="16"/>
      <c r="X447" s="16"/>
      <c r="Y447" s="16"/>
      <c r="Z447" s="16"/>
      <c r="AA447" s="16"/>
      <c r="AB447" s="16"/>
      <c r="AC447" s="16"/>
      <c r="AD447" s="16"/>
      <c r="AE447" s="16"/>
    </row>
    <row r="448" ht="15.75" customHeight="1">
      <c r="A448" s="16"/>
      <c r="B448" s="16"/>
      <c r="C448" s="16"/>
      <c r="D448" s="16"/>
      <c r="E448" s="16"/>
      <c r="F448" s="16"/>
      <c r="G448" s="16"/>
      <c r="H448" s="16"/>
      <c r="I448" s="195"/>
      <c r="J448" s="10"/>
      <c r="K448" s="16"/>
      <c r="L448" s="16"/>
      <c r="M448" s="10"/>
      <c r="N448" s="16"/>
      <c r="O448" s="10"/>
      <c r="P448" s="10"/>
      <c r="Q448" s="16"/>
      <c r="R448" s="16"/>
      <c r="S448" s="10"/>
      <c r="T448" s="16"/>
      <c r="U448" s="16"/>
      <c r="V448" s="16"/>
      <c r="W448" s="16"/>
      <c r="X448" s="16"/>
      <c r="Y448" s="16"/>
      <c r="Z448" s="16"/>
      <c r="AA448" s="16"/>
      <c r="AB448" s="16"/>
      <c r="AC448" s="16"/>
      <c r="AD448" s="16"/>
      <c r="AE448" s="16"/>
    </row>
    <row r="449" ht="15.75" customHeight="1">
      <c r="A449" s="16"/>
      <c r="B449" s="16"/>
      <c r="C449" s="16"/>
      <c r="D449" s="16"/>
      <c r="E449" s="16"/>
      <c r="F449" s="16"/>
      <c r="G449" s="16"/>
      <c r="H449" s="16"/>
      <c r="I449" s="195"/>
      <c r="J449" s="10"/>
      <c r="K449" s="16"/>
      <c r="L449" s="16"/>
      <c r="M449" s="10"/>
      <c r="N449" s="16"/>
      <c r="O449" s="10"/>
      <c r="P449" s="10"/>
      <c r="Q449" s="16"/>
      <c r="R449" s="16"/>
      <c r="S449" s="10"/>
      <c r="T449" s="16"/>
      <c r="U449" s="16"/>
      <c r="V449" s="16"/>
      <c r="W449" s="16"/>
      <c r="X449" s="16"/>
      <c r="Y449" s="16"/>
      <c r="Z449" s="16"/>
      <c r="AA449" s="16"/>
      <c r="AB449" s="16"/>
      <c r="AC449" s="16"/>
      <c r="AD449" s="16"/>
      <c r="AE449" s="16"/>
    </row>
    <row r="450" ht="15.75" customHeight="1">
      <c r="A450" s="16"/>
      <c r="B450" s="16"/>
      <c r="C450" s="16"/>
      <c r="D450" s="16"/>
      <c r="E450" s="16"/>
      <c r="F450" s="16"/>
      <c r="G450" s="16"/>
      <c r="H450" s="16"/>
      <c r="I450" s="195"/>
      <c r="J450" s="10"/>
      <c r="K450" s="16"/>
      <c r="L450" s="16"/>
      <c r="M450" s="10"/>
      <c r="N450" s="16"/>
      <c r="O450" s="10"/>
      <c r="P450" s="10"/>
      <c r="Q450" s="16"/>
      <c r="R450" s="16"/>
      <c r="S450" s="10"/>
      <c r="T450" s="16"/>
      <c r="U450" s="16"/>
      <c r="V450" s="16"/>
      <c r="W450" s="16"/>
      <c r="X450" s="16"/>
      <c r="Y450" s="16"/>
      <c r="Z450" s="16"/>
      <c r="AA450" s="16"/>
      <c r="AB450" s="16"/>
      <c r="AC450" s="16"/>
      <c r="AD450" s="16"/>
      <c r="AE450" s="16"/>
    </row>
    <row r="451" ht="15.75" customHeight="1">
      <c r="A451" s="16"/>
      <c r="B451" s="16"/>
      <c r="C451" s="16"/>
      <c r="D451" s="16"/>
      <c r="E451" s="16"/>
      <c r="F451" s="16"/>
      <c r="G451" s="16"/>
      <c r="H451" s="16"/>
      <c r="I451" s="195"/>
      <c r="J451" s="10"/>
      <c r="K451" s="16"/>
      <c r="L451" s="16"/>
      <c r="M451" s="10"/>
      <c r="N451" s="16"/>
      <c r="O451" s="10"/>
      <c r="P451" s="10"/>
      <c r="Q451" s="16"/>
      <c r="R451" s="16"/>
      <c r="S451" s="10"/>
      <c r="T451" s="16"/>
      <c r="U451" s="16"/>
      <c r="V451" s="16"/>
      <c r="W451" s="16"/>
      <c r="X451" s="16"/>
      <c r="Y451" s="16"/>
      <c r="Z451" s="16"/>
      <c r="AA451" s="16"/>
      <c r="AB451" s="16"/>
      <c r="AC451" s="16"/>
      <c r="AD451" s="16"/>
      <c r="AE451" s="16"/>
    </row>
    <row r="452" ht="15.75" customHeight="1">
      <c r="A452" s="16"/>
      <c r="B452" s="16"/>
      <c r="C452" s="16"/>
      <c r="D452" s="16"/>
      <c r="E452" s="16"/>
      <c r="F452" s="16"/>
      <c r="G452" s="16"/>
      <c r="H452" s="16"/>
      <c r="I452" s="195"/>
      <c r="J452" s="10"/>
      <c r="K452" s="16"/>
      <c r="L452" s="16"/>
      <c r="M452" s="10"/>
      <c r="N452" s="16"/>
      <c r="O452" s="10"/>
      <c r="P452" s="10"/>
      <c r="Q452" s="16"/>
      <c r="R452" s="16"/>
      <c r="S452" s="10"/>
      <c r="T452" s="16"/>
      <c r="U452" s="16"/>
      <c r="V452" s="16"/>
      <c r="W452" s="16"/>
      <c r="X452" s="16"/>
      <c r="Y452" s="16"/>
      <c r="Z452" s="16"/>
      <c r="AA452" s="16"/>
      <c r="AB452" s="16"/>
      <c r="AC452" s="16"/>
      <c r="AD452" s="16"/>
      <c r="AE452" s="16"/>
    </row>
    <row r="453" ht="15.75" customHeight="1">
      <c r="A453" s="16"/>
      <c r="B453" s="16"/>
      <c r="C453" s="16"/>
      <c r="D453" s="16"/>
      <c r="E453" s="16"/>
      <c r="F453" s="16"/>
      <c r="G453" s="16"/>
      <c r="H453" s="16"/>
      <c r="I453" s="195"/>
      <c r="J453" s="10"/>
      <c r="K453" s="16"/>
      <c r="L453" s="16"/>
      <c r="M453" s="10"/>
      <c r="N453" s="16"/>
      <c r="O453" s="10"/>
      <c r="P453" s="10"/>
      <c r="Q453" s="16"/>
      <c r="R453" s="16"/>
      <c r="S453" s="10"/>
      <c r="T453" s="16"/>
      <c r="U453" s="16"/>
      <c r="V453" s="16"/>
      <c r="W453" s="16"/>
      <c r="X453" s="16"/>
      <c r="Y453" s="16"/>
      <c r="Z453" s="16"/>
      <c r="AA453" s="16"/>
      <c r="AB453" s="16"/>
      <c r="AC453" s="16"/>
      <c r="AD453" s="16"/>
      <c r="AE453" s="16"/>
    </row>
    <row r="454" ht="15.75" customHeight="1">
      <c r="A454" s="16"/>
      <c r="B454" s="16"/>
      <c r="C454" s="16"/>
      <c r="D454" s="16"/>
      <c r="E454" s="16"/>
      <c r="F454" s="16"/>
      <c r="G454" s="16"/>
      <c r="H454" s="16"/>
      <c r="I454" s="195"/>
      <c r="J454" s="10"/>
      <c r="K454" s="16"/>
      <c r="L454" s="16"/>
      <c r="M454" s="10"/>
      <c r="N454" s="16"/>
      <c r="O454" s="10"/>
      <c r="P454" s="10"/>
      <c r="Q454" s="16"/>
      <c r="R454" s="16"/>
      <c r="S454" s="10"/>
      <c r="T454" s="16"/>
      <c r="U454" s="16"/>
      <c r="V454" s="16"/>
      <c r="W454" s="16"/>
      <c r="X454" s="16"/>
      <c r="Y454" s="16"/>
      <c r="Z454" s="16"/>
      <c r="AA454" s="16"/>
      <c r="AB454" s="16"/>
      <c r="AC454" s="16"/>
      <c r="AD454" s="16"/>
      <c r="AE454" s="16"/>
    </row>
    <row r="455" ht="15.75" customHeight="1">
      <c r="A455" s="16"/>
      <c r="B455" s="16"/>
      <c r="C455" s="16"/>
      <c r="D455" s="16"/>
      <c r="E455" s="16"/>
      <c r="F455" s="16"/>
      <c r="G455" s="16"/>
      <c r="H455" s="16"/>
      <c r="I455" s="195"/>
      <c r="J455" s="10"/>
      <c r="K455" s="16"/>
      <c r="L455" s="16"/>
      <c r="M455" s="10"/>
      <c r="N455" s="16"/>
      <c r="O455" s="10"/>
      <c r="P455" s="10"/>
      <c r="Q455" s="16"/>
      <c r="R455" s="16"/>
      <c r="S455" s="10"/>
      <c r="T455" s="16"/>
      <c r="U455" s="16"/>
      <c r="V455" s="16"/>
      <c r="W455" s="16"/>
      <c r="X455" s="16"/>
      <c r="Y455" s="16"/>
      <c r="Z455" s="16"/>
      <c r="AA455" s="16"/>
      <c r="AB455" s="16"/>
      <c r="AC455" s="16"/>
      <c r="AD455" s="16"/>
      <c r="AE455" s="16"/>
    </row>
    <row r="456" ht="15.75" customHeight="1">
      <c r="A456" s="16"/>
      <c r="B456" s="16"/>
      <c r="C456" s="16"/>
      <c r="D456" s="16"/>
      <c r="E456" s="16"/>
      <c r="F456" s="16"/>
      <c r="G456" s="16"/>
      <c r="H456" s="16"/>
      <c r="I456" s="195"/>
      <c r="J456" s="10"/>
      <c r="K456" s="16"/>
      <c r="L456" s="16"/>
      <c r="M456" s="10"/>
      <c r="N456" s="16"/>
      <c r="O456" s="10"/>
      <c r="P456" s="10"/>
      <c r="Q456" s="16"/>
      <c r="R456" s="16"/>
      <c r="S456" s="10"/>
      <c r="T456" s="16"/>
      <c r="U456" s="16"/>
      <c r="V456" s="16"/>
      <c r="W456" s="16"/>
      <c r="X456" s="16"/>
      <c r="Y456" s="16"/>
      <c r="Z456" s="16"/>
      <c r="AA456" s="16"/>
      <c r="AB456" s="16"/>
      <c r="AC456" s="16"/>
      <c r="AD456" s="16"/>
      <c r="AE456" s="16"/>
    </row>
    <row r="457" ht="15.75" customHeight="1">
      <c r="A457" s="16"/>
      <c r="B457" s="16"/>
      <c r="C457" s="16"/>
      <c r="D457" s="16"/>
      <c r="E457" s="16"/>
      <c r="F457" s="16"/>
      <c r="G457" s="16"/>
      <c r="H457" s="16"/>
      <c r="I457" s="195"/>
      <c r="J457" s="10"/>
      <c r="K457" s="16"/>
      <c r="L457" s="16"/>
      <c r="M457" s="10"/>
      <c r="N457" s="16"/>
      <c r="O457" s="10"/>
      <c r="P457" s="10"/>
      <c r="Q457" s="16"/>
      <c r="R457" s="16"/>
      <c r="S457" s="10"/>
      <c r="T457" s="16"/>
      <c r="U457" s="16"/>
      <c r="V457" s="16"/>
      <c r="W457" s="16"/>
      <c r="X457" s="16"/>
      <c r="Y457" s="16"/>
      <c r="Z457" s="16"/>
      <c r="AA457" s="16"/>
      <c r="AB457" s="16"/>
      <c r="AC457" s="16"/>
      <c r="AD457" s="16"/>
      <c r="AE457" s="16"/>
    </row>
    <row r="458" ht="15.75" customHeight="1">
      <c r="A458" s="16"/>
      <c r="B458" s="16"/>
      <c r="C458" s="16"/>
      <c r="D458" s="16"/>
      <c r="E458" s="16"/>
      <c r="F458" s="16"/>
      <c r="G458" s="16"/>
      <c r="H458" s="16"/>
      <c r="I458" s="195"/>
      <c r="J458" s="10"/>
      <c r="K458" s="16"/>
      <c r="L458" s="16"/>
      <c r="M458" s="10"/>
      <c r="N458" s="16"/>
      <c r="O458" s="10"/>
      <c r="P458" s="10"/>
      <c r="Q458" s="16"/>
      <c r="R458" s="16"/>
      <c r="S458" s="10"/>
      <c r="T458" s="16"/>
      <c r="U458" s="16"/>
      <c r="V458" s="16"/>
      <c r="W458" s="16"/>
      <c r="X458" s="16"/>
      <c r="Y458" s="16"/>
      <c r="Z458" s="16"/>
      <c r="AA458" s="16"/>
      <c r="AB458" s="16"/>
      <c r="AC458" s="16"/>
      <c r="AD458" s="16"/>
      <c r="AE458" s="16"/>
    </row>
    <row r="459" ht="15.75" customHeight="1">
      <c r="A459" s="16"/>
      <c r="B459" s="16"/>
      <c r="C459" s="16"/>
      <c r="D459" s="16"/>
      <c r="E459" s="16"/>
      <c r="F459" s="16"/>
      <c r="G459" s="16"/>
      <c r="H459" s="16"/>
      <c r="I459" s="195"/>
      <c r="J459" s="10"/>
      <c r="K459" s="16"/>
      <c r="L459" s="16"/>
      <c r="M459" s="10"/>
      <c r="N459" s="16"/>
      <c r="O459" s="10"/>
      <c r="P459" s="10"/>
      <c r="Q459" s="16"/>
      <c r="R459" s="16"/>
      <c r="S459" s="10"/>
      <c r="T459" s="16"/>
      <c r="U459" s="16"/>
      <c r="V459" s="16"/>
      <c r="W459" s="16"/>
      <c r="X459" s="16"/>
      <c r="Y459" s="16"/>
      <c r="Z459" s="16"/>
      <c r="AA459" s="16"/>
      <c r="AB459" s="16"/>
      <c r="AC459" s="16"/>
      <c r="AD459" s="16"/>
      <c r="AE459" s="16"/>
    </row>
    <row r="460" ht="15.75" customHeight="1">
      <c r="A460" s="16"/>
      <c r="B460" s="16"/>
      <c r="C460" s="16"/>
      <c r="D460" s="16"/>
      <c r="E460" s="16"/>
      <c r="F460" s="16"/>
      <c r="G460" s="16"/>
      <c r="H460" s="16"/>
      <c r="I460" s="195"/>
      <c r="J460" s="10"/>
      <c r="K460" s="16"/>
      <c r="L460" s="16"/>
      <c r="M460" s="10"/>
      <c r="N460" s="16"/>
      <c r="O460" s="10"/>
      <c r="P460" s="10"/>
      <c r="Q460" s="16"/>
      <c r="R460" s="16"/>
      <c r="S460" s="10"/>
      <c r="T460" s="16"/>
      <c r="U460" s="16"/>
      <c r="V460" s="16"/>
      <c r="W460" s="16"/>
      <c r="X460" s="16"/>
      <c r="Y460" s="16"/>
      <c r="Z460" s="16"/>
      <c r="AA460" s="16"/>
      <c r="AB460" s="16"/>
      <c r="AC460" s="16"/>
      <c r="AD460" s="16"/>
      <c r="AE460" s="16"/>
    </row>
    <row r="461" ht="15.75" customHeight="1">
      <c r="A461" s="16"/>
      <c r="B461" s="16"/>
      <c r="C461" s="16"/>
      <c r="D461" s="16"/>
      <c r="E461" s="16"/>
      <c r="F461" s="16"/>
      <c r="G461" s="16"/>
      <c r="H461" s="16"/>
      <c r="I461" s="195"/>
      <c r="J461" s="10"/>
      <c r="K461" s="16"/>
      <c r="L461" s="16"/>
      <c r="M461" s="10"/>
      <c r="N461" s="16"/>
      <c r="O461" s="10"/>
      <c r="P461" s="10"/>
      <c r="Q461" s="16"/>
      <c r="R461" s="16"/>
      <c r="S461" s="10"/>
      <c r="T461" s="16"/>
      <c r="U461" s="16"/>
      <c r="V461" s="16"/>
      <c r="W461" s="16"/>
      <c r="X461" s="16"/>
      <c r="Y461" s="16"/>
      <c r="Z461" s="16"/>
      <c r="AA461" s="16"/>
      <c r="AB461" s="16"/>
      <c r="AC461" s="16"/>
      <c r="AD461" s="16"/>
      <c r="AE461" s="16"/>
    </row>
    <row r="462" ht="15.75" customHeight="1">
      <c r="A462" s="16"/>
      <c r="B462" s="16"/>
      <c r="C462" s="16"/>
      <c r="D462" s="16"/>
      <c r="E462" s="16"/>
      <c r="F462" s="16"/>
      <c r="G462" s="16"/>
      <c r="H462" s="16"/>
      <c r="I462" s="195"/>
      <c r="J462" s="10"/>
      <c r="K462" s="16"/>
      <c r="L462" s="16"/>
      <c r="M462" s="10"/>
      <c r="N462" s="16"/>
      <c r="O462" s="10"/>
      <c r="P462" s="10"/>
      <c r="Q462" s="16"/>
      <c r="R462" s="16"/>
      <c r="S462" s="10"/>
      <c r="T462" s="16"/>
      <c r="U462" s="16"/>
      <c r="V462" s="16"/>
      <c r="W462" s="16"/>
      <c r="X462" s="16"/>
      <c r="Y462" s="16"/>
      <c r="Z462" s="16"/>
      <c r="AA462" s="16"/>
      <c r="AB462" s="16"/>
      <c r="AC462" s="16"/>
      <c r="AD462" s="16"/>
      <c r="AE462" s="16"/>
    </row>
    <row r="463" ht="15.75" customHeight="1">
      <c r="A463" s="16"/>
      <c r="B463" s="16"/>
      <c r="C463" s="16"/>
      <c r="D463" s="16"/>
      <c r="E463" s="16"/>
      <c r="F463" s="16"/>
      <c r="G463" s="16"/>
      <c r="H463" s="16"/>
      <c r="I463" s="195"/>
      <c r="J463" s="10"/>
      <c r="K463" s="16"/>
      <c r="L463" s="16"/>
      <c r="M463" s="10"/>
      <c r="N463" s="16"/>
      <c r="O463" s="10"/>
      <c r="P463" s="10"/>
      <c r="Q463" s="16"/>
      <c r="R463" s="16"/>
      <c r="S463" s="10"/>
      <c r="T463" s="16"/>
      <c r="U463" s="16"/>
      <c r="V463" s="16"/>
      <c r="W463" s="16"/>
      <c r="X463" s="16"/>
      <c r="Y463" s="16"/>
      <c r="Z463" s="16"/>
      <c r="AA463" s="16"/>
      <c r="AB463" s="16"/>
      <c r="AC463" s="16"/>
      <c r="AD463" s="16"/>
      <c r="AE463" s="16"/>
    </row>
    <row r="464" ht="15.75" customHeight="1">
      <c r="A464" s="16"/>
      <c r="B464" s="16"/>
      <c r="C464" s="16"/>
      <c r="D464" s="16"/>
      <c r="E464" s="16"/>
      <c r="F464" s="16"/>
      <c r="G464" s="16"/>
      <c r="H464" s="16"/>
      <c r="I464" s="195"/>
      <c r="J464" s="10"/>
      <c r="K464" s="16"/>
      <c r="L464" s="16"/>
      <c r="M464" s="10"/>
      <c r="N464" s="16"/>
      <c r="O464" s="10"/>
      <c r="P464" s="10"/>
      <c r="Q464" s="16"/>
      <c r="R464" s="16"/>
      <c r="S464" s="10"/>
      <c r="T464" s="16"/>
      <c r="U464" s="16"/>
      <c r="V464" s="16"/>
      <c r="W464" s="16"/>
      <c r="X464" s="16"/>
      <c r="Y464" s="16"/>
      <c r="Z464" s="16"/>
      <c r="AA464" s="16"/>
      <c r="AB464" s="16"/>
      <c r="AC464" s="16"/>
      <c r="AD464" s="16"/>
      <c r="AE464" s="16"/>
    </row>
    <row r="465" ht="15.75" customHeight="1">
      <c r="A465" s="16"/>
      <c r="B465" s="16"/>
      <c r="C465" s="16"/>
      <c r="D465" s="16"/>
      <c r="E465" s="16"/>
      <c r="F465" s="16"/>
      <c r="G465" s="16"/>
      <c r="H465" s="16"/>
      <c r="I465" s="195"/>
      <c r="J465" s="10"/>
      <c r="K465" s="16"/>
      <c r="L465" s="16"/>
      <c r="M465" s="10"/>
      <c r="N465" s="16"/>
      <c r="O465" s="10"/>
      <c r="P465" s="10"/>
      <c r="Q465" s="16"/>
      <c r="R465" s="16"/>
      <c r="S465" s="10"/>
      <c r="T465" s="16"/>
      <c r="U465" s="16"/>
      <c r="V465" s="16"/>
      <c r="W465" s="16"/>
      <c r="X465" s="16"/>
      <c r="Y465" s="16"/>
      <c r="Z465" s="16"/>
      <c r="AA465" s="16"/>
      <c r="AB465" s="16"/>
      <c r="AC465" s="16"/>
      <c r="AD465" s="16"/>
      <c r="AE465" s="16"/>
    </row>
    <row r="466" ht="15.75" customHeight="1">
      <c r="A466" s="16"/>
      <c r="B466" s="16"/>
      <c r="C466" s="16"/>
      <c r="D466" s="16"/>
      <c r="E466" s="16"/>
      <c r="F466" s="16"/>
      <c r="G466" s="16"/>
      <c r="H466" s="16"/>
      <c r="I466" s="195"/>
      <c r="J466" s="10"/>
      <c r="K466" s="16"/>
      <c r="L466" s="16"/>
      <c r="M466" s="10"/>
      <c r="N466" s="16"/>
      <c r="O466" s="10"/>
      <c r="P466" s="10"/>
      <c r="Q466" s="16"/>
      <c r="R466" s="16"/>
      <c r="S466" s="10"/>
      <c r="T466" s="16"/>
      <c r="U466" s="16"/>
      <c r="V466" s="16"/>
      <c r="W466" s="16"/>
      <c r="X466" s="16"/>
      <c r="Y466" s="16"/>
      <c r="Z466" s="16"/>
      <c r="AA466" s="16"/>
      <c r="AB466" s="16"/>
      <c r="AC466" s="16"/>
      <c r="AD466" s="16"/>
      <c r="AE466" s="16"/>
    </row>
    <row r="467" ht="15.75" customHeight="1">
      <c r="A467" s="16"/>
      <c r="B467" s="16"/>
      <c r="C467" s="16"/>
      <c r="D467" s="16"/>
      <c r="E467" s="16"/>
      <c r="F467" s="16"/>
      <c r="G467" s="16"/>
      <c r="H467" s="16"/>
      <c r="I467" s="195"/>
      <c r="J467" s="10"/>
      <c r="K467" s="16"/>
      <c r="L467" s="16"/>
      <c r="M467" s="10"/>
      <c r="N467" s="16"/>
      <c r="O467" s="10"/>
      <c r="P467" s="10"/>
      <c r="Q467" s="16"/>
      <c r="R467" s="16"/>
      <c r="S467" s="10"/>
      <c r="T467" s="16"/>
      <c r="U467" s="16"/>
      <c r="V467" s="16"/>
      <c r="W467" s="16"/>
      <c r="X467" s="16"/>
      <c r="Y467" s="16"/>
      <c r="Z467" s="16"/>
      <c r="AA467" s="16"/>
      <c r="AB467" s="16"/>
      <c r="AC467" s="16"/>
      <c r="AD467" s="16"/>
      <c r="AE467" s="16"/>
    </row>
    <row r="468" ht="15.75" customHeight="1">
      <c r="A468" s="16"/>
      <c r="B468" s="16"/>
      <c r="C468" s="16"/>
      <c r="D468" s="16"/>
      <c r="E468" s="16"/>
      <c r="F468" s="16"/>
      <c r="G468" s="16"/>
      <c r="H468" s="16"/>
      <c r="I468" s="195"/>
      <c r="J468" s="10"/>
      <c r="K468" s="16"/>
      <c r="L468" s="16"/>
      <c r="M468" s="10"/>
      <c r="N468" s="16"/>
      <c r="O468" s="10"/>
      <c r="P468" s="10"/>
      <c r="Q468" s="16"/>
      <c r="R468" s="16"/>
      <c r="S468" s="10"/>
      <c r="T468" s="16"/>
      <c r="U468" s="16"/>
      <c r="V468" s="16"/>
      <c r="W468" s="16"/>
      <c r="X468" s="16"/>
      <c r="Y468" s="16"/>
      <c r="Z468" s="16"/>
      <c r="AA468" s="16"/>
      <c r="AB468" s="16"/>
      <c r="AC468" s="16"/>
      <c r="AD468" s="16"/>
      <c r="AE468" s="16"/>
    </row>
    <row r="469" ht="15.75" customHeight="1">
      <c r="A469" s="16"/>
      <c r="B469" s="16"/>
      <c r="C469" s="16"/>
      <c r="D469" s="16"/>
      <c r="E469" s="16"/>
      <c r="F469" s="16"/>
      <c r="G469" s="16"/>
      <c r="H469" s="16"/>
      <c r="I469" s="195"/>
      <c r="J469" s="10"/>
      <c r="K469" s="16"/>
      <c r="L469" s="16"/>
      <c r="M469" s="10"/>
      <c r="N469" s="16"/>
      <c r="O469" s="10"/>
      <c r="P469" s="10"/>
      <c r="Q469" s="16"/>
      <c r="R469" s="16"/>
      <c r="S469" s="10"/>
      <c r="T469" s="16"/>
      <c r="U469" s="16"/>
      <c r="V469" s="16"/>
      <c r="W469" s="16"/>
      <c r="X469" s="16"/>
      <c r="Y469" s="16"/>
      <c r="Z469" s="16"/>
      <c r="AA469" s="16"/>
      <c r="AB469" s="16"/>
      <c r="AC469" s="16"/>
      <c r="AD469" s="16"/>
      <c r="AE469" s="16"/>
    </row>
    <row r="470" ht="15.75" customHeight="1">
      <c r="A470" s="16"/>
      <c r="B470" s="16"/>
      <c r="C470" s="16"/>
      <c r="D470" s="16"/>
      <c r="E470" s="16"/>
      <c r="F470" s="16"/>
      <c r="G470" s="16"/>
      <c r="H470" s="16"/>
      <c r="I470" s="195"/>
      <c r="J470" s="10"/>
      <c r="K470" s="16"/>
      <c r="L470" s="16"/>
      <c r="M470" s="10"/>
      <c r="N470" s="16"/>
      <c r="O470" s="10"/>
      <c r="P470" s="10"/>
      <c r="Q470" s="16"/>
      <c r="R470" s="16"/>
      <c r="S470" s="10"/>
      <c r="T470" s="16"/>
      <c r="U470" s="16"/>
      <c r="V470" s="16"/>
      <c r="W470" s="16"/>
      <c r="X470" s="16"/>
      <c r="Y470" s="16"/>
      <c r="Z470" s="16"/>
      <c r="AA470" s="16"/>
      <c r="AB470" s="16"/>
      <c r="AC470" s="16"/>
      <c r="AD470" s="16"/>
      <c r="AE470" s="16"/>
    </row>
    <row r="471" ht="15.75" customHeight="1">
      <c r="A471" s="16"/>
      <c r="B471" s="16"/>
      <c r="C471" s="16"/>
      <c r="D471" s="16"/>
      <c r="E471" s="16"/>
      <c r="F471" s="16"/>
      <c r="G471" s="16"/>
      <c r="H471" s="16"/>
      <c r="I471" s="195"/>
      <c r="J471" s="10"/>
      <c r="K471" s="16"/>
      <c r="L471" s="16"/>
      <c r="M471" s="10"/>
      <c r="N471" s="16"/>
      <c r="O471" s="10"/>
      <c r="P471" s="10"/>
      <c r="Q471" s="16"/>
      <c r="R471" s="16"/>
      <c r="S471" s="10"/>
      <c r="T471" s="16"/>
      <c r="U471" s="16"/>
      <c r="V471" s="16"/>
      <c r="W471" s="16"/>
      <c r="X471" s="16"/>
      <c r="Y471" s="16"/>
      <c r="Z471" s="16"/>
      <c r="AA471" s="16"/>
      <c r="AB471" s="16"/>
      <c r="AC471" s="16"/>
      <c r="AD471" s="16"/>
      <c r="AE471" s="16"/>
    </row>
    <row r="472" ht="15.75" customHeight="1">
      <c r="A472" s="16"/>
      <c r="B472" s="16"/>
      <c r="C472" s="16"/>
      <c r="D472" s="16"/>
      <c r="E472" s="16"/>
      <c r="F472" s="16"/>
      <c r="G472" s="16"/>
      <c r="H472" s="16"/>
      <c r="I472" s="195"/>
      <c r="J472" s="10"/>
      <c r="K472" s="16"/>
      <c r="L472" s="16"/>
      <c r="M472" s="10"/>
      <c r="N472" s="16"/>
      <c r="O472" s="10"/>
      <c r="P472" s="10"/>
      <c r="Q472" s="16"/>
      <c r="R472" s="16"/>
      <c r="S472" s="10"/>
      <c r="T472" s="16"/>
      <c r="U472" s="16"/>
      <c r="V472" s="16"/>
      <c r="W472" s="16"/>
      <c r="X472" s="16"/>
      <c r="Y472" s="16"/>
      <c r="Z472" s="16"/>
      <c r="AA472" s="16"/>
      <c r="AB472" s="16"/>
      <c r="AC472" s="16"/>
      <c r="AD472" s="16"/>
      <c r="AE472" s="16"/>
    </row>
    <row r="473" ht="15.75" customHeight="1">
      <c r="A473" s="16"/>
      <c r="B473" s="16"/>
      <c r="C473" s="16"/>
      <c r="D473" s="16"/>
      <c r="E473" s="16"/>
      <c r="F473" s="16"/>
      <c r="G473" s="16"/>
      <c r="H473" s="16"/>
      <c r="I473" s="195"/>
      <c r="J473" s="10"/>
      <c r="K473" s="16"/>
      <c r="L473" s="16"/>
      <c r="M473" s="10"/>
      <c r="N473" s="16"/>
      <c r="O473" s="10"/>
      <c r="P473" s="10"/>
      <c r="Q473" s="16"/>
      <c r="R473" s="16"/>
      <c r="S473" s="10"/>
      <c r="T473" s="16"/>
      <c r="U473" s="16"/>
      <c r="V473" s="16"/>
      <c r="W473" s="16"/>
      <c r="X473" s="16"/>
      <c r="Y473" s="16"/>
      <c r="Z473" s="16"/>
      <c r="AA473" s="16"/>
      <c r="AB473" s="16"/>
      <c r="AC473" s="16"/>
      <c r="AD473" s="16"/>
      <c r="AE473" s="16"/>
    </row>
    <row r="474" ht="15.75" customHeight="1">
      <c r="A474" s="16"/>
      <c r="B474" s="16"/>
      <c r="C474" s="16"/>
      <c r="D474" s="16"/>
      <c r="E474" s="16"/>
      <c r="F474" s="16"/>
      <c r="G474" s="16"/>
      <c r="H474" s="16"/>
      <c r="I474" s="195"/>
      <c r="J474" s="10"/>
      <c r="K474" s="16"/>
      <c r="L474" s="16"/>
      <c r="M474" s="10"/>
      <c r="N474" s="16"/>
      <c r="O474" s="10"/>
      <c r="P474" s="10"/>
      <c r="Q474" s="16"/>
      <c r="R474" s="16"/>
      <c r="S474" s="10"/>
      <c r="T474" s="16"/>
      <c r="U474" s="16"/>
      <c r="V474" s="16"/>
      <c r="W474" s="16"/>
      <c r="X474" s="16"/>
      <c r="Y474" s="16"/>
      <c r="Z474" s="16"/>
      <c r="AA474" s="16"/>
      <c r="AB474" s="16"/>
      <c r="AC474" s="16"/>
      <c r="AD474" s="16"/>
      <c r="AE474" s="16"/>
    </row>
    <row r="475" ht="15.75" customHeight="1">
      <c r="A475" s="16"/>
      <c r="B475" s="16"/>
      <c r="C475" s="16"/>
      <c r="D475" s="16"/>
      <c r="E475" s="16"/>
      <c r="F475" s="16"/>
      <c r="G475" s="16"/>
      <c r="H475" s="16"/>
      <c r="I475" s="195"/>
      <c r="J475" s="10"/>
      <c r="K475" s="16"/>
      <c r="L475" s="16"/>
      <c r="M475" s="10"/>
      <c r="N475" s="16"/>
      <c r="O475" s="10"/>
      <c r="P475" s="10"/>
      <c r="Q475" s="16"/>
      <c r="R475" s="16"/>
      <c r="S475" s="10"/>
      <c r="T475" s="16"/>
      <c r="U475" s="16"/>
      <c r="V475" s="16"/>
      <c r="W475" s="16"/>
      <c r="X475" s="16"/>
      <c r="Y475" s="16"/>
      <c r="Z475" s="16"/>
      <c r="AA475" s="16"/>
      <c r="AB475" s="16"/>
      <c r="AC475" s="16"/>
      <c r="AD475" s="16"/>
      <c r="AE475" s="16"/>
    </row>
    <row r="476" ht="15.75" customHeight="1">
      <c r="A476" s="16"/>
      <c r="B476" s="16"/>
      <c r="C476" s="16"/>
      <c r="D476" s="16"/>
      <c r="E476" s="16"/>
      <c r="F476" s="16"/>
      <c r="G476" s="16"/>
      <c r="H476" s="16"/>
      <c r="I476" s="195"/>
      <c r="J476" s="10"/>
      <c r="K476" s="16"/>
      <c r="L476" s="16"/>
      <c r="M476" s="10"/>
      <c r="N476" s="16"/>
      <c r="O476" s="10"/>
      <c r="P476" s="10"/>
      <c r="Q476" s="16"/>
      <c r="R476" s="16"/>
      <c r="S476" s="10"/>
      <c r="T476" s="16"/>
      <c r="U476" s="16"/>
      <c r="V476" s="16"/>
      <c r="W476" s="16"/>
      <c r="X476" s="16"/>
      <c r="Y476" s="16"/>
      <c r="Z476" s="16"/>
      <c r="AA476" s="16"/>
      <c r="AB476" s="16"/>
      <c r="AC476" s="16"/>
      <c r="AD476" s="16"/>
      <c r="AE476" s="16"/>
    </row>
    <row r="477" ht="15.75" customHeight="1">
      <c r="A477" s="16"/>
      <c r="B477" s="16"/>
      <c r="C477" s="16"/>
      <c r="D477" s="16"/>
      <c r="E477" s="16"/>
      <c r="F477" s="16"/>
      <c r="G477" s="16"/>
      <c r="H477" s="16"/>
      <c r="I477" s="195"/>
      <c r="J477" s="10"/>
      <c r="K477" s="16"/>
      <c r="L477" s="16"/>
      <c r="M477" s="10"/>
      <c r="N477" s="16"/>
      <c r="O477" s="10"/>
      <c r="P477" s="10"/>
      <c r="Q477" s="16"/>
      <c r="R477" s="16"/>
      <c r="S477" s="10"/>
      <c r="T477" s="16"/>
      <c r="U477" s="16"/>
      <c r="V477" s="16"/>
      <c r="W477" s="16"/>
      <c r="X477" s="16"/>
      <c r="Y477" s="16"/>
      <c r="Z477" s="16"/>
      <c r="AA477" s="16"/>
      <c r="AB477" s="16"/>
      <c r="AC477" s="16"/>
      <c r="AD477" s="16"/>
      <c r="AE477" s="16"/>
    </row>
    <row r="478" ht="15.75" customHeight="1">
      <c r="A478" s="16"/>
      <c r="B478" s="16"/>
      <c r="C478" s="16"/>
      <c r="D478" s="16"/>
      <c r="E478" s="16"/>
      <c r="F478" s="16"/>
      <c r="G478" s="16"/>
      <c r="H478" s="16"/>
      <c r="I478" s="195"/>
      <c r="J478" s="10"/>
      <c r="K478" s="16"/>
      <c r="L478" s="16"/>
      <c r="M478" s="10"/>
      <c r="N478" s="16"/>
      <c r="O478" s="10"/>
      <c r="P478" s="10"/>
      <c r="Q478" s="16"/>
      <c r="R478" s="16"/>
      <c r="S478" s="10"/>
      <c r="T478" s="16"/>
      <c r="U478" s="16"/>
      <c r="V478" s="16"/>
      <c r="W478" s="16"/>
      <c r="X478" s="16"/>
      <c r="Y478" s="16"/>
      <c r="Z478" s="16"/>
      <c r="AA478" s="16"/>
      <c r="AB478" s="16"/>
      <c r="AC478" s="16"/>
      <c r="AD478" s="16"/>
      <c r="AE478" s="16"/>
    </row>
    <row r="479" ht="15.75" customHeight="1">
      <c r="A479" s="16"/>
      <c r="B479" s="16"/>
      <c r="C479" s="16"/>
      <c r="D479" s="16"/>
      <c r="E479" s="16"/>
      <c r="F479" s="16"/>
      <c r="G479" s="16"/>
      <c r="H479" s="16"/>
      <c r="I479" s="195"/>
      <c r="J479" s="10"/>
      <c r="K479" s="16"/>
      <c r="L479" s="16"/>
      <c r="M479" s="10"/>
      <c r="N479" s="16"/>
      <c r="O479" s="10"/>
      <c r="P479" s="10"/>
      <c r="Q479" s="16"/>
      <c r="R479" s="16"/>
      <c r="S479" s="10"/>
      <c r="T479" s="16"/>
      <c r="U479" s="16"/>
      <c r="V479" s="16"/>
      <c r="W479" s="16"/>
      <c r="X479" s="16"/>
      <c r="Y479" s="16"/>
      <c r="Z479" s="16"/>
      <c r="AA479" s="16"/>
      <c r="AB479" s="16"/>
      <c r="AC479" s="16"/>
      <c r="AD479" s="16"/>
      <c r="AE479" s="16"/>
    </row>
    <row r="480" ht="15.75" customHeight="1">
      <c r="A480" s="16"/>
      <c r="B480" s="16"/>
      <c r="C480" s="16"/>
      <c r="D480" s="16"/>
      <c r="E480" s="16"/>
      <c r="F480" s="16"/>
      <c r="G480" s="16"/>
      <c r="H480" s="16"/>
      <c r="I480" s="195"/>
      <c r="J480" s="10"/>
      <c r="K480" s="16"/>
      <c r="L480" s="16"/>
      <c r="M480" s="10"/>
      <c r="N480" s="16"/>
      <c r="O480" s="10"/>
      <c r="P480" s="10"/>
      <c r="Q480" s="16"/>
      <c r="R480" s="16"/>
      <c r="S480" s="10"/>
      <c r="T480" s="16"/>
      <c r="U480" s="16"/>
      <c r="V480" s="16"/>
      <c r="W480" s="16"/>
      <c r="X480" s="16"/>
      <c r="Y480" s="16"/>
      <c r="Z480" s="16"/>
      <c r="AA480" s="16"/>
      <c r="AB480" s="16"/>
      <c r="AC480" s="16"/>
      <c r="AD480" s="16"/>
      <c r="AE480" s="16"/>
    </row>
    <row r="481" ht="15.75" customHeight="1">
      <c r="A481" s="16"/>
      <c r="B481" s="16"/>
      <c r="C481" s="16"/>
      <c r="D481" s="16"/>
      <c r="E481" s="16"/>
      <c r="F481" s="16"/>
      <c r="G481" s="16"/>
      <c r="H481" s="16"/>
      <c r="I481" s="195"/>
      <c r="J481" s="10"/>
      <c r="K481" s="16"/>
      <c r="L481" s="16"/>
      <c r="M481" s="10"/>
      <c r="N481" s="16"/>
      <c r="O481" s="10"/>
      <c r="P481" s="10"/>
      <c r="Q481" s="16"/>
      <c r="R481" s="16"/>
      <c r="S481" s="10"/>
      <c r="T481" s="16"/>
      <c r="U481" s="16"/>
      <c r="V481" s="16"/>
      <c r="W481" s="16"/>
      <c r="X481" s="16"/>
      <c r="Y481" s="16"/>
      <c r="Z481" s="16"/>
      <c r="AA481" s="16"/>
      <c r="AB481" s="16"/>
      <c r="AC481" s="16"/>
      <c r="AD481" s="16"/>
      <c r="AE481" s="16"/>
    </row>
    <row r="482" ht="15.75" customHeight="1">
      <c r="A482" s="16"/>
      <c r="B482" s="16"/>
      <c r="C482" s="16"/>
      <c r="D482" s="16"/>
      <c r="E482" s="16"/>
      <c r="F482" s="16"/>
      <c r="G482" s="16"/>
      <c r="H482" s="16"/>
      <c r="I482" s="195"/>
      <c r="J482" s="10"/>
      <c r="K482" s="16"/>
      <c r="L482" s="16"/>
      <c r="M482" s="10"/>
      <c r="N482" s="16"/>
      <c r="O482" s="10"/>
      <c r="P482" s="10"/>
      <c r="Q482" s="16"/>
      <c r="R482" s="16"/>
      <c r="S482" s="10"/>
      <c r="T482" s="16"/>
      <c r="U482" s="16"/>
      <c r="V482" s="16"/>
      <c r="W482" s="16"/>
      <c r="X482" s="16"/>
      <c r="Y482" s="16"/>
      <c r="Z482" s="16"/>
      <c r="AA482" s="16"/>
      <c r="AB482" s="16"/>
      <c r="AC482" s="16"/>
      <c r="AD482" s="16"/>
      <c r="AE482" s="16"/>
    </row>
    <row r="483" ht="15.75" customHeight="1">
      <c r="A483" s="16"/>
      <c r="B483" s="16"/>
      <c r="C483" s="16"/>
      <c r="D483" s="16"/>
      <c r="E483" s="16"/>
      <c r="F483" s="16"/>
      <c r="G483" s="16"/>
      <c r="H483" s="16"/>
      <c r="I483" s="195"/>
      <c r="J483" s="10"/>
      <c r="K483" s="16"/>
      <c r="L483" s="16"/>
      <c r="M483" s="10"/>
      <c r="N483" s="16"/>
      <c r="O483" s="10"/>
      <c r="P483" s="10"/>
      <c r="Q483" s="16"/>
      <c r="R483" s="16"/>
      <c r="S483" s="10"/>
      <c r="T483" s="16"/>
      <c r="U483" s="16"/>
      <c r="V483" s="16"/>
      <c r="W483" s="16"/>
      <c r="X483" s="16"/>
      <c r="Y483" s="16"/>
      <c r="Z483" s="16"/>
      <c r="AA483" s="16"/>
      <c r="AB483" s="16"/>
      <c r="AC483" s="16"/>
      <c r="AD483" s="16"/>
      <c r="AE483" s="16"/>
    </row>
    <row r="484" ht="15.75" customHeight="1">
      <c r="A484" s="16"/>
      <c r="B484" s="16"/>
      <c r="C484" s="16"/>
      <c r="D484" s="16"/>
      <c r="E484" s="16"/>
      <c r="F484" s="16"/>
      <c r="G484" s="16"/>
      <c r="H484" s="16"/>
      <c r="I484" s="195"/>
      <c r="J484" s="10"/>
      <c r="K484" s="16"/>
      <c r="L484" s="16"/>
      <c r="M484" s="10"/>
      <c r="N484" s="16"/>
      <c r="O484" s="10"/>
      <c r="P484" s="10"/>
      <c r="Q484" s="16"/>
      <c r="R484" s="16"/>
      <c r="S484" s="10"/>
      <c r="T484" s="16"/>
      <c r="U484" s="16"/>
      <c r="V484" s="16"/>
      <c r="W484" s="16"/>
      <c r="X484" s="16"/>
      <c r="Y484" s="16"/>
      <c r="Z484" s="16"/>
      <c r="AA484" s="16"/>
      <c r="AB484" s="16"/>
      <c r="AC484" s="16"/>
      <c r="AD484" s="16"/>
      <c r="AE484" s="16"/>
    </row>
    <row r="485" ht="15.75" customHeight="1">
      <c r="A485" s="16"/>
      <c r="B485" s="16"/>
      <c r="C485" s="16"/>
      <c r="D485" s="16"/>
      <c r="E485" s="16"/>
      <c r="F485" s="16"/>
      <c r="G485" s="16"/>
      <c r="H485" s="16"/>
      <c r="I485" s="195"/>
      <c r="J485" s="10"/>
      <c r="K485" s="16"/>
      <c r="L485" s="16"/>
      <c r="M485" s="10"/>
      <c r="N485" s="16"/>
      <c r="O485" s="10"/>
      <c r="P485" s="10"/>
      <c r="Q485" s="16"/>
      <c r="R485" s="16"/>
      <c r="S485" s="10"/>
      <c r="T485" s="16"/>
      <c r="U485" s="16"/>
      <c r="V485" s="16"/>
      <c r="W485" s="16"/>
      <c r="X485" s="16"/>
      <c r="Y485" s="16"/>
      <c r="Z485" s="16"/>
      <c r="AA485" s="16"/>
      <c r="AB485" s="16"/>
      <c r="AC485" s="16"/>
      <c r="AD485" s="16"/>
      <c r="AE485" s="16"/>
    </row>
    <row r="486" ht="15.75" customHeight="1">
      <c r="A486" s="16"/>
      <c r="B486" s="16"/>
      <c r="C486" s="16"/>
      <c r="D486" s="16"/>
      <c r="E486" s="16"/>
      <c r="F486" s="16"/>
      <c r="G486" s="16"/>
      <c r="H486" s="16"/>
      <c r="I486" s="195"/>
      <c r="J486" s="10"/>
      <c r="K486" s="16"/>
      <c r="L486" s="16"/>
      <c r="M486" s="10"/>
      <c r="N486" s="16"/>
      <c r="O486" s="10"/>
      <c r="P486" s="10"/>
      <c r="Q486" s="16"/>
      <c r="R486" s="16"/>
      <c r="S486" s="10"/>
      <c r="T486" s="16"/>
      <c r="U486" s="16"/>
      <c r="V486" s="16"/>
      <c r="W486" s="16"/>
      <c r="X486" s="16"/>
      <c r="Y486" s="16"/>
      <c r="Z486" s="16"/>
      <c r="AA486" s="16"/>
      <c r="AB486" s="16"/>
      <c r="AC486" s="16"/>
      <c r="AD486" s="16"/>
      <c r="AE486" s="16"/>
    </row>
    <row r="487" ht="15.75" customHeight="1">
      <c r="A487" s="16"/>
      <c r="B487" s="16"/>
      <c r="C487" s="16"/>
      <c r="D487" s="16"/>
      <c r="E487" s="16"/>
      <c r="F487" s="16"/>
      <c r="G487" s="16"/>
      <c r="H487" s="16"/>
      <c r="I487" s="195"/>
      <c r="J487" s="10"/>
      <c r="K487" s="16"/>
      <c r="L487" s="16"/>
      <c r="M487" s="10"/>
      <c r="N487" s="16"/>
      <c r="O487" s="10"/>
      <c r="P487" s="10"/>
      <c r="Q487" s="16"/>
      <c r="R487" s="16"/>
      <c r="S487" s="10"/>
      <c r="T487" s="16"/>
      <c r="U487" s="16"/>
      <c r="V487" s="16"/>
      <c r="W487" s="16"/>
      <c r="X487" s="16"/>
      <c r="Y487" s="16"/>
      <c r="Z487" s="16"/>
      <c r="AA487" s="16"/>
      <c r="AB487" s="16"/>
      <c r="AC487" s="16"/>
      <c r="AD487" s="16"/>
      <c r="AE487" s="16"/>
    </row>
    <row r="488" ht="15.75" customHeight="1">
      <c r="A488" s="16"/>
      <c r="B488" s="16"/>
      <c r="C488" s="16"/>
      <c r="D488" s="16"/>
      <c r="E488" s="16"/>
      <c r="F488" s="16"/>
      <c r="G488" s="16"/>
      <c r="H488" s="16"/>
      <c r="I488" s="195"/>
      <c r="J488" s="10"/>
      <c r="K488" s="16"/>
      <c r="L488" s="16"/>
      <c r="M488" s="10"/>
      <c r="N488" s="16"/>
      <c r="O488" s="10"/>
      <c r="P488" s="10"/>
      <c r="Q488" s="16"/>
      <c r="R488" s="16"/>
      <c r="S488" s="10"/>
      <c r="T488" s="16"/>
      <c r="U488" s="16"/>
      <c r="V488" s="16"/>
      <c r="W488" s="16"/>
      <c r="X488" s="16"/>
      <c r="Y488" s="16"/>
      <c r="Z488" s="16"/>
      <c r="AA488" s="16"/>
      <c r="AB488" s="16"/>
      <c r="AC488" s="16"/>
      <c r="AD488" s="16"/>
      <c r="AE488" s="16"/>
    </row>
    <row r="489" ht="15.75" customHeight="1">
      <c r="A489" s="16"/>
      <c r="B489" s="16"/>
      <c r="C489" s="16"/>
      <c r="D489" s="16"/>
      <c r="E489" s="16"/>
      <c r="F489" s="16"/>
      <c r="G489" s="16"/>
      <c r="H489" s="16"/>
      <c r="I489" s="195"/>
      <c r="J489" s="10"/>
      <c r="K489" s="16"/>
      <c r="L489" s="16"/>
      <c r="M489" s="10"/>
      <c r="N489" s="16"/>
      <c r="O489" s="10"/>
      <c r="P489" s="10"/>
      <c r="Q489" s="16"/>
      <c r="R489" s="16"/>
      <c r="S489" s="10"/>
      <c r="T489" s="16"/>
      <c r="U489" s="16"/>
      <c r="V489" s="16"/>
      <c r="W489" s="16"/>
      <c r="X489" s="16"/>
      <c r="Y489" s="16"/>
      <c r="Z489" s="16"/>
      <c r="AA489" s="16"/>
      <c r="AB489" s="16"/>
      <c r="AC489" s="16"/>
      <c r="AD489" s="16"/>
      <c r="AE489" s="16"/>
    </row>
    <row r="490" ht="15.75" customHeight="1">
      <c r="A490" s="16"/>
      <c r="B490" s="16"/>
      <c r="C490" s="16"/>
      <c r="D490" s="16"/>
      <c r="E490" s="16"/>
      <c r="F490" s="16"/>
      <c r="G490" s="16"/>
      <c r="H490" s="16"/>
      <c r="I490" s="195"/>
      <c r="J490" s="10"/>
      <c r="K490" s="16"/>
      <c r="L490" s="16"/>
      <c r="M490" s="10"/>
      <c r="N490" s="16"/>
      <c r="O490" s="10"/>
      <c r="P490" s="10"/>
      <c r="Q490" s="16"/>
      <c r="R490" s="16"/>
      <c r="S490" s="10"/>
      <c r="T490" s="16"/>
      <c r="U490" s="16"/>
      <c r="V490" s="16"/>
      <c r="W490" s="16"/>
      <c r="X490" s="16"/>
      <c r="Y490" s="16"/>
      <c r="Z490" s="16"/>
      <c r="AA490" s="16"/>
      <c r="AB490" s="16"/>
      <c r="AC490" s="16"/>
      <c r="AD490" s="16"/>
      <c r="AE490" s="16"/>
    </row>
    <row r="491" ht="15.75" customHeight="1">
      <c r="A491" s="16"/>
      <c r="B491" s="16"/>
      <c r="C491" s="16"/>
      <c r="D491" s="16"/>
      <c r="E491" s="16"/>
      <c r="F491" s="16"/>
      <c r="G491" s="16"/>
      <c r="H491" s="16"/>
      <c r="I491" s="195"/>
      <c r="J491" s="10"/>
      <c r="K491" s="16"/>
      <c r="L491" s="16"/>
      <c r="M491" s="10"/>
      <c r="N491" s="16"/>
      <c r="O491" s="10"/>
      <c r="P491" s="10"/>
      <c r="Q491" s="16"/>
      <c r="R491" s="16"/>
      <c r="S491" s="10"/>
      <c r="T491" s="16"/>
      <c r="U491" s="16"/>
      <c r="V491" s="16"/>
      <c r="W491" s="16"/>
      <c r="X491" s="16"/>
      <c r="Y491" s="16"/>
      <c r="Z491" s="16"/>
      <c r="AA491" s="16"/>
      <c r="AB491" s="16"/>
      <c r="AC491" s="16"/>
      <c r="AD491" s="16"/>
      <c r="AE491" s="16"/>
    </row>
    <row r="492" ht="15.75" customHeight="1">
      <c r="A492" s="16"/>
      <c r="B492" s="16"/>
      <c r="C492" s="16"/>
      <c r="D492" s="16"/>
      <c r="E492" s="16"/>
      <c r="F492" s="16"/>
      <c r="G492" s="16"/>
      <c r="H492" s="16"/>
      <c r="I492" s="195"/>
      <c r="J492" s="10"/>
      <c r="K492" s="16"/>
      <c r="L492" s="16"/>
      <c r="M492" s="10"/>
      <c r="N492" s="16"/>
      <c r="O492" s="10"/>
      <c r="P492" s="10"/>
      <c r="Q492" s="16"/>
      <c r="R492" s="16"/>
      <c r="S492" s="10"/>
      <c r="T492" s="16"/>
      <c r="U492" s="16"/>
      <c r="V492" s="16"/>
      <c r="W492" s="16"/>
      <c r="X492" s="16"/>
      <c r="Y492" s="16"/>
      <c r="Z492" s="16"/>
      <c r="AA492" s="16"/>
      <c r="AB492" s="16"/>
      <c r="AC492" s="16"/>
      <c r="AD492" s="16"/>
      <c r="AE492" s="16"/>
    </row>
    <row r="493" ht="15.75" customHeight="1">
      <c r="A493" s="16"/>
      <c r="B493" s="16"/>
      <c r="C493" s="16"/>
      <c r="D493" s="16"/>
      <c r="E493" s="16"/>
      <c r="F493" s="16"/>
      <c r="G493" s="16"/>
      <c r="H493" s="16"/>
      <c r="I493" s="195"/>
      <c r="J493" s="10"/>
      <c r="K493" s="16"/>
      <c r="L493" s="16"/>
      <c r="M493" s="10"/>
      <c r="N493" s="16"/>
      <c r="O493" s="10"/>
      <c r="P493" s="10"/>
      <c r="Q493" s="16"/>
      <c r="R493" s="16"/>
      <c r="S493" s="10"/>
      <c r="T493" s="16"/>
      <c r="U493" s="16"/>
      <c r="V493" s="16"/>
      <c r="W493" s="16"/>
      <c r="X493" s="16"/>
      <c r="Y493" s="16"/>
      <c r="Z493" s="16"/>
      <c r="AA493" s="16"/>
      <c r="AB493" s="16"/>
      <c r="AC493" s="16"/>
      <c r="AD493" s="16"/>
      <c r="AE493" s="16"/>
    </row>
    <row r="494" ht="15.75" customHeight="1">
      <c r="A494" s="16"/>
      <c r="B494" s="16"/>
      <c r="C494" s="16"/>
      <c r="D494" s="16"/>
      <c r="E494" s="16"/>
      <c r="F494" s="16"/>
      <c r="G494" s="16"/>
      <c r="H494" s="16"/>
      <c r="I494" s="195"/>
      <c r="J494" s="10"/>
      <c r="K494" s="16"/>
      <c r="L494" s="16"/>
      <c r="M494" s="10"/>
      <c r="N494" s="16"/>
      <c r="O494" s="10"/>
      <c r="P494" s="10"/>
      <c r="Q494" s="16"/>
      <c r="R494" s="16"/>
      <c r="S494" s="10"/>
      <c r="T494" s="16"/>
      <c r="U494" s="16"/>
      <c r="V494" s="16"/>
      <c r="W494" s="16"/>
      <c r="X494" s="16"/>
      <c r="Y494" s="16"/>
      <c r="Z494" s="16"/>
      <c r="AA494" s="16"/>
      <c r="AB494" s="16"/>
      <c r="AC494" s="16"/>
      <c r="AD494" s="16"/>
      <c r="AE494" s="16"/>
    </row>
    <row r="495" ht="15.75" customHeight="1">
      <c r="A495" s="16"/>
      <c r="B495" s="16"/>
      <c r="C495" s="16"/>
      <c r="D495" s="16"/>
      <c r="E495" s="16"/>
      <c r="F495" s="16"/>
      <c r="G495" s="16"/>
      <c r="H495" s="16"/>
      <c r="I495" s="195"/>
      <c r="J495" s="10"/>
      <c r="K495" s="16"/>
      <c r="L495" s="16"/>
      <c r="M495" s="10"/>
      <c r="N495" s="16"/>
      <c r="O495" s="10"/>
      <c r="P495" s="10"/>
      <c r="Q495" s="16"/>
      <c r="R495" s="16"/>
      <c r="S495" s="10"/>
      <c r="T495" s="16"/>
      <c r="U495" s="16"/>
      <c r="V495" s="16"/>
      <c r="W495" s="16"/>
      <c r="X495" s="16"/>
      <c r="Y495" s="16"/>
      <c r="Z495" s="16"/>
      <c r="AA495" s="16"/>
      <c r="AB495" s="16"/>
      <c r="AC495" s="16"/>
      <c r="AD495" s="16"/>
      <c r="AE495" s="16"/>
    </row>
    <row r="496" ht="15.75" customHeight="1">
      <c r="A496" s="16"/>
      <c r="B496" s="16"/>
      <c r="C496" s="16"/>
      <c r="D496" s="16"/>
      <c r="E496" s="16"/>
      <c r="F496" s="16"/>
      <c r="G496" s="16"/>
      <c r="H496" s="16"/>
      <c r="I496" s="195"/>
      <c r="J496" s="10"/>
      <c r="K496" s="16"/>
      <c r="L496" s="16"/>
      <c r="M496" s="10"/>
      <c r="N496" s="16"/>
      <c r="O496" s="10"/>
      <c r="P496" s="10"/>
      <c r="Q496" s="16"/>
      <c r="R496" s="16"/>
      <c r="S496" s="10"/>
      <c r="T496" s="16"/>
      <c r="U496" s="16"/>
      <c r="V496" s="16"/>
      <c r="W496" s="16"/>
      <c r="X496" s="16"/>
      <c r="Y496" s="16"/>
      <c r="Z496" s="16"/>
      <c r="AA496" s="16"/>
      <c r="AB496" s="16"/>
      <c r="AC496" s="16"/>
      <c r="AD496" s="16"/>
      <c r="AE496" s="16"/>
    </row>
    <row r="497" ht="15.75" customHeight="1">
      <c r="A497" s="16"/>
      <c r="B497" s="16"/>
      <c r="C497" s="16"/>
      <c r="D497" s="16"/>
      <c r="E497" s="16"/>
      <c r="F497" s="16"/>
      <c r="G497" s="16"/>
      <c r="H497" s="16"/>
      <c r="I497" s="195"/>
      <c r="J497" s="10"/>
      <c r="K497" s="16"/>
      <c r="L497" s="16"/>
      <c r="M497" s="10"/>
      <c r="N497" s="16"/>
      <c r="O497" s="10"/>
      <c r="P497" s="10"/>
      <c r="Q497" s="16"/>
      <c r="R497" s="16"/>
      <c r="S497" s="10"/>
      <c r="T497" s="16"/>
      <c r="U497" s="16"/>
      <c r="V497" s="16"/>
      <c r="W497" s="16"/>
      <c r="X497" s="16"/>
      <c r="Y497" s="16"/>
      <c r="Z497" s="16"/>
      <c r="AA497" s="16"/>
      <c r="AB497" s="16"/>
      <c r="AC497" s="16"/>
      <c r="AD497" s="16"/>
      <c r="AE497" s="16"/>
    </row>
    <row r="498" ht="15.75" customHeight="1">
      <c r="A498" s="16"/>
      <c r="B498" s="16"/>
      <c r="C498" s="16"/>
      <c r="D498" s="16"/>
      <c r="E498" s="16"/>
      <c r="F498" s="16"/>
      <c r="G498" s="16"/>
      <c r="H498" s="16"/>
      <c r="I498" s="195"/>
      <c r="J498" s="10"/>
      <c r="K498" s="16"/>
      <c r="L498" s="16"/>
      <c r="M498" s="10"/>
      <c r="N498" s="16"/>
      <c r="O498" s="10"/>
      <c r="P498" s="10"/>
      <c r="Q498" s="16"/>
      <c r="R498" s="16"/>
      <c r="S498" s="10"/>
      <c r="T498" s="16"/>
      <c r="U498" s="16"/>
      <c r="V498" s="16"/>
      <c r="W498" s="16"/>
      <c r="X498" s="16"/>
      <c r="Y498" s="16"/>
      <c r="Z498" s="16"/>
      <c r="AA498" s="16"/>
      <c r="AB498" s="16"/>
      <c r="AC498" s="16"/>
      <c r="AD498" s="16"/>
      <c r="AE498" s="16"/>
    </row>
    <row r="499" ht="15.75" customHeight="1">
      <c r="A499" s="16"/>
      <c r="B499" s="16"/>
      <c r="C499" s="16"/>
      <c r="D499" s="16"/>
      <c r="E499" s="16"/>
      <c r="F499" s="16"/>
      <c r="G499" s="16"/>
      <c r="H499" s="16"/>
      <c r="I499" s="195"/>
      <c r="J499" s="10"/>
      <c r="K499" s="16"/>
      <c r="L499" s="16"/>
      <c r="M499" s="10"/>
      <c r="N499" s="16"/>
      <c r="O499" s="10"/>
      <c r="P499" s="10"/>
      <c r="Q499" s="16"/>
      <c r="R499" s="16"/>
      <c r="S499" s="10"/>
      <c r="T499" s="16"/>
      <c r="U499" s="16"/>
      <c r="V499" s="16"/>
      <c r="W499" s="16"/>
      <c r="X499" s="16"/>
      <c r="Y499" s="16"/>
      <c r="Z499" s="16"/>
      <c r="AA499" s="16"/>
      <c r="AB499" s="16"/>
      <c r="AC499" s="16"/>
      <c r="AD499" s="16"/>
      <c r="AE499" s="16"/>
    </row>
    <row r="500" ht="15.75" customHeight="1">
      <c r="A500" s="16"/>
      <c r="B500" s="16"/>
      <c r="C500" s="16"/>
      <c r="D500" s="16"/>
      <c r="E500" s="16"/>
      <c r="F500" s="16"/>
      <c r="G500" s="16"/>
      <c r="H500" s="16"/>
      <c r="I500" s="195"/>
      <c r="J500" s="10"/>
      <c r="K500" s="16"/>
      <c r="L500" s="16"/>
      <c r="M500" s="10"/>
      <c r="N500" s="16"/>
      <c r="O500" s="10"/>
      <c r="P500" s="10"/>
      <c r="Q500" s="16"/>
      <c r="R500" s="16"/>
      <c r="S500" s="10"/>
      <c r="T500" s="16"/>
      <c r="U500" s="16"/>
      <c r="V500" s="16"/>
      <c r="W500" s="16"/>
      <c r="X500" s="16"/>
      <c r="Y500" s="16"/>
      <c r="Z500" s="16"/>
      <c r="AA500" s="16"/>
      <c r="AB500" s="16"/>
      <c r="AC500" s="16"/>
      <c r="AD500" s="16"/>
      <c r="AE500" s="16"/>
    </row>
    <row r="501" ht="15.75" customHeight="1">
      <c r="A501" s="16"/>
      <c r="B501" s="16"/>
      <c r="C501" s="16"/>
      <c r="D501" s="16"/>
      <c r="E501" s="16"/>
      <c r="F501" s="16"/>
      <c r="G501" s="16"/>
      <c r="H501" s="16"/>
      <c r="I501" s="195"/>
      <c r="J501" s="10"/>
      <c r="K501" s="16"/>
      <c r="L501" s="16"/>
      <c r="M501" s="10"/>
      <c r="N501" s="16"/>
      <c r="O501" s="10"/>
      <c r="P501" s="10"/>
      <c r="Q501" s="16"/>
      <c r="R501" s="16"/>
      <c r="S501" s="10"/>
      <c r="T501" s="16"/>
      <c r="U501" s="16"/>
      <c r="V501" s="16"/>
      <c r="W501" s="16"/>
      <c r="X501" s="16"/>
      <c r="Y501" s="16"/>
      <c r="Z501" s="16"/>
      <c r="AA501" s="16"/>
      <c r="AB501" s="16"/>
      <c r="AC501" s="16"/>
      <c r="AD501" s="16"/>
      <c r="AE501" s="16"/>
    </row>
    <row r="502" ht="15.75" customHeight="1">
      <c r="A502" s="16"/>
      <c r="B502" s="16"/>
      <c r="C502" s="16"/>
      <c r="D502" s="16"/>
      <c r="E502" s="16"/>
      <c r="F502" s="16"/>
      <c r="G502" s="16"/>
      <c r="H502" s="16"/>
      <c r="I502" s="195"/>
      <c r="J502" s="10"/>
      <c r="K502" s="16"/>
      <c r="L502" s="16"/>
      <c r="M502" s="10"/>
      <c r="N502" s="16"/>
      <c r="O502" s="10"/>
      <c r="P502" s="10"/>
      <c r="Q502" s="16"/>
      <c r="R502" s="16"/>
      <c r="S502" s="10"/>
      <c r="T502" s="16"/>
      <c r="U502" s="16"/>
      <c r="V502" s="16"/>
      <c r="W502" s="16"/>
      <c r="X502" s="16"/>
      <c r="Y502" s="16"/>
      <c r="Z502" s="16"/>
      <c r="AA502" s="16"/>
      <c r="AB502" s="16"/>
      <c r="AC502" s="16"/>
      <c r="AD502" s="16"/>
      <c r="AE502" s="16"/>
    </row>
    <row r="503" ht="15.75" customHeight="1">
      <c r="A503" s="16"/>
      <c r="B503" s="16"/>
      <c r="C503" s="16"/>
      <c r="D503" s="16"/>
      <c r="E503" s="16"/>
      <c r="F503" s="16"/>
      <c r="G503" s="16"/>
      <c r="H503" s="16"/>
      <c r="I503" s="195"/>
      <c r="J503" s="10"/>
      <c r="K503" s="16"/>
      <c r="L503" s="16"/>
      <c r="M503" s="10"/>
      <c r="N503" s="16"/>
      <c r="O503" s="10"/>
      <c r="P503" s="10"/>
      <c r="Q503" s="16"/>
      <c r="R503" s="16"/>
      <c r="S503" s="10"/>
      <c r="T503" s="16"/>
      <c r="U503" s="16"/>
      <c r="V503" s="16"/>
      <c r="W503" s="16"/>
      <c r="X503" s="16"/>
      <c r="Y503" s="16"/>
      <c r="Z503" s="16"/>
      <c r="AA503" s="16"/>
      <c r="AB503" s="16"/>
      <c r="AC503" s="16"/>
      <c r="AD503" s="16"/>
      <c r="AE503" s="16"/>
    </row>
    <row r="504" ht="15.75" customHeight="1">
      <c r="A504" s="16"/>
      <c r="B504" s="16"/>
      <c r="C504" s="16"/>
      <c r="D504" s="16"/>
      <c r="E504" s="16"/>
      <c r="F504" s="16"/>
      <c r="G504" s="16"/>
      <c r="H504" s="16"/>
      <c r="I504" s="195"/>
      <c r="J504" s="10"/>
      <c r="K504" s="16"/>
      <c r="L504" s="16"/>
      <c r="M504" s="10"/>
      <c r="N504" s="16"/>
      <c r="O504" s="10"/>
      <c r="P504" s="10"/>
      <c r="Q504" s="16"/>
      <c r="R504" s="16"/>
      <c r="S504" s="10"/>
      <c r="T504" s="16"/>
      <c r="U504" s="16"/>
      <c r="V504" s="16"/>
      <c r="W504" s="16"/>
      <c r="X504" s="16"/>
      <c r="Y504" s="16"/>
      <c r="Z504" s="16"/>
      <c r="AA504" s="16"/>
      <c r="AB504" s="16"/>
      <c r="AC504" s="16"/>
      <c r="AD504" s="16"/>
      <c r="AE504" s="16"/>
    </row>
    <row r="505" ht="15.75" customHeight="1">
      <c r="A505" s="16"/>
      <c r="B505" s="16"/>
      <c r="C505" s="16"/>
      <c r="D505" s="16"/>
      <c r="E505" s="16"/>
      <c r="F505" s="16"/>
      <c r="G505" s="16"/>
      <c r="H505" s="16"/>
      <c r="I505" s="195"/>
      <c r="J505" s="10"/>
      <c r="K505" s="16"/>
      <c r="L505" s="16"/>
      <c r="M505" s="10"/>
      <c r="N505" s="16"/>
      <c r="O505" s="10"/>
      <c r="P505" s="10"/>
      <c r="Q505" s="16"/>
      <c r="R505" s="16"/>
      <c r="S505" s="10"/>
      <c r="T505" s="16"/>
      <c r="U505" s="16"/>
      <c r="V505" s="16"/>
      <c r="W505" s="16"/>
      <c r="X505" s="16"/>
      <c r="Y505" s="16"/>
      <c r="Z505" s="16"/>
      <c r="AA505" s="16"/>
      <c r="AB505" s="16"/>
      <c r="AC505" s="16"/>
      <c r="AD505" s="16"/>
      <c r="AE505" s="16"/>
    </row>
    <row r="506" ht="15.75" customHeight="1">
      <c r="A506" s="16"/>
      <c r="B506" s="16"/>
      <c r="C506" s="16"/>
      <c r="D506" s="16"/>
      <c r="E506" s="16"/>
      <c r="F506" s="16"/>
      <c r="G506" s="16"/>
      <c r="H506" s="16"/>
      <c r="I506" s="195"/>
      <c r="J506" s="10"/>
      <c r="K506" s="16"/>
      <c r="L506" s="16"/>
      <c r="M506" s="10"/>
      <c r="N506" s="16"/>
      <c r="O506" s="10"/>
      <c r="P506" s="10"/>
      <c r="Q506" s="16"/>
      <c r="R506" s="16"/>
      <c r="S506" s="10"/>
      <c r="T506" s="16"/>
      <c r="U506" s="16"/>
      <c r="V506" s="16"/>
      <c r="W506" s="16"/>
      <c r="X506" s="16"/>
      <c r="Y506" s="16"/>
      <c r="Z506" s="16"/>
      <c r="AA506" s="16"/>
      <c r="AB506" s="16"/>
      <c r="AC506" s="16"/>
      <c r="AD506" s="16"/>
      <c r="AE506" s="16"/>
    </row>
    <row r="507" ht="15.75" customHeight="1">
      <c r="D507" s="293"/>
      <c r="E507" s="293"/>
      <c r="F507" s="293"/>
    </row>
    <row r="508" ht="15.75" customHeight="1">
      <c r="D508" s="293"/>
      <c r="E508" s="293"/>
      <c r="F508" s="293"/>
    </row>
    <row r="509" ht="15.75" customHeight="1">
      <c r="D509" s="293"/>
      <c r="E509" s="293"/>
      <c r="F509" s="293"/>
    </row>
    <row r="510" ht="15.75" customHeight="1">
      <c r="D510" s="293"/>
      <c r="E510" s="293"/>
      <c r="F510" s="293"/>
    </row>
    <row r="511" ht="15.75" customHeight="1">
      <c r="D511" s="293"/>
      <c r="E511" s="293"/>
      <c r="F511" s="293"/>
    </row>
    <row r="512" ht="15.75" customHeight="1">
      <c r="D512" s="293"/>
      <c r="E512" s="293"/>
      <c r="F512" s="293"/>
    </row>
    <row r="513" ht="15.75" customHeight="1">
      <c r="D513" s="293"/>
      <c r="E513" s="293"/>
      <c r="F513" s="293"/>
    </row>
    <row r="514" ht="15.75" customHeight="1">
      <c r="D514" s="293"/>
      <c r="E514" s="293"/>
      <c r="F514" s="293"/>
    </row>
    <row r="515" ht="15.75" customHeight="1">
      <c r="D515" s="293"/>
      <c r="E515" s="293"/>
      <c r="F515" s="293"/>
    </row>
    <row r="516" ht="15.75" customHeight="1">
      <c r="D516" s="293"/>
      <c r="E516" s="293"/>
      <c r="F516" s="293"/>
    </row>
    <row r="517" ht="15.75" customHeight="1">
      <c r="D517" s="293"/>
      <c r="E517" s="293"/>
      <c r="F517" s="293"/>
    </row>
    <row r="518" ht="15.75" customHeight="1">
      <c r="D518" s="293"/>
      <c r="E518" s="293"/>
      <c r="F518" s="293"/>
    </row>
    <row r="519" ht="15.75" customHeight="1">
      <c r="D519" s="293"/>
      <c r="E519" s="293"/>
      <c r="F519" s="293"/>
    </row>
    <row r="520" ht="15.75" customHeight="1">
      <c r="D520" s="293"/>
      <c r="E520" s="293"/>
      <c r="F520" s="293"/>
    </row>
    <row r="521" ht="15.75" customHeight="1">
      <c r="D521" s="293"/>
      <c r="E521" s="293"/>
      <c r="F521" s="293"/>
    </row>
    <row r="522" ht="15.75" customHeight="1">
      <c r="D522" s="293"/>
      <c r="E522" s="293"/>
      <c r="F522" s="293"/>
    </row>
    <row r="523" ht="15.75" customHeight="1">
      <c r="D523" s="293"/>
      <c r="E523" s="293"/>
      <c r="F523" s="293"/>
    </row>
    <row r="524" ht="15.75" customHeight="1">
      <c r="D524" s="293"/>
      <c r="E524" s="293"/>
      <c r="F524" s="293"/>
    </row>
    <row r="525" ht="15.75" customHeight="1">
      <c r="D525" s="293"/>
      <c r="E525" s="293"/>
      <c r="F525" s="293"/>
    </row>
    <row r="526" ht="15.75" customHeight="1">
      <c r="D526" s="293"/>
      <c r="E526" s="293"/>
      <c r="F526" s="293"/>
    </row>
    <row r="527" ht="15.75" customHeight="1">
      <c r="D527" s="293"/>
      <c r="E527" s="293"/>
      <c r="F527" s="293"/>
    </row>
    <row r="528" ht="15.75" customHeight="1">
      <c r="D528" s="293"/>
      <c r="E528" s="293"/>
      <c r="F528" s="293"/>
    </row>
    <row r="529" ht="15.75" customHeight="1">
      <c r="D529" s="293"/>
      <c r="E529" s="293"/>
      <c r="F529" s="293"/>
    </row>
    <row r="530" ht="15.75" customHeight="1">
      <c r="D530" s="293"/>
      <c r="E530" s="293"/>
      <c r="F530" s="293"/>
    </row>
    <row r="531" ht="15.75" customHeight="1">
      <c r="D531" s="293"/>
      <c r="E531" s="293"/>
      <c r="F531" s="293"/>
    </row>
    <row r="532" ht="15.75" customHeight="1">
      <c r="D532" s="293"/>
      <c r="E532" s="293"/>
      <c r="F532" s="293"/>
    </row>
    <row r="533" ht="15.75" customHeight="1">
      <c r="D533" s="293"/>
      <c r="E533" s="293"/>
      <c r="F533" s="293"/>
    </row>
    <row r="534" ht="15.75" customHeight="1">
      <c r="D534" s="293"/>
      <c r="E534" s="293"/>
      <c r="F534" s="293"/>
    </row>
    <row r="535" ht="15.75" customHeight="1">
      <c r="D535" s="293"/>
      <c r="E535" s="293"/>
      <c r="F535" s="293"/>
    </row>
    <row r="536" ht="15.75" customHeight="1">
      <c r="D536" s="293"/>
      <c r="E536" s="293"/>
      <c r="F536" s="293"/>
    </row>
    <row r="537" ht="15.75" customHeight="1">
      <c r="D537" s="293"/>
      <c r="E537" s="293"/>
      <c r="F537" s="293"/>
    </row>
    <row r="538" ht="15.75" customHeight="1">
      <c r="D538" s="293"/>
      <c r="E538" s="293"/>
      <c r="F538" s="293"/>
    </row>
    <row r="539" ht="15.75" customHeight="1">
      <c r="D539" s="293"/>
      <c r="E539" s="293"/>
      <c r="F539" s="293"/>
    </row>
    <row r="540" ht="15.75" customHeight="1">
      <c r="D540" s="293"/>
      <c r="E540" s="293"/>
      <c r="F540" s="293"/>
    </row>
    <row r="541" ht="15.75" customHeight="1">
      <c r="D541" s="293"/>
      <c r="E541" s="293"/>
      <c r="F541" s="293"/>
    </row>
    <row r="542" ht="15.75" customHeight="1">
      <c r="D542" s="293"/>
      <c r="E542" s="293"/>
      <c r="F542" s="293"/>
    </row>
    <row r="543" ht="15.75" customHeight="1">
      <c r="D543" s="293"/>
      <c r="E543" s="293"/>
      <c r="F543" s="293"/>
    </row>
    <row r="544" ht="15.75" customHeight="1">
      <c r="D544" s="293"/>
      <c r="E544" s="293"/>
      <c r="F544" s="293"/>
    </row>
    <row r="545" ht="15.75" customHeight="1">
      <c r="D545" s="293"/>
      <c r="E545" s="293"/>
      <c r="F545" s="293"/>
    </row>
    <row r="546" ht="15.75" customHeight="1">
      <c r="D546" s="293"/>
      <c r="E546" s="293"/>
      <c r="F546" s="293"/>
    </row>
    <row r="547" ht="15.75" customHeight="1">
      <c r="D547" s="293"/>
      <c r="E547" s="293"/>
      <c r="F547" s="293"/>
    </row>
    <row r="548" ht="15.75" customHeight="1">
      <c r="D548" s="293"/>
      <c r="E548" s="293"/>
      <c r="F548" s="293"/>
    </row>
    <row r="549" ht="15.75" customHeight="1">
      <c r="D549" s="293"/>
      <c r="E549" s="293"/>
      <c r="F549" s="293"/>
    </row>
    <row r="550" ht="15.75" customHeight="1">
      <c r="D550" s="293"/>
      <c r="E550" s="293"/>
      <c r="F550" s="293"/>
    </row>
    <row r="551" ht="15.75" customHeight="1">
      <c r="D551" s="293"/>
      <c r="E551" s="293"/>
      <c r="F551" s="293"/>
    </row>
    <row r="552" ht="15.75" customHeight="1">
      <c r="D552" s="293"/>
      <c r="E552" s="293"/>
      <c r="F552" s="293"/>
    </row>
    <row r="553" ht="15.75" customHeight="1">
      <c r="D553" s="293"/>
      <c r="E553" s="293"/>
      <c r="F553" s="293"/>
    </row>
    <row r="554" ht="15.75" customHeight="1">
      <c r="D554" s="293"/>
      <c r="E554" s="293"/>
      <c r="F554" s="293"/>
    </row>
    <row r="555" ht="15.75" customHeight="1">
      <c r="D555" s="293"/>
      <c r="E555" s="293"/>
      <c r="F555" s="293"/>
    </row>
    <row r="556" ht="15.75" customHeight="1">
      <c r="D556" s="293"/>
      <c r="E556" s="293"/>
      <c r="F556" s="293"/>
    </row>
    <row r="557" ht="15.75" customHeight="1">
      <c r="D557" s="293"/>
      <c r="E557" s="293"/>
      <c r="F557" s="293"/>
    </row>
    <row r="558" ht="15.75" customHeight="1">
      <c r="D558" s="293"/>
      <c r="E558" s="293"/>
      <c r="F558" s="293"/>
    </row>
    <row r="559" ht="15.75" customHeight="1">
      <c r="D559" s="293"/>
      <c r="E559" s="293"/>
      <c r="F559" s="293"/>
    </row>
    <row r="560" ht="15.75" customHeight="1">
      <c r="D560" s="293"/>
      <c r="E560" s="293"/>
      <c r="F560" s="293"/>
    </row>
    <row r="561" ht="15.75" customHeight="1">
      <c r="D561" s="293"/>
      <c r="E561" s="293"/>
      <c r="F561" s="293"/>
    </row>
    <row r="562" ht="15.75" customHeight="1">
      <c r="D562" s="293"/>
      <c r="E562" s="293"/>
      <c r="F562" s="293"/>
    </row>
    <row r="563" ht="15.75" customHeight="1">
      <c r="D563" s="293"/>
      <c r="E563" s="293"/>
      <c r="F563" s="293"/>
    </row>
    <row r="564" ht="15.75" customHeight="1">
      <c r="D564" s="293"/>
      <c r="E564" s="293"/>
      <c r="F564" s="293"/>
    </row>
    <row r="565" ht="15.75" customHeight="1">
      <c r="D565" s="293"/>
      <c r="E565" s="293"/>
      <c r="F565" s="293"/>
    </row>
    <row r="566" ht="15.75" customHeight="1">
      <c r="D566" s="293"/>
      <c r="E566" s="293"/>
      <c r="F566" s="293"/>
    </row>
    <row r="567" ht="15.75" customHeight="1">
      <c r="D567" s="293"/>
      <c r="E567" s="293"/>
      <c r="F567" s="293"/>
    </row>
    <row r="568" ht="15.75" customHeight="1">
      <c r="D568" s="293"/>
      <c r="E568" s="293"/>
      <c r="F568" s="293"/>
    </row>
    <row r="569" ht="15.75" customHeight="1">
      <c r="D569" s="293"/>
      <c r="E569" s="293"/>
      <c r="F569" s="293"/>
    </row>
    <row r="570" ht="15.75" customHeight="1">
      <c r="D570" s="293"/>
      <c r="E570" s="293"/>
      <c r="F570" s="293"/>
    </row>
    <row r="571" ht="15.75" customHeight="1">
      <c r="D571" s="293"/>
      <c r="E571" s="293"/>
      <c r="F571" s="293"/>
    </row>
    <row r="572" ht="15.75" customHeight="1">
      <c r="D572" s="293"/>
      <c r="E572" s="293"/>
      <c r="F572" s="293"/>
    </row>
    <row r="573" ht="15.75" customHeight="1">
      <c r="D573" s="293"/>
      <c r="E573" s="293"/>
      <c r="F573" s="293"/>
    </row>
    <row r="574" ht="15.75" customHeight="1">
      <c r="D574" s="293"/>
      <c r="E574" s="293"/>
      <c r="F574" s="293"/>
    </row>
    <row r="575" ht="15.75" customHeight="1">
      <c r="D575" s="293"/>
      <c r="E575" s="293"/>
      <c r="F575" s="293"/>
    </row>
    <row r="576" ht="15.75" customHeight="1">
      <c r="D576" s="293"/>
      <c r="E576" s="293"/>
      <c r="F576" s="293"/>
    </row>
    <row r="577" ht="15.75" customHeight="1">
      <c r="D577" s="293"/>
      <c r="E577" s="293"/>
      <c r="F577" s="293"/>
    </row>
    <row r="578" ht="15.75" customHeight="1">
      <c r="D578" s="293"/>
      <c r="E578" s="293"/>
      <c r="F578" s="293"/>
    </row>
    <row r="579" ht="15.75" customHeight="1">
      <c r="D579" s="293"/>
      <c r="E579" s="293"/>
      <c r="F579" s="293"/>
    </row>
    <row r="580" ht="15.75" customHeight="1">
      <c r="D580" s="293"/>
      <c r="E580" s="293"/>
      <c r="F580" s="293"/>
    </row>
    <row r="581" ht="15.75" customHeight="1">
      <c r="D581" s="293"/>
      <c r="E581" s="293"/>
      <c r="F581" s="293"/>
    </row>
    <row r="582" ht="15.75" customHeight="1">
      <c r="D582" s="293"/>
      <c r="E582" s="293"/>
      <c r="F582" s="293"/>
    </row>
    <row r="583" ht="15.75" customHeight="1">
      <c r="D583" s="293"/>
      <c r="E583" s="293"/>
      <c r="F583" s="293"/>
    </row>
    <row r="584" ht="15.75" customHeight="1">
      <c r="D584" s="293"/>
      <c r="E584" s="293"/>
      <c r="F584" s="293"/>
    </row>
    <row r="585" ht="15.75" customHeight="1">
      <c r="D585" s="293"/>
      <c r="E585" s="293"/>
      <c r="F585" s="293"/>
    </row>
    <row r="586" ht="15.75" customHeight="1">
      <c r="D586" s="293"/>
      <c r="E586" s="293"/>
      <c r="F586" s="293"/>
    </row>
    <row r="587" ht="15.75" customHeight="1">
      <c r="D587" s="293"/>
      <c r="E587" s="293"/>
      <c r="F587" s="293"/>
    </row>
    <row r="588" ht="15.75" customHeight="1">
      <c r="D588" s="293"/>
      <c r="E588" s="293"/>
      <c r="F588" s="293"/>
    </row>
    <row r="589" ht="15.75" customHeight="1">
      <c r="D589" s="293"/>
      <c r="E589" s="293"/>
      <c r="F589" s="293"/>
    </row>
    <row r="590" ht="15.75" customHeight="1">
      <c r="D590" s="293"/>
      <c r="E590" s="293"/>
      <c r="F590" s="293"/>
    </row>
    <row r="591" ht="15.75" customHeight="1">
      <c r="D591" s="293"/>
      <c r="E591" s="293"/>
      <c r="F591" s="293"/>
    </row>
    <row r="592" ht="15.75" customHeight="1">
      <c r="D592" s="293"/>
      <c r="E592" s="293"/>
      <c r="F592" s="293"/>
    </row>
    <row r="593" ht="15.75" customHeight="1">
      <c r="D593" s="293"/>
      <c r="E593" s="293"/>
      <c r="F593" s="293"/>
    </row>
    <row r="594" ht="15.75" customHeight="1">
      <c r="D594" s="293"/>
      <c r="E594" s="293"/>
      <c r="F594" s="293"/>
    </row>
    <row r="595" ht="15.75" customHeight="1">
      <c r="D595" s="293"/>
      <c r="E595" s="293"/>
      <c r="F595" s="293"/>
    </row>
    <row r="596" ht="15.75" customHeight="1">
      <c r="D596" s="293"/>
      <c r="E596" s="293"/>
      <c r="F596" s="293"/>
    </row>
    <row r="597" ht="15.75" customHeight="1">
      <c r="D597" s="293"/>
      <c r="E597" s="293"/>
      <c r="F597" s="293"/>
    </row>
    <row r="598" ht="15.75" customHeight="1">
      <c r="D598" s="293"/>
      <c r="E598" s="293"/>
      <c r="F598" s="293"/>
    </row>
    <row r="599" ht="15.75" customHeight="1">
      <c r="D599" s="293"/>
      <c r="E599" s="293"/>
      <c r="F599" s="293"/>
    </row>
    <row r="600" ht="15.75" customHeight="1">
      <c r="D600" s="293"/>
      <c r="E600" s="293"/>
      <c r="F600" s="293"/>
    </row>
    <row r="601" ht="15.75" customHeight="1">
      <c r="D601" s="293"/>
      <c r="E601" s="293"/>
      <c r="F601" s="293"/>
    </row>
    <row r="602" ht="15.75" customHeight="1">
      <c r="D602" s="293"/>
      <c r="E602" s="293"/>
      <c r="F602" s="293"/>
    </row>
    <row r="603" ht="15.75" customHeight="1">
      <c r="D603" s="293"/>
      <c r="E603" s="293"/>
      <c r="F603" s="293"/>
    </row>
    <row r="604" ht="15.75" customHeight="1">
      <c r="D604" s="293"/>
      <c r="E604" s="293"/>
      <c r="F604" s="293"/>
    </row>
    <row r="605" ht="15.75" customHeight="1">
      <c r="D605" s="293"/>
      <c r="E605" s="293"/>
      <c r="F605" s="293"/>
    </row>
    <row r="606" ht="15.75" customHeight="1">
      <c r="D606" s="293"/>
      <c r="E606" s="293"/>
      <c r="F606" s="293"/>
    </row>
    <row r="607" ht="15.75" customHeight="1">
      <c r="D607" s="293"/>
      <c r="E607" s="293"/>
      <c r="F607" s="293"/>
    </row>
    <row r="608" ht="15.75" customHeight="1">
      <c r="D608" s="293"/>
      <c r="E608" s="293"/>
      <c r="F608" s="293"/>
    </row>
    <row r="609" ht="15.75" customHeight="1">
      <c r="D609" s="293"/>
      <c r="E609" s="293"/>
      <c r="F609" s="293"/>
    </row>
    <row r="610" ht="15.75" customHeight="1">
      <c r="D610" s="293"/>
      <c r="E610" s="293"/>
      <c r="F610" s="293"/>
    </row>
    <row r="611" ht="15.75" customHeight="1">
      <c r="D611" s="293"/>
      <c r="E611" s="293"/>
      <c r="F611" s="293"/>
    </row>
    <row r="612" ht="15.75" customHeight="1">
      <c r="D612" s="293"/>
      <c r="E612" s="293"/>
      <c r="F612" s="293"/>
    </row>
    <row r="613" ht="15.75" customHeight="1">
      <c r="D613" s="293"/>
      <c r="E613" s="293"/>
      <c r="F613" s="293"/>
    </row>
    <row r="614" ht="15.75" customHeight="1">
      <c r="D614" s="293"/>
      <c r="E614" s="293"/>
      <c r="F614" s="293"/>
    </row>
    <row r="615" ht="15.75" customHeight="1">
      <c r="D615" s="293"/>
      <c r="E615" s="293"/>
      <c r="F615" s="293"/>
    </row>
    <row r="616" ht="15.75" customHeight="1">
      <c r="D616" s="293"/>
      <c r="E616" s="293"/>
      <c r="F616" s="293"/>
    </row>
    <row r="617" ht="15.75" customHeight="1">
      <c r="D617" s="293"/>
      <c r="E617" s="293"/>
      <c r="F617" s="293"/>
    </row>
    <row r="618" ht="15.75" customHeight="1">
      <c r="D618" s="293"/>
      <c r="E618" s="293"/>
      <c r="F618" s="293"/>
    </row>
    <row r="619" ht="15.75" customHeight="1">
      <c r="D619" s="293"/>
      <c r="E619" s="293"/>
      <c r="F619" s="293"/>
    </row>
    <row r="620" ht="15.75" customHeight="1">
      <c r="D620" s="293"/>
      <c r="E620" s="293"/>
      <c r="F620" s="293"/>
    </row>
    <row r="621" ht="15.75" customHeight="1">
      <c r="D621" s="293"/>
      <c r="E621" s="293"/>
      <c r="F621" s="293"/>
    </row>
    <row r="622" ht="15.75" customHeight="1">
      <c r="D622" s="293"/>
      <c r="E622" s="293"/>
      <c r="F622" s="293"/>
    </row>
    <row r="623" ht="15.75" customHeight="1">
      <c r="D623" s="293"/>
      <c r="E623" s="293"/>
      <c r="F623" s="293"/>
    </row>
    <row r="624" ht="15.75" customHeight="1">
      <c r="D624" s="293"/>
      <c r="E624" s="293"/>
      <c r="F624" s="293"/>
    </row>
    <row r="625" ht="15.75" customHeight="1">
      <c r="D625" s="293"/>
      <c r="E625" s="293"/>
      <c r="F625" s="293"/>
    </row>
    <row r="626" ht="15.75" customHeight="1">
      <c r="D626" s="293"/>
      <c r="E626" s="293"/>
      <c r="F626" s="293"/>
    </row>
    <row r="627" ht="15.75" customHeight="1">
      <c r="D627" s="293"/>
      <c r="E627" s="293"/>
      <c r="F627" s="293"/>
    </row>
    <row r="628" ht="15.75" customHeight="1">
      <c r="D628" s="293"/>
      <c r="E628" s="293"/>
      <c r="F628" s="293"/>
    </row>
    <row r="629" ht="15.75" customHeight="1">
      <c r="D629" s="293"/>
      <c r="E629" s="293"/>
      <c r="F629" s="293"/>
    </row>
    <row r="630" ht="15.75" customHeight="1">
      <c r="D630" s="293"/>
      <c r="E630" s="293"/>
      <c r="F630" s="293"/>
    </row>
    <row r="631" ht="15.75" customHeight="1">
      <c r="D631" s="293"/>
      <c r="E631" s="293"/>
      <c r="F631" s="293"/>
    </row>
    <row r="632" ht="15.75" customHeight="1">
      <c r="D632" s="293"/>
      <c r="E632" s="293"/>
      <c r="F632" s="293"/>
    </row>
    <row r="633" ht="15.75" customHeight="1">
      <c r="D633" s="293"/>
      <c r="E633" s="293"/>
      <c r="F633" s="293"/>
    </row>
    <row r="634" ht="15.75" customHeight="1">
      <c r="D634" s="293"/>
      <c r="E634" s="293"/>
      <c r="F634" s="293"/>
    </row>
    <row r="635" ht="15.75" customHeight="1">
      <c r="D635" s="293"/>
      <c r="E635" s="293"/>
      <c r="F635" s="293"/>
    </row>
    <row r="636" ht="15.75" customHeight="1">
      <c r="D636" s="293"/>
      <c r="E636" s="293"/>
      <c r="F636" s="293"/>
    </row>
    <row r="637" ht="15.75" customHeight="1">
      <c r="D637" s="293"/>
      <c r="E637" s="293"/>
      <c r="F637" s="293"/>
    </row>
    <row r="638" ht="15.75" customHeight="1">
      <c r="D638" s="293"/>
      <c r="E638" s="293"/>
      <c r="F638" s="293"/>
    </row>
    <row r="639" ht="15.75" customHeight="1">
      <c r="D639" s="293"/>
      <c r="E639" s="293"/>
      <c r="F639" s="293"/>
    </row>
    <row r="640" ht="15.75" customHeight="1">
      <c r="D640" s="293"/>
      <c r="E640" s="293"/>
      <c r="F640" s="293"/>
    </row>
    <row r="641" ht="15.75" customHeight="1">
      <c r="D641" s="293"/>
      <c r="E641" s="293"/>
      <c r="F641" s="293"/>
    </row>
    <row r="642" ht="15.75" customHeight="1">
      <c r="D642" s="293"/>
      <c r="E642" s="293"/>
      <c r="F642" s="293"/>
    </row>
    <row r="643" ht="15.75" customHeight="1">
      <c r="D643" s="293"/>
      <c r="E643" s="293"/>
      <c r="F643" s="293"/>
    </row>
    <row r="644" ht="15.75" customHeight="1">
      <c r="D644" s="293"/>
      <c r="E644" s="293"/>
      <c r="F644" s="293"/>
    </row>
    <row r="645" ht="15.75" customHeight="1">
      <c r="D645" s="293"/>
      <c r="E645" s="293"/>
      <c r="F645" s="293"/>
    </row>
    <row r="646" ht="15.75" customHeight="1">
      <c r="D646" s="293"/>
      <c r="E646" s="293"/>
      <c r="F646" s="293"/>
    </row>
    <row r="647" ht="15.75" customHeight="1">
      <c r="D647" s="293"/>
      <c r="E647" s="293"/>
      <c r="F647" s="293"/>
    </row>
    <row r="648" ht="15.75" customHeight="1">
      <c r="D648" s="293"/>
      <c r="E648" s="293"/>
      <c r="F648" s="293"/>
    </row>
    <row r="649" ht="15.75" customHeight="1">
      <c r="D649" s="293"/>
      <c r="E649" s="293"/>
      <c r="F649" s="293"/>
    </row>
    <row r="650" ht="15.75" customHeight="1">
      <c r="D650" s="293"/>
      <c r="E650" s="293"/>
      <c r="F650" s="293"/>
    </row>
    <row r="651" ht="15.75" customHeight="1">
      <c r="D651" s="293"/>
      <c r="E651" s="293"/>
      <c r="F651" s="293"/>
    </row>
    <row r="652" ht="15.75" customHeight="1">
      <c r="D652" s="293"/>
      <c r="E652" s="293"/>
      <c r="F652" s="293"/>
    </row>
    <row r="653" ht="15.75" customHeight="1">
      <c r="D653" s="293"/>
      <c r="E653" s="293"/>
      <c r="F653" s="293"/>
    </row>
    <row r="654" ht="15.75" customHeight="1">
      <c r="D654" s="293"/>
      <c r="E654" s="293"/>
      <c r="F654" s="293"/>
    </row>
    <row r="655" ht="15.75" customHeight="1">
      <c r="D655" s="293"/>
      <c r="E655" s="293"/>
      <c r="F655" s="293"/>
    </row>
    <row r="656" ht="15.75" customHeight="1">
      <c r="D656" s="293"/>
      <c r="E656" s="293"/>
      <c r="F656" s="293"/>
    </row>
    <row r="657" ht="15.75" customHeight="1">
      <c r="D657" s="293"/>
      <c r="E657" s="293"/>
      <c r="F657" s="293"/>
    </row>
    <row r="658" ht="15.75" customHeight="1">
      <c r="D658" s="293"/>
      <c r="E658" s="293"/>
      <c r="F658" s="293"/>
    </row>
    <row r="659" ht="15.75" customHeight="1">
      <c r="D659" s="293"/>
      <c r="E659" s="293"/>
      <c r="F659" s="293"/>
    </row>
    <row r="660" ht="15.75" customHeight="1">
      <c r="D660" s="293"/>
      <c r="E660" s="293"/>
      <c r="F660" s="293"/>
    </row>
    <row r="661" ht="15.75" customHeight="1">
      <c r="D661" s="293"/>
      <c r="E661" s="293"/>
      <c r="F661" s="293"/>
    </row>
    <row r="662" ht="15.75" customHeight="1">
      <c r="D662" s="293"/>
      <c r="E662" s="293"/>
      <c r="F662" s="293"/>
    </row>
    <row r="663" ht="15.75" customHeight="1">
      <c r="D663" s="293"/>
      <c r="E663" s="293"/>
      <c r="F663" s="293"/>
    </row>
    <row r="664" ht="15.75" customHeight="1">
      <c r="D664" s="293"/>
      <c r="E664" s="293"/>
      <c r="F664" s="293"/>
    </row>
    <row r="665" ht="15.75" customHeight="1">
      <c r="D665" s="293"/>
      <c r="E665" s="293"/>
      <c r="F665" s="293"/>
    </row>
    <row r="666" ht="15.75" customHeight="1">
      <c r="D666" s="293"/>
      <c r="E666" s="293"/>
      <c r="F666" s="293"/>
    </row>
    <row r="667" ht="15.75" customHeight="1">
      <c r="D667" s="293"/>
      <c r="E667" s="293"/>
      <c r="F667" s="293"/>
    </row>
    <row r="668" ht="15.75" customHeight="1">
      <c r="D668" s="293"/>
      <c r="E668" s="293"/>
      <c r="F668" s="293"/>
    </row>
    <row r="669" ht="15.75" customHeight="1">
      <c r="D669" s="293"/>
      <c r="E669" s="293"/>
      <c r="F669" s="293"/>
    </row>
    <row r="670" ht="15.75" customHeight="1">
      <c r="D670" s="293"/>
      <c r="E670" s="293"/>
      <c r="F670" s="293"/>
    </row>
    <row r="671" ht="15.75" customHeight="1">
      <c r="D671" s="293"/>
      <c r="E671" s="293"/>
      <c r="F671" s="293"/>
    </row>
    <row r="672" ht="15.75" customHeight="1">
      <c r="D672" s="293"/>
      <c r="E672" s="293"/>
      <c r="F672" s="293"/>
    </row>
    <row r="673" ht="15.75" customHeight="1">
      <c r="D673" s="293"/>
      <c r="E673" s="293"/>
      <c r="F673" s="293"/>
    </row>
    <row r="674" ht="15.75" customHeight="1">
      <c r="D674" s="293"/>
      <c r="E674" s="293"/>
      <c r="F674" s="293"/>
    </row>
    <row r="675" ht="15.75" customHeight="1">
      <c r="D675" s="293"/>
      <c r="E675" s="293"/>
      <c r="F675" s="293"/>
    </row>
    <row r="676" ht="15.75" customHeight="1">
      <c r="D676" s="293"/>
      <c r="E676" s="293"/>
      <c r="F676" s="293"/>
    </row>
    <row r="677" ht="15.75" customHeight="1">
      <c r="D677" s="293"/>
      <c r="E677" s="293"/>
      <c r="F677" s="293"/>
    </row>
    <row r="678" ht="15.75" customHeight="1">
      <c r="D678" s="293"/>
      <c r="E678" s="293"/>
      <c r="F678" s="293"/>
    </row>
    <row r="679" ht="15.75" customHeight="1">
      <c r="D679" s="293"/>
      <c r="E679" s="293"/>
      <c r="F679" s="293"/>
    </row>
    <row r="680" ht="15.75" customHeight="1">
      <c r="D680" s="293"/>
      <c r="E680" s="293"/>
      <c r="F680" s="293"/>
    </row>
    <row r="681" ht="15.75" customHeight="1">
      <c r="D681" s="293"/>
      <c r="E681" s="293"/>
      <c r="F681" s="293"/>
    </row>
    <row r="682" ht="15.75" customHeight="1">
      <c r="D682" s="293"/>
      <c r="E682" s="293"/>
      <c r="F682" s="293"/>
    </row>
    <row r="683" ht="15.75" customHeight="1">
      <c r="D683" s="293"/>
      <c r="E683" s="293"/>
      <c r="F683" s="293"/>
    </row>
    <row r="684" ht="15.75" customHeight="1">
      <c r="D684" s="293"/>
      <c r="E684" s="293"/>
      <c r="F684" s="293"/>
    </row>
    <row r="685" ht="15.75" customHeight="1">
      <c r="D685" s="293"/>
      <c r="E685" s="293"/>
      <c r="F685" s="293"/>
    </row>
    <row r="686" ht="15.75" customHeight="1">
      <c r="D686" s="293"/>
      <c r="E686" s="293"/>
      <c r="F686" s="293"/>
    </row>
    <row r="687" ht="15.75" customHeight="1">
      <c r="D687" s="293"/>
      <c r="E687" s="293"/>
      <c r="F687" s="293"/>
    </row>
    <row r="688" ht="15.75" customHeight="1">
      <c r="D688" s="293"/>
      <c r="E688" s="293"/>
      <c r="F688" s="293"/>
    </row>
    <row r="689" ht="15.75" customHeight="1">
      <c r="D689" s="293"/>
      <c r="E689" s="293"/>
      <c r="F689" s="293"/>
    </row>
    <row r="690" ht="15.75" customHeight="1">
      <c r="D690" s="293"/>
      <c r="E690" s="293"/>
      <c r="F690" s="293"/>
    </row>
    <row r="691" ht="15.75" customHeight="1">
      <c r="D691" s="293"/>
      <c r="E691" s="293"/>
      <c r="F691" s="293"/>
    </row>
    <row r="692" ht="15.75" customHeight="1">
      <c r="D692" s="293"/>
      <c r="E692" s="293"/>
      <c r="F692" s="293"/>
    </row>
    <row r="693" ht="15.75" customHeight="1">
      <c r="D693" s="293"/>
      <c r="E693" s="293"/>
      <c r="F693" s="293"/>
    </row>
    <row r="694" ht="15.75" customHeight="1">
      <c r="D694" s="293"/>
      <c r="E694" s="293"/>
      <c r="F694" s="293"/>
    </row>
    <row r="695" ht="15.75" customHeight="1">
      <c r="D695" s="293"/>
      <c r="E695" s="293"/>
      <c r="F695" s="293"/>
    </row>
    <row r="696" ht="15.75" customHeight="1">
      <c r="D696" s="293"/>
      <c r="E696" s="293"/>
      <c r="F696" s="293"/>
    </row>
    <row r="697" ht="15.75" customHeight="1">
      <c r="D697" s="293"/>
      <c r="E697" s="293"/>
      <c r="F697" s="293"/>
    </row>
    <row r="698" ht="15.75" customHeight="1">
      <c r="D698" s="293"/>
      <c r="E698" s="293"/>
      <c r="F698" s="293"/>
    </row>
    <row r="699" ht="15.75" customHeight="1">
      <c r="D699" s="293"/>
      <c r="E699" s="293"/>
      <c r="F699" s="293"/>
    </row>
    <row r="700" ht="15.75" customHeight="1">
      <c r="D700" s="293"/>
      <c r="E700" s="293"/>
      <c r="F700" s="293"/>
    </row>
    <row r="701" ht="15.75" customHeight="1">
      <c r="D701" s="293"/>
      <c r="E701" s="293"/>
      <c r="F701" s="293"/>
    </row>
    <row r="702" ht="15.75" customHeight="1">
      <c r="D702" s="293"/>
      <c r="E702" s="293"/>
      <c r="F702" s="293"/>
    </row>
    <row r="703" ht="15.75" customHeight="1">
      <c r="D703" s="293"/>
      <c r="E703" s="293"/>
      <c r="F703" s="293"/>
    </row>
    <row r="704" ht="15.75" customHeight="1">
      <c r="D704" s="293"/>
      <c r="E704" s="293"/>
      <c r="F704" s="293"/>
    </row>
    <row r="705" ht="15.75" customHeight="1">
      <c r="D705" s="293"/>
      <c r="E705" s="293"/>
      <c r="F705" s="293"/>
    </row>
    <row r="706" ht="15.75" customHeight="1">
      <c r="D706" s="293"/>
      <c r="E706" s="293"/>
      <c r="F706" s="293"/>
    </row>
    <row r="707" ht="15.75" customHeight="1">
      <c r="D707" s="293"/>
      <c r="E707" s="293"/>
      <c r="F707" s="293"/>
    </row>
    <row r="708" ht="15.75" customHeight="1">
      <c r="D708" s="293"/>
      <c r="E708" s="293"/>
      <c r="F708" s="293"/>
    </row>
    <row r="709" ht="15.75" customHeight="1">
      <c r="D709" s="293"/>
      <c r="E709" s="293"/>
      <c r="F709" s="293"/>
    </row>
    <row r="710" ht="15.75" customHeight="1">
      <c r="D710" s="293"/>
      <c r="E710" s="293"/>
      <c r="F710" s="293"/>
    </row>
    <row r="711" ht="15.75" customHeight="1">
      <c r="D711" s="293"/>
      <c r="E711" s="293"/>
      <c r="F711" s="293"/>
    </row>
    <row r="712" ht="15.75" customHeight="1">
      <c r="D712" s="293"/>
      <c r="E712" s="293"/>
      <c r="F712" s="293"/>
    </row>
    <row r="713" ht="15.75" customHeight="1">
      <c r="D713" s="293"/>
      <c r="E713" s="293"/>
      <c r="F713" s="293"/>
    </row>
    <row r="714" ht="15.75" customHeight="1">
      <c r="D714" s="293"/>
      <c r="E714" s="293"/>
      <c r="F714" s="293"/>
    </row>
    <row r="715" ht="15.75" customHeight="1">
      <c r="D715" s="293"/>
      <c r="E715" s="293"/>
      <c r="F715" s="293"/>
    </row>
    <row r="716" ht="15.75" customHeight="1">
      <c r="D716" s="293"/>
      <c r="E716" s="293"/>
      <c r="F716" s="293"/>
    </row>
    <row r="717" ht="15.75" customHeight="1">
      <c r="D717" s="293"/>
      <c r="E717" s="293"/>
      <c r="F717" s="293"/>
    </row>
    <row r="718" ht="15.75" customHeight="1">
      <c r="D718" s="293"/>
      <c r="E718" s="293"/>
      <c r="F718" s="293"/>
    </row>
    <row r="719" ht="15.75" customHeight="1">
      <c r="D719" s="293"/>
      <c r="E719" s="293"/>
      <c r="F719" s="293"/>
    </row>
    <row r="720" ht="15.75" customHeight="1">
      <c r="D720" s="293"/>
      <c r="E720" s="293"/>
      <c r="F720" s="293"/>
    </row>
    <row r="721" ht="15.75" customHeight="1">
      <c r="D721" s="293"/>
      <c r="E721" s="293"/>
      <c r="F721" s="293"/>
    </row>
    <row r="722" ht="15.75" customHeight="1">
      <c r="D722" s="293"/>
      <c r="E722" s="293"/>
      <c r="F722" s="293"/>
    </row>
    <row r="723" ht="15.75" customHeight="1">
      <c r="D723" s="293"/>
      <c r="E723" s="293"/>
      <c r="F723" s="293"/>
    </row>
    <row r="724" ht="15.75" customHeight="1">
      <c r="D724" s="293"/>
      <c r="E724" s="293"/>
      <c r="F724" s="293"/>
    </row>
    <row r="725" ht="15.75" customHeight="1">
      <c r="D725" s="293"/>
      <c r="E725" s="293"/>
      <c r="F725" s="293"/>
    </row>
    <row r="726" ht="15.75" customHeight="1">
      <c r="D726" s="293"/>
      <c r="E726" s="293"/>
      <c r="F726" s="293"/>
    </row>
    <row r="727" ht="15.75" customHeight="1">
      <c r="D727" s="293"/>
      <c r="E727" s="293"/>
      <c r="F727" s="293"/>
    </row>
    <row r="728" ht="15.75" customHeight="1">
      <c r="D728" s="293"/>
      <c r="E728" s="293"/>
      <c r="F728" s="293"/>
    </row>
    <row r="729" ht="15.75" customHeight="1">
      <c r="D729" s="293"/>
      <c r="E729" s="293"/>
      <c r="F729" s="293"/>
    </row>
    <row r="730" ht="15.75" customHeight="1">
      <c r="D730" s="293"/>
      <c r="E730" s="293"/>
      <c r="F730" s="293"/>
    </row>
    <row r="731" ht="15.75" customHeight="1">
      <c r="D731" s="293"/>
      <c r="E731" s="293"/>
      <c r="F731" s="293"/>
    </row>
    <row r="732" ht="15.75" customHeight="1">
      <c r="D732" s="293"/>
      <c r="E732" s="293"/>
      <c r="F732" s="293"/>
    </row>
    <row r="733" ht="15.75" customHeight="1">
      <c r="D733" s="293"/>
      <c r="E733" s="293"/>
      <c r="F733" s="293"/>
    </row>
    <row r="734" ht="15.75" customHeight="1">
      <c r="D734" s="293"/>
      <c r="E734" s="293"/>
      <c r="F734" s="293"/>
    </row>
    <row r="735" ht="15.75" customHeight="1">
      <c r="D735" s="293"/>
      <c r="E735" s="293"/>
      <c r="F735" s="293"/>
    </row>
    <row r="736" ht="15.75" customHeight="1">
      <c r="D736" s="293"/>
      <c r="E736" s="293"/>
      <c r="F736" s="293"/>
    </row>
    <row r="737" ht="15.75" customHeight="1">
      <c r="D737" s="293"/>
      <c r="E737" s="293"/>
      <c r="F737" s="293"/>
    </row>
    <row r="738" ht="15.75" customHeight="1">
      <c r="D738" s="293"/>
      <c r="E738" s="293"/>
      <c r="F738" s="293"/>
    </row>
    <row r="739" ht="15.75" customHeight="1">
      <c r="D739" s="293"/>
      <c r="E739" s="293"/>
      <c r="F739" s="293"/>
    </row>
    <row r="740" ht="15.75" customHeight="1">
      <c r="D740" s="293"/>
      <c r="E740" s="293"/>
      <c r="F740" s="293"/>
    </row>
    <row r="741" ht="15.75" customHeight="1">
      <c r="D741" s="293"/>
      <c r="E741" s="293"/>
      <c r="F741" s="293"/>
    </row>
    <row r="742" ht="15.75" customHeight="1">
      <c r="D742" s="293"/>
      <c r="E742" s="293"/>
      <c r="F742" s="293"/>
    </row>
    <row r="743" ht="15.75" customHeight="1">
      <c r="D743" s="293"/>
      <c r="E743" s="293"/>
      <c r="F743" s="293"/>
    </row>
    <row r="744" ht="15.75" customHeight="1">
      <c r="D744" s="293"/>
      <c r="E744" s="293"/>
      <c r="F744" s="293"/>
    </row>
    <row r="745" ht="15.75" customHeight="1">
      <c r="D745" s="293"/>
      <c r="E745" s="293"/>
      <c r="F745" s="293"/>
    </row>
    <row r="746" ht="15.75" customHeight="1">
      <c r="D746" s="293"/>
      <c r="E746" s="293"/>
      <c r="F746" s="293"/>
    </row>
    <row r="747" ht="15.75" customHeight="1">
      <c r="D747" s="293"/>
      <c r="E747" s="293"/>
      <c r="F747" s="293"/>
    </row>
    <row r="748" ht="15.75" customHeight="1">
      <c r="D748" s="293"/>
      <c r="E748" s="293"/>
      <c r="F748" s="293"/>
    </row>
    <row r="749" ht="15.75" customHeight="1">
      <c r="D749" s="293"/>
      <c r="E749" s="293"/>
      <c r="F749" s="293"/>
    </row>
    <row r="750" ht="15.75" customHeight="1">
      <c r="D750" s="293"/>
      <c r="E750" s="293"/>
      <c r="F750" s="293"/>
    </row>
    <row r="751" ht="15.75" customHeight="1">
      <c r="D751" s="293"/>
      <c r="E751" s="293"/>
      <c r="F751" s="293"/>
    </row>
    <row r="752" ht="15.75" customHeight="1">
      <c r="D752" s="293"/>
      <c r="E752" s="293"/>
      <c r="F752" s="293"/>
    </row>
    <row r="753" ht="15.75" customHeight="1">
      <c r="D753" s="293"/>
      <c r="E753" s="293"/>
      <c r="F753" s="293"/>
    </row>
    <row r="754" ht="15.75" customHeight="1">
      <c r="D754" s="293"/>
      <c r="E754" s="293"/>
      <c r="F754" s="293"/>
    </row>
    <row r="755" ht="15.75" customHeight="1">
      <c r="D755" s="293"/>
      <c r="E755" s="293"/>
      <c r="F755" s="293"/>
    </row>
    <row r="756" ht="15.75" customHeight="1">
      <c r="D756" s="293"/>
      <c r="E756" s="293"/>
      <c r="F756" s="293"/>
    </row>
    <row r="757" ht="15.75" customHeight="1">
      <c r="D757" s="293"/>
      <c r="E757" s="293"/>
      <c r="F757" s="293"/>
    </row>
    <row r="758" ht="15.75" customHeight="1">
      <c r="D758" s="293"/>
      <c r="E758" s="293"/>
      <c r="F758" s="293"/>
    </row>
    <row r="759" ht="15.75" customHeight="1">
      <c r="D759" s="293"/>
      <c r="E759" s="293"/>
      <c r="F759" s="293"/>
    </row>
    <row r="760" ht="15.75" customHeight="1">
      <c r="D760" s="293"/>
      <c r="E760" s="293"/>
      <c r="F760" s="293"/>
    </row>
    <row r="761" ht="15.75" customHeight="1">
      <c r="D761" s="293"/>
      <c r="E761" s="293"/>
      <c r="F761" s="293"/>
    </row>
    <row r="762" ht="15.75" customHeight="1">
      <c r="D762" s="293"/>
      <c r="E762" s="293"/>
      <c r="F762" s="293"/>
    </row>
    <row r="763" ht="15.75" customHeight="1">
      <c r="D763" s="293"/>
      <c r="E763" s="293"/>
      <c r="F763" s="293"/>
    </row>
    <row r="764" ht="15.75" customHeight="1">
      <c r="D764" s="293"/>
      <c r="E764" s="293"/>
      <c r="F764" s="293"/>
    </row>
    <row r="765" ht="15.75" customHeight="1">
      <c r="D765" s="293"/>
      <c r="E765" s="293"/>
      <c r="F765" s="293"/>
    </row>
    <row r="766" ht="15.75" customHeight="1">
      <c r="D766" s="293"/>
      <c r="E766" s="293"/>
      <c r="F766" s="293"/>
    </row>
    <row r="767" ht="15.75" customHeight="1">
      <c r="D767" s="293"/>
      <c r="E767" s="293"/>
      <c r="F767" s="293"/>
    </row>
    <row r="768" ht="15.75" customHeight="1">
      <c r="D768" s="293"/>
      <c r="E768" s="293"/>
      <c r="F768" s="293"/>
    </row>
    <row r="769" ht="15.75" customHeight="1">
      <c r="D769" s="293"/>
      <c r="E769" s="293"/>
      <c r="F769" s="293"/>
    </row>
    <row r="770" ht="15.75" customHeight="1">
      <c r="D770" s="293"/>
      <c r="E770" s="293"/>
      <c r="F770" s="293"/>
    </row>
    <row r="771" ht="15.75" customHeight="1">
      <c r="D771" s="293"/>
      <c r="E771" s="293"/>
      <c r="F771" s="293"/>
    </row>
    <row r="772" ht="15.75" customHeight="1">
      <c r="D772" s="293"/>
      <c r="E772" s="293"/>
      <c r="F772" s="293"/>
    </row>
    <row r="773" ht="15.75" customHeight="1">
      <c r="D773" s="293"/>
      <c r="E773" s="293"/>
      <c r="F773" s="293"/>
    </row>
    <row r="774" ht="15.75" customHeight="1">
      <c r="D774" s="293"/>
      <c r="E774" s="293"/>
      <c r="F774" s="293"/>
    </row>
    <row r="775" ht="15.75" customHeight="1">
      <c r="D775" s="293"/>
      <c r="E775" s="293"/>
      <c r="F775" s="293"/>
    </row>
    <row r="776" ht="15.75" customHeight="1">
      <c r="D776" s="293"/>
      <c r="E776" s="293"/>
      <c r="F776" s="293"/>
    </row>
    <row r="777" ht="15.75" customHeight="1">
      <c r="D777" s="293"/>
      <c r="E777" s="293"/>
      <c r="F777" s="293"/>
    </row>
    <row r="778" ht="15.75" customHeight="1">
      <c r="D778" s="293"/>
      <c r="E778" s="293"/>
      <c r="F778" s="293"/>
    </row>
    <row r="779" ht="15.75" customHeight="1">
      <c r="D779" s="293"/>
      <c r="E779" s="293"/>
      <c r="F779" s="293"/>
    </row>
    <row r="780" ht="15.75" customHeight="1">
      <c r="D780" s="293"/>
      <c r="E780" s="293"/>
      <c r="F780" s="293"/>
    </row>
    <row r="781" ht="15.75" customHeight="1">
      <c r="D781" s="293"/>
      <c r="E781" s="293"/>
      <c r="F781" s="293"/>
    </row>
    <row r="782" ht="15.75" customHeight="1">
      <c r="D782" s="293"/>
      <c r="E782" s="293"/>
      <c r="F782" s="293"/>
    </row>
    <row r="783" ht="15.75" customHeight="1">
      <c r="D783" s="293"/>
      <c r="E783" s="293"/>
      <c r="F783" s="293"/>
    </row>
    <row r="784" ht="15.75" customHeight="1">
      <c r="D784" s="293"/>
      <c r="E784" s="293"/>
      <c r="F784" s="293"/>
    </row>
    <row r="785" ht="15.75" customHeight="1">
      <c r="D785" s="293"/>
      <c r="E785" s="293"/>
      <c r="F785" s="293"/>
    </row>
    <row r="786" ht="15.75" customHeight="1">
      <c r="D786" s="293"/>
      <c r="E786" s="293"/>
      <c r="F786" s="293"/>
    </row>
    <row r="787" ht="15.75" customHeight="1">
      <c r="D787" s="293"/>
      <c r="E787" s="293"/>
      <c r="F787" s="293"/>
    </row>
    <row r="788" ht="15.75" customHeight="1">
      <c r="D788" s="293"/>
      <c r="E788" s="293"/>
      <c r="F788" s="293"/>
    </row>
    <row r="789" ht="15.75" customHeight="1">
      <c r="D789" s="293"/>
      <c r="E789" s="293"/>
      <c r="F789" s="293"/>
    </row>
    <row r="790" ht="15.75" customHeight="1">
      <c r="D790" s="293"/>
      <c r="E790" s="293"/>
      <c r="F790" s="293"/>
    </row>
    <row r="791" ht="15.75" customHeight="1">
      <c r="D791" s="293"/>
      <c r="E791" s="293"/>
      <c r="F791" s="293"/>
    </row>
    <row r="792" ht="15.75" customHeight="1">
      <c r="D792" s="293"/>
      <c r="E792" s="293"/>
      <c r="F792" s="293"/>
    </row>
    <row r="793" ht="15.75" customHeight="1">
      <c r="D793" s="293"/>
      <c r="E793" s="293"/>
      <c r="F793" s="293"/>
    </row>
    <row r="794" ht="15.75" customHeight="1">
      <c r="D794" s="293"/>
      <c r="E794" s="293"/>
      <c r="F794" s="293"/>
    </row>
    <row r="795" ht="15.75" customHeight="1">
      <c r="D795" s="293"/>
      <c r="E795" s="293"/>
      <c r="F795" s="293"/>
    </row>
    <row r="796" ht="15.75" customHeight="1">
      <c r="D796" s="293"/>
      <c r="E796" s="293"/>
      <c r="F796" s="293"/>
    </row>
    <row r="797" ht="15.75" customHeight="1">
      <c r="D797" s="293"/>
      <c r="E797" s="293"/>
      <c r="F797" s="293"/>
    </row>
    <row r="798" ht="15.75" customHeight="1">
      <c r="D798" s="293"/>
      <c r="E798" s="293"/>
      <c r="F798" s="293"/>
    </row>
    <row r="799" ht="15.75" customHeight="1">
      <c r="D799" s="293"/>
      <c r="E799" s="293"/>
      <c r="F799" s="293"/>
    </row>
    <row r="800" ht="15.75" customHeight="1">
      <c r="D800" s="293"/>
      <c r="E800" s="293"/>
      <c r="F800" s="293"/>
    </row>
    <row r="801" ht="15.75" customHeight="1">
      <c r="D801" s="293"/>
      <c r="E801" s="293"/>
      <c r="F801" s="293"/>
    </row>
    <row r="802" ht="15.75" customHeight="1">
      <c r="D802" s="293"/>
      <c r="E802" s="293"/>
      <c r="F802" s="293"/>
    </row>
    <row r="803" ht="15.75" customHeight="1">
      <c r="D803" s="293"/>
      <c r="E803" s="293"/>
      <c r="F803" s="293"/>
    </row>
    <row r="804" ht="15.75" customHeight="1">
      <c r="D804" s="293"/>
      <c r="E804" s="293"/>
      <c r="F804" s="293"/>
    </row>
    <row r="805" ht="15.75" customHeight="1">
      <c r="D805" s="293"/>
      <c r="E805" s="293"/>
      <c r="F805" s="293"/>
    </row>
    <row r="806" ht="15.75" customHeight="1">
      <c r="D806" s="293"/>
      <c r="E806" s="293"/>
      <c r="F806" s="293"/>
    </row>
    <row r="807" ht="15.75" customHeight="1">
      <c r="D807" s="293"/>
      <c r="E807" s="293"/>
      <c r="F807" s="293"/>
    </row>
    <row r="808" ht="15.75" customHeight="1">
      <c r="D808" s="293"/>
      <c r="E808" s="293"/>
      <c r="F808" s="293"/>
    </row>
    <row r="809" ht="15.75" customHeight="1">
      <c r="D809" s="293"/>
      <c r="E809" s="293"/>
      <c r="F809" s="293"/>
    </row>
    <row r="810" ht="15.75" customHeight="1">
      <c r="D810" s="293"/>
      <c r="E810" s="293"/>
      <c r="F810" s="293"/>
    </row>
    <row r="811" ht="15.75" customHeight="1">
      <c r="D811" s="293"/>
      <c r="E811" s="293"/>
      <c r="F811" s="293"/>
    </row>
    <row r="812" ht="15.75" customHeight="1">
      <c r="D812" s="293"/>
      <c r="E812" s="293"/>
      <c r="F812" s="293"/>
    </row>
    <row r="813" ht="15.75" customHeight="1">
      <c r="D813" s="293"/>
      <c r="E813" s="293"/>
      <c r="F813" s="293"/>
    </row>
    <row r="814" ht="15.75" customHeight="1">
      <c r="D814" s="293"/>
      <c r="E814" s="293"/>
      <c r="F814" s="293"/>
    </row>
    <row r="815" ht="15.75" customHeight="1">
      <c r="D815" s="293"/>
      <c r="E815" s="293"/>
      <c r="F815" s="293"/>
    </row>
    <row r="816" ht="15.75" customHeight="1">
      <c r="D816" s="293"/>
      <c r="E816" s="293"/>
      <c r="F816" s="293"/>
    </row>
    <row r="817" ht="15.75" customHeight="1">
      <c r="D817" s="293"/>
      <c r="E817" s="293"/>
      <c r="F817" s="293"/>
    </row>
    <row r="818" ht="15.75" customHeight="1">
      <c r="D818" s="293"/>
      <c r="E818" s="293"/>
      <c r="F818" s="293"/>
    </row>
    <row r="819" ht="15.75" customHeight="1">
      <c r="D819" s="293"/>
      <c r="E819" s="293"/>
      <c r="F819" s="293"/>
    </row>
    <row r="820" ht="15.75" customHeight="1">
      <c r="D820" s="293"/>
      <c r="E820" s="293"/>
      <c r="F820" s="293"/>
    </row>
    <row r="821" ht="15.75" customHeight="1">
      <c r="D821" s="293"/>
      <c r="E821" s="293"/>
      <c r="F821" s="293"/>
    </row>
    <row r="822" ht="15.75" customHeight="1">
      <c r="D822" s="293"/>
      <c r="E822" s="293"/>
      <c r="F822" s="293"/>
    </row>
    <row r="823" ht="15.75" customHeight="1">
      <c r="D823" s="293"/>
      <c r="E823" s="293"/>
      <c r="F823" s="293"/>
    </row>
    <row r="824" ht="15.75" customHeight="1">
      <c r="D824" s="293"/>
      <c r="E824" s="293"/>
      <c r="F824" s="293"/>
    </row>
    <row r="825" ht="15.75" customHeight="1">
      <c r="D825" s="293"/>
      <c r="E825" s="293"/>
      <c r="F825" s="293"/>
    </row>
    <row r="826" ht="15.75" customHeight="1">
      <c r="D826" s="293"/>
      <c r="E826" s="293"/>
      <c r="F826" s="293"/>
    </row>
    <row r="827" ht="15.75" customHeight="1">
      <c r="D827" s="293"/>
      <c r="E827" s="293"/>
      <c r="F827" s="293"/>
    </row>
    <row r="828" ht="15.75" customHeight="1">
      <c r="D828" s="293"/>
      <c r="E828" s="293"/>
      <c r="F828" s="293"/>
    </row>
    <row r="829" ht="15.75" customHeight="1">
      <c r="D829" s="293"/>
      <c r="E829" s="293"/>
      <c r="F829" s="293"/>
    </row>
    <row r="830" ht="15.75" customHeight="1">
      <c r="D830" s="293"/>
      <c r="E830" s="293"/>
      <c r="F830" s="293"/>
    </row>
    <row r="831" ht="15.75" customHeight="1">
      <c r="D831" s="293"/>
      <c r="E831" s="293"/>
      <c r="F831" s="293"/>
    </row>
    <row r="832" ht="15.75" customHeight="1">
      <c r="D832" s="293"/>
      <c r="E832" s="293"/>
      <c r="F832" s="293"/>
    </row>
    <row r="833" ht="15.75" customHeight="1">
      <c r="D833" s="293"/>
      <c r="E833" s="293"/>
      <c r="F833" s="293"/>
    </row>
    <row r="834" ht="15.75" customHeight="1">
      <c r="D834" s="293"/>
      <c r="E834" s="293"/>
      <c r="F834" s="293"/>
    </row>
    <row r="835" ht="15.75" customHeight="1">
      <c r="D835" s="293"/>
      <c r="E835" s="293"/>
      <c r="F835" s="293"/>
    </row>
    <row r="836" ht="15.75" customHeight="1">
      <c r="D836" s="293"/>
      <c r="E836" s="293"/>
      <c r="F836" s="293"/>
    </row>
    <row r="837" ht="15.75" customHeight="1">
      <c r="D837" s="293"/>
      <c r="E837" s="293"/>
      <c r="F837" s="293"/>
    </row>
    <row r="838" ht="15.75" customHeight="1">
      <c r="D838" s="293"/>
      <c r="E838" s="293"/>
      <c r="F838" s="293"/>
    </row>
    <row r="839" ht="15.75" customHeight="1">
      <c r="D839" s="293"/>
      <c r="E839" s="293"/>
      <c r="F839" s="293"/>
    </row>
    <row r="840" ht="15.75" customHeight="1">
      <c r="D840" s="293"/>
      <c r="E840" s="293"/>
      <c r="F840" s="293"/>
    </row>
    <row r="841" ht="15.75" customHeight="1">
      <c r="D841" s="293"/>
      <c r="E841" s="293"/>
      <c r="F841" s="293"/>
    </row>
    <row r="842" ht="15.75" customHeight="1">
      <c r="D842" s="293"/>
      <c r="E842" s="293"/>
      <c r="F842" s="293"/>
    </row>
    <row r="843" ht="15.75" customHeight="1">
      <c r="D843" s="293"/>
      <c r="E843" s="293"/>
      <c r="F843" s="293"/>
    </row>
    <row r="844" ht="15.75" customHeight="1">
      <c r="D844" s="293"/>
      <c r="E844" s="293"/>
      <c r="F844" s="293"/>
    </row>
    <row r="845" ht="15.75" customHeight="1">
      <c r="D845" s="293"/>
      <c r="E845" s="293"/>
      <c r="F845" s="293"/>
    </row>
    <row r="846" ht="15.75" customHeight="1">
      <c r="D846" s="293"/>
      <c r="E846" s="293"/>
      <c r="F846" s="293"/>
    </row>
    <row r="847" ht="15.75" customHeight="1">
      <c r="D847" s="293"/>
      <c r="E847" s="293"/>
      <c r="F847" s="293"/>
    </row>
    <row r="848" ht="15.75" customHeight="1">
      <c r="D848" s="293"/>
      <c r="E848" s="293"/>
      <c r="F848" s="293"/>
    </row>
    <row r="849" ht="15.75" customHeight="1">
      <c r="D849" s="293"/>
      <c r="E849" s="293"/>
      <c r="F849" s="293"/>
    </row>
    <row r="850" ht="15.75" customHeight="1">
      <c r="D850" s="293"/>
      <c r="E850" s="293"/>
      <c r="F850" s="293"/>
    </row>
    <row r="851" ht="15.75" customHeight="1">
      <c r="D851" s="293"/>
      <c r="E851" s="293"/>
      <c r="F851" s="293"/>
    </row>
    <row r="852" ht="15.75" customHeight="1">
      <c r="D852" s="293"/>
      <c r="E852" s="293"/>
      <c r="F852" s="293"/>
    </row>
    <row r="853" ht="15.75" customHeight="1">
      <c r="D853" s="293"/>
      <c r="E853" s="293"/>
      <c r="F853" s="293"/>
    </row>
    <row r="854" ht="15.75" customHeight="1">
      <c r="D854" s="293"/>
      <c r="E854" s="293"/>
      <c r="F854" s="293"/>
    </row>
    <row r="855" ht="15.75" customHeight="1">
      <c r="D855" s="293"/>
      <c r="E855" s="293"/>
      <c r="F855" s="293"/>
    </row>
    <row r="856" ht="15.75" customHeight="1">
      <c r="D856" s="293"/>
      <c r="E856" s="293"/>
      <c r="F856" s="293"/>
    </row>
    <row r="857" ht="15.75" customHeight="1">
      <c r="D857" s="293"/>
      <c r="E857" s="293"/>
      <c r="F857" s="293"/>
    </row>
    <row r="858" ht="15.75" customHeight="1">
      <c r="D858" s="293"/>
      <c r="E858" s="293"/>
      <c r="F858" s="293"/>
    </row>
    <row r="859" ht="15.75" customHeight="1">
      <c r="D859" s="293"/>
      <c r="E859" s="293"/>
      <c r="F859" s="293"/>
    </row>
    <row r="860" ht="15.75" customHeight="1">
      <c r="D860" s="293"/>
      <c r="E860" s="293"/>
      <c r="F860" s="293"/>
    </row>
    <row r="861" ht="15.75" customHeight="1">
      <c r="D861" s="293"/>
      <c r="E861" s="293"/>
      <c r="F861" s="293"/>
    </row>
    <row r="862" ht="15.75" customHeight="1">
      <c r="D862" s="293"/>
      <c r="E862" s="293"/>
      <c r="F862" s="293"/>
    </row>
    <row r="863" ht="15.75" customHeight="1">
      <c r="D863" s="293"/>
      <c r="E863" s="293"/>
      <c r="F863" s="293"/>
    </row>
    <row r="864" ht="15.75" customHeight="1">
      <c r="D864" s="293"/>
      <c r="E864" s="293"/>
      <c r="F864" s="293"/>
    </row>
    <row r="865" ht="15.75" customHeight="1">
      <c r="D865" s="293"/>
      <c r="E865" s="293"/>
      <c r="F865" s="293"/>
    </row>
    <row r="866" ht="15.75" customHeight="1">
      <c r="D866" s="293"/>
      <c r="E866" s="293"/>
      <c r="F866" s="293"/>
    </row>
    <row r="867" ht="15.75" customHeight="1">
      <c r="D867" s="293"/>
      <c r="E867" s="293"/>
      <c r="F867" s="293"/>
    </row>
    <row r="868" ht="15.75" customHeight="1">
      <c r="D868" s="293"/>
      <c r="E868" s="293"/>
      <c r="F868" s="293"/>
    </row>
    <row r="869" ht="15.75" customHeight="1">
      <c r="D869" s="293"/>
      <c r="E869" s="293"/>
      <c r="F869" s="293"/>
    </row>
    <row r="870" ht="15.75" customHeight="1">
      <c r="D870" s="293"/>
      <c r="E870" s="293"/>
      <c r="F870" s="293"/>
    </row>
    <row r="871" ht="15.75" customHeight="1">
      <c r="D871" s="293"/>
      <c r="E871" s="293"/>
      <c r="F871" s="293"/>
    </row>
    <row r="872" ht="15.75" customHeight="1">
      <c r="D872" s="293"/>
      <c r="E872" s="293"/>
      <c r="F872" s="293"/>
    </row>
    <row r="873" ht="15.75" customHeight="1">
      <c r="D873" s="293"/>
      <c r="E873" s="293"/>
      <c r="F873" s="293"/>
    </row>
    <row r="874" ht="15.75" customHeight="1">
      <c r="D874" s="293"/>
      <c r="E874" s="293"/>
      <c r="F874" s="293"/>
    </row>
    <row r="875" ht="15.75" customHeight="1">
      <c r="D875" s="293"/>
      <c r="E875" s="293"/>
      <c r="F875" s="293"/>
    </row>
    <row r="876" ht="15.75" customHeight="1">
      <c r="D876" s="293"/>
      <c r="E876" s="293"/>
      <c r="F876" s="293"/>
    </row>
    <row r="877" ht="15.75" customHeight="1">
      <c r="D877" s="293"/>
      <c r="E877" s="293"/>
      <c r="F877" s="293"/>
    </row>
    <row r="878" ht="15.75" customHeight="1">
      <c r="D878" s="293"/>
      <c r="E878" s="293"/>
      <c r="F878" s="293"/>
    </row>
    <row r="879" ht="15.75" customHeight="1">
      <c r="D879" s="293"/>
      <c r="E879" s="293"/>
      <c r="F879" s="293"/>
    </row>
    <row r="880" ht="15.75" customHeight="1">
      <c r="D880" s="293"/>
      <c r="E880" s="293"/>
      <c r="F880" s="293"/>
    </row>
    <row r="881" ht="15.75" customHeight="1">
      <c r="D881" s="293"/>
      <c r="E881" s="293"/>
      <c r="F881" s="293"/>
    </row>
    <row r="882" ht="15.75" customHeight="1">
      <c r="D882" s="293"/>
      <c r="E882" s="293"/>
      <c r="F882" s="293"/>
    </row>
    <row r="883" ht="15.75" customHeight="1">
      <c r="D883" s="293"/>
      <c r="E883" s="293"/>
      <c r="F883" s="293"/>
    </row>
    <row r="884" ht="15.75" customHeight="1">
      <c r="D884" s="293"/>
      <c r="E884" s="293"/>
      <c r="F884" s="293"/>
    </row>
    <row r="885" ht="15.75" customHeight="1">
      <c r="D885" s="293"/>
      <c r="E885" s="293"/>
      <c r="F885" s="293"/>
    </row>
    <row r="886" ht="15.75" customHeight="1">
      <c r="D886" s="293"/>
      <c r="E886" s="293"/>
      <c r="F886" s="293"/>
    </row>
    <row r="887" ht="15.75" customHeight="1">
      <c r="D887" s="293"/>
      <c r="E887" s="293"/>
      <c r="F887" s="293"/>
    </row>
    <row r="888" ht="15.75" customHeight="1">
      <c r="D888" s="293"/>
      <c r="E888" s="293"/>
      <c r="F888" s="293"/>
    </row>
    <row r="889" ht="15.75" customHeight="1">
      <c r="D889" s="293"/>
      <c r="E889" s="293"/>
      <c r="F889" s="293"/>
    </row>
    <row r="890" ht="15.75" customHeight="1">
      <c r="D890" s="293"/>
      <c r="E890" s="293"/>
      <c r="F890" s="293"/>
    </row>
    <row r="891" ht="15.75" customHeight="1">
      <c r="D891" s="293"/>
      <c r="E891" s="293"/>
      <c r="F891" s="293"/>
    </row>
    <row r="892" ht="15.75" customHeight="1">
      <c r="D892" s="293"/>
      <c r="E892" s="293"/>
      <c r="F892" s="293"/>
    </row>
    <row r="893" ht="15.75" customHeight="1">
      <c r="D893" s="293"/>
      <c r="E893" s="293"/>
      <c r="F893" s="293"/>
    </row>
    <row r="894" ht="15.75" customHeight="1">
      <c r="D894" s="293"/>
      <c r="E894" s="293"/>
      <c r="F894" s="293"/>
    </row>
    <row r="895" ht="15.75" customHeight="1">
      <c r="D895" s="293"/>
      <c r="E895" s="293"/>
      <c r="F895" s="293"/>
    </row>
    <row r="896" ht="15.75" customHeight="1">
      <c r="D896" s="293"/>
      <c r="E896" s="293"/>
      <c r="F896" s="293"/>
    </row>
    <row r="897" ht="15.75" customHeight="1">
      <c r="D897" s="293"/>
      <c r="E897" s="293"/>
      <c r="F897" s="293"/>
    </row>
    <row r="898" ht="15.75" customHeight="1">
      <c r="D898" s="293"/>
      <c r="E898" s="293"/>
      <c r="F898" s="293"/>
    </row>
    <row r="899" ht="15.75" customHeight="1">
      <c r="D899" s="293"/>
      <c r="E899" s="293"/>
      <c r="F899" s="293"/>
    </row>
    <row r="900" ht="15.75" customHeight="1">
      <c r="D900" s="293"/>
      <c r="E900" s="293"/>
      <c r="F900" s="293"/>
    </row>
    <row r="901" ht="15.75" customHeight="1">
      <c r="D901" s="293"/>
      <c r="E901" s="293"/>
      <c r="F901" s="293"/>
    </row>
    <row r="902" ht="15.75" customHeight="1">
      <c r="D902" s="293"/>
      <c r="E902" s="293"/>
      <c r="F902" s="293"/>
    </row>
    <row r="903" ht="15.75" customHeight="1">
      <c r="D903" s="293"/>
      <c r="E903" s="293"/>
      <c r="F903" s="293"/>
    </row>
    <row r="904" ht="15.75" customHeight="1">
      <c r="D904" s="293"/>
      <c r="E904" s="293"/>
      <c r="F904" s="293"/>
    </row>
    <row r="905" ht="15.75" customHeight="1">
      <c r="D905" s="293"/>
      <c r="E905" s="293"/>
      <c r="F905" s="293"/>
    </row>
    <row r="906" ht="15.75" customHeight="1">
      <c r="D906" s="293"/>
      <c r="E906" s="293"/>
      <c r="F906" s="293"/>
    </row>
    <row r="907" ht="15.75" customHeight="1">
      <c r="D907" s="293"/>
      <c r="E907" s="293"/>
      <c r="F907" s="293"/>
    </row>
    <row r="908" ht="15.75" customHeight="1">
      <c r="D908" s="293"/>
      <c r="E908" s="293"/>
      <c r="F908" s="293"/>
    </row>
    <row r="909" ht="15.75" customHeight="1">
      <c r="D909" s="293"/>
      <c r="E909" s="293"/>
      <c r="F909" s="293"/>
    </row>
    <row r="910" ht="15.75" customHeight="1">
      <c r="D910" s="293"/>
      <c r="E910" s="293"/>
      <c r="F910" s="293"/>
    </row>
    <row r="911" ht="15.75" customHeight="1">
      <c r="D911" s="293"/>
      <c r="E911" s="293"/>
      <c r="F911" s="293"/>
    </row>
    <row r="912" ht="15.75" customHeight="1">
      <c r="D912" s="293"/>
      <c r="E912" s="293"/>
      <c r="F912" s="293"/>
    </row>
    <row r="913" ht="15.75" customHeight="1">
      <c r="D913" s="293"/>
      <c r="E913" s="293"/>
      <c r="F913" s="293"/>
    </row>
    <row r="914" ht="15.75" customHeight="1">
      <c r="D914" s="293"/>
      <c r="E914" s="293"/>
      <c r="F914" s="293"/>
    </row>
    <row r="915" ht="15.75" customHeight="1">
      <c r="D915" s="293"/>
      <c r="E915" s="293"/>
      <c r="F915" s="293"/>
    </row>
    <row r="916" ht="15.75" customHeight="1">
      <c r="D916" s="293"/>
      <c r="E916" s="293"/>
      <c r="F916" s="293"/>
    </row>
    <row r="917" ht="15.75" customHeight="1">
      <c r="D917" s="293"/>
      <c r="E917" s="293"/>
      <c r="F917" s="293"/>
    </row>
    <row r="918" ht="15.75" customHeight="1">
      <c r="D918" s="293"/>
      <c r="E918" s="293"/>
      <c r="F918" s="293"/>
    </row>
    <row r="919" ht="15.75" customHeight="1">
      <c r="D919" s="293"/>
      <c r="E919" s="293"/>
      <c r="F919" s="293"/>
    </row>
    <row r="920" ht="15.75" customHeight="1">
      <c r="D920" s="293"/>
      <c r="E920" s="293"/>
      <c r="F920" s="293"/>
    </row>
    <row r="921" ht="15.75" customHeight="1">
      <c r="D921" s="293"/>
      <c r="E921" s="293"/>
      <c r="F921" s="293"/>
    </row>
    <row r="922" ht="15.75" customHeight="1">
      <c r="D922" s="293"/>
      <c r="E922" s="293"/>
      <c r="F922" s="293"/>
    </row>
    <row r="923" ht="15.75" customHeight="1">
      <c r="D923" s="293"/>
      <c r="E923" s="293"/>
      <c r="F923" s="293"/>
    </row>
    <row r="924" ht="15.75" customHeight="1">
      <c r="D924" s="293"/>
      <c r="E924" s="293"/>
      <c r="F924" s="293"/>
    </row>
    <row r="925" ht="15.75" customHeight="1">
      <c r="D925" s="293"/>
      <c r="E925" s="293"/>
      <c r="F925" s="293"/>
    </row>
    <row r="926" ht="15.75" customHeight="1">
      <c r="D926" s="293"/>
      <c r="E926" s="293"/>
      <c r="F926" s="293"/>
    </row>
    <row r="927" ht="15.75" customHeight="1">
      <c r="D927" s="293"/>
      <c r="E927" s="293"/>
      <c r="F927" s="293"/>
    </row>
    <row r="928" ht="15.75" customHeight="1">
      <c r="D928" s="293"/>
      <c r="E928" s="293"/>
      <c r="F928" s="293"/>
    </row>
    <row r="929" ht="15.75" customHeight="1">
      <c r="D929" s="293"/>
      <c r="E929" s="293"/>
      <c r="F929" s="293"/>
    </row>
    <row r="930" ht="15.75" customHeight="1">
      <c r="D930" s="293"/>
      <c r="E930" s="293"/>
      <c r="F930" s="293"/>
    </row>
    <row r="931" ht="15.75" customHeight="1">
      <c r="D931" s="293"/>
      <c r="E931" s="293"/>
      <c r="F931" s="293"/>
    </row>
    <row r="932" ht="15.75" customHeight="1">
      <c r="D932" s="293"/>
      <c r="E932" s="293"/>
      <c r="F932" s="293"/>
    </row>
    <row r="933" ht="15.75" customHeight="1">
      <c r="D933" s="293"/>
      <c r="E933" s="293"/>
      <c r="F933" s="293"/>
    </row>
    <row r="934" ht="15.75" customHeight="1">
      <c r="D934" s="293"/>
      <c r="E934" s="293"/>
      <c r="F934" s="293"/>
    </row>
    <row r="935" ht="15.75" customHeight="1">
      <c r="D935" s="293"/>
      <c r="E935" s="293"/>
      <c r="F935" s="293"/>
    </row>
    <row r="936" ht="15.75" customHeight="1">
      <c r="D936" s="293"/>
      <c r="E936" s="293"/>
      <c r="F936" s="293"/>
    </row>
    <row r="937" ht="15.75" customHeight="1">
      <c r="D937" s="293"/>
      <c r="E937" s="293"/>
      <c r="F937" s="293"/>
    </row>
    <row r="938" ht="15.75" customHeight="1">
      <c r="D938" s="293"/>
      <c r="E938" s="293"/>
      <c r="F938" s="293"/>
    </row>
    <row r="939" ht="15.75" customHeight="1">
      <c r="D939" s="293"/>
      <c r="E939" s="293"/>
      <c r="F939" s="293"/>
    </row>
    <row r="940" ht="15.75" customHeight="1">
      <c r="D940" s="293"/>
      <c r="E940" s="293"/>
      <c r="F940" s="293"/>
    </row>
    <row r="941" ht="15.75" customHeight="1">
      <c r="D941" s="293"/>
      <c r="E941" s="293"/>
      <c r="F941" s="293"/>
    </row>
    <row r="942" ht="15.75" customHeight="1">
      <c r="D942" s="293"/>
      <c r="E942" s="293"/>
      <c r="F942" s="293"/>
    </row>
    <row r="943" ht="15.75" customHeight="1">
      <c r="D943" s="293"/>
      <c r="E943" s="293"/>
      <c r="F943" s="293"/>
    </row>
    <row r="944" ht="15.75" customHeight="1">
      <c r="D944" s="293"/>
      <c r="E944" s="293"/>
      <c r="F944" s="293"/>
    </row>
    <row r="945" ht="15.75" customHeight="1">
      <c r="D945" s="293"/>
      <c r="E945" s="293"/>
      <c r="F945" s="293"/>
    </row>
    <row r="946" ht="15.75" customHeight="1">
      <c r="D946" s="293"/>
      <c r="E946" s="293"/>
      <c r="F946" s="293"/>
    </row>
    <row r="947" ht="15.75" customHeight="1">
      <c r="D947" s="293"/>
      <c r="E947" s="293"/>
      <c r="F947" s="293"/>
    </row>
    <row r="948" ht="15.75" customHeight="1">
      <c r="D948" s="293"/>
      <c r="E948" s="293"/>
      <c r="F948" s="293"/>
    </row>
    <row r="949" ht="15.75" customHeight="1">
      <c r="D949" s="293"/>
      <c r="E949" s="293"/>
      <c r="F949" s="293"/>
    </row>
    <row r="950" ht="15.75" customHeight="1">
      <c r="D950" s="293"/>
      <c r="E950" s="293"/>
      <c r="F950" s="293"/>
    </row>
    <row r="951" ht="15.75" customHeight="1">
      <c r="D951" s="293"/>
      <c r="E951" s="293"/>
      <c r="F951" s="293"/>
    </row>
    <row r="952" ht="15.75" customHeight="1">
      <c r="D952" s="293"/>
      <c r="E952" s="293"/>
      <c r="F952" s="293"/>
    </row>
    <row r="953" ht="15.75" customHeight="1">
      <c r="D953" s="293"/>
      <c r="E953" s="293"/>
      <c r="F953" s="293"/>
    </row>
    <row r="954" ht="15.75" customHeight="1">
      <c r="D954" s="293"/>
      <c r="E954" s="293"/>
      <c r="F954" s="293"/>
    </row>
    <row r="955" ht="15.75" customHeight="1">
      <c r="D955" s="293"/>
      <c r="E955" s="293"/>
      <c r="F955" s="293"/>
    </row>
    <row r="956" ht="15.75" customHeight="1">
      <c r="D956" s="293"/>
      <c r="E956" s="293"/>
      <c r="F956" s="293"/>
    </row>
    <row r="957" ht="15.75" customHeight="1">
      <c r="D957" s="293"/>
      <c r="E957" s="293"/>
      <c r="F957" s="293"/>
    </row>
    <row r="958" ht="15.75" customHeight="1">
      <c r="D958" s="293"/>
      <c r="E958" s="293"/>
      <c r="F958" s="293"/>
    </row>
    <row r="959" ht="15.75" customHeight="1">
      <c r="D959" s="293"/>
      <c r="E959" s="293"/>
      <c r="F959" s="293"/>
    </row>
    <row r="960" ht="15.75" customHeight="1">
      <c r="D960" s="293"/>
      <c r="E960" s="293"/>
      <c r="F960" s="293"/>
    </row>
    <row r="961" ht="15.75" customHeight="1">
      <c r="D961" s="293"/>
      <c r="E961" s="293"/>
      <c r="F961" s="293"/>
    </row>
    <row r="962" ht="15.75" customHeight="1">
      <c r="D962" s="293"/>
      <c r="E962" s="293"/>
      <c r="F962" s="293"/>
    </row>
    <row r="963" ht="15.75" customHeight="1">
      <c r="D963" s="293"/>
      <c r="E963" s="293"/>
      <c r="F963" s="293"/>
    </row>
    <row r="964" ht="15.75" customHeight="1">
      <c r="D964" s="293"/>
      <c r="E964" s="293"/>
      <c r="F964" s="293"/>
    </row>
    <row r="965" ht="15.75" customHeight="1">
      <c r="D965" s="293"/>
      <c r="E965" s="293"/>
      <c r="F965" s="293"/>
    </row>
    <row r="966" ht="15.75" customHeight="1">
      <c r="D966" s="293"/>
      <c r="E966" s="293"/>
      <c r="F966" s="293"/>
    </row>
    <row r="967" ht="15.75" customHeight="1">
      <c r="D967" s="293"/>
      <c r="E967" s="293"/>
      <c r="F967" s="293"/>
    </row>
    <row r="968" ht="15.75" customHeight="1">
      <c r="D968" s="293"/>
      <c r="E968" s="293"/>
      <c r="F968" s="293"/>
    </row>
    <row r="969" ht="15.75" customHeight="1">
      <c r="D969" s="293"/>
      <c r="E969" s="293"/>
      <c r="F969" s="293"/>
    </row>
    <row r="970" ht="15.75" customHeight="1">
      <c r="D970" s="293"/>
      <c r="E970" s="293"/>
      <c r="F970" s="293"/>
    </row>
    <row r="971" ht="15.75" customHeight="1">
      <c r="D971" s="293"/>
      <c r="E971" s="293"/>
      <c r="F971" s="293"/>
    </row>
    <row r="972" ht="15.75" customHeight="1">
      <c r="D972" s="293"/>
      <c r="E972" s="293"/>
      <c r="F972" s="293"/>
    </row>
    <row r="973" ht="15.75" customHeight="1">
      <c r="D973" s="293"/>
      <c r="E973" s="293"/>
      <c r="F973" s="293"/>
    </row>
    <row r="974" ht="15.75" customHeight="1">
      <c r="D974" s="293"/>
      <c r="E974" s="293"/>
      <c r="F974" s="293"/>
    </row>
    <row r="975" ht="15.75" customHeight="1">
      <c r="D975" s="293"/>
      <c r="E975" s="293"/>
      <c r="F975" s="293"/>
    </row>
    <row r="976" ht="15.75" customHeight="1">
      <c r="D976" s="293"/>
      <c r="E976" s="293"/>
      <c r="F976" s="293"/>
    </row>
    <row r="977" ht="15.75" customHeight="1">
      <c r="D977" s="293"/>
      <c r="E977" s="293"/>
      <c r="F977" s="293"/>
    </row>
    <row r="978" ht="15.75" customHeight="1">
      <c r="D978" s="293"/>
      <c r="E978" s="293"/>
      <c r="F978" s="293"/>
    </row>
    <row r="979" ht="15.75" customHeight="1">
      <c r="D979" s="293"/>
      <c r="E979" s="293"/>
      <c r="F979" s="293"/>
    </row>
    <row r="980" ht="15.75" customHeight="1">
      <c r="D980" s="293"/>
      <c r="E980" s="293"/>
      <c r="F980" s="293"/>
    </row>
    <row r="981" ht="15.75" customHeight="1">
      <c r="D981" s="293"/>
      <c r="E981" s="293"/>
      <c r="F981" s="293"/>
    </row>
    <row r="982" ht="15.75" customHeight="1">
      <c r="D982" s="293"/>
      <c r="E982" s="293"/>
      <c r="F982" s="293"/>
    </row>
    <row r="983" ht="15.75" customHeight="1">
      <c r="D983" s="293"/>
      <c r="E983" s="293"/>
      <c r="F983" s="293"/>
    </row>
    <row r="984" ht="15.75" customHeight="1">
      <c r="D984" s="293"/>
      <c r="E984" s="293"/>
      <c r="F984" s="293"/>
    </row>
    <row r="985" ht="15.75" customHeight="1">
      <c r="D985" s="293"/>
      <c r="E985" s="293"/>
      <c r="F985" s="293"/>
    </row>
    <row r="986" ht="15.75" customHeight="1">
      <c r="D986" s="293"/>
      <c r="E986" s="293"/>
      <c r="F986" s="293"/>
    </row>
    <row r="987" ht="15.75" customHeight="1">
      <c r="D987" s="293"/>
      <c r="E987" s="293"/>
      <c r="F987" s="293"/>
    </row>
    <row r="988" ht="15.75" customHeight="1">
      <c r="D988" s="293"/>
      <c r="E988" s="293"/>
      <c r="F988" s="293"/>
    </row>
    <row r="989" ht="15.75" customHeight="1">
      <c r="D989" s="293"/>
      <c r="E989" s="293"/>
      <c r="F989" s="293"/>
    </row>
    <row r="990" ht="15.75" customHeight="1">
      <c r="D990" s="293"/>
      <c r="E990" s="293"/>
      <c r="F990" s="293"/>
    </row>
    <row r="991" ht="15.75" customHeight="1">
      <c r="D991" s="293"/>
      <c r="E991" s="293"/>
      <c r="F991" s="293"/>
    </row>
    <row r="992" ht="15.75" customHeight="1">
      <c r="D992" s="293"/>
      <c r="E992" s="293"/>
      <c r="F992" s="293"/>
    </row>
    <row r="993" ht="15.75" customHeight="1">
      <c r="D993" s="293"/>
      <c r="E993" s="293"/>
      <c r="F993" s="293"/>
    </row>
    <row r="994" ht="15.75" customHeight="1">
      <c r="D994" s="293"/>
      <c r="E994" s="293"/>
      <c r="F994" s="293"/>
    </row>
    <row r="995" ht="15.75" customHeight="1">
      <c r="D995" s="293"/>
      <c r="E995" s="293"/>
      <c r="F995" s="293"/>
    </row>
    <row r="996" ht="15.75" customHeight="1">
      <c r="D996" s="293"/>
      <c r="E996" s="293"/>
      <c r="F996" s="293"/>
    </row>
    <row r="997" ht="15.75" customHeight="1">
      <c r="D997" s="293"/>
      <c r="E997" s="293"/>
      <c r="F997" s="293"/>
    </row>
    <row r="998" ht="15.75" customHeight="1">
      <c r="D998" s="293"/>
      <c r="E998" s="293"/>
      <c r="F998" s="293"/>
    </row>
    <row r="999" ht="15.75" customHeight="1">
      <c r="D999" s="293"/>
      <c r="E999" s="293"/>
      <c r="F999" s="293"/>
    </row>
    <row r="1000" ht="15.75" customHeight="1">
      <c r="D1000" s="293"/>
      <c r="E1000" s="293"/>
      <c r="F1000" s="293"/>
    </row>
  </sheetData>
  <mergeCells count="1">
    <mergeCell ref="A4:Y4"/>
  </mergeCells>
  <conditionalFormatting sqref="AB6:AB10 AC6:AC11">
    <cfRule type="notContainsBlanks" dxfId="4" priority="1">
      <formula>LEN(TRIM(AB6))&gt;0</formula>
    </cfRule>
  </conditionalFormatting>
  <hyperlinks>
    <hyperlink r:id="rId1" ref="P6"/>
    <hyperlink r:id="rId2" ref="P13"/>
    <hyperlink r:id="rId3" ref="P119"/>
    <hyperlink r:id="rId4" ref="P124"/>
    <hyperlink r:id="rId5" ref="P190"/>
    <hyperlink r:id="rId6" ref="P272"/>
  </hyperlinks>
  <printOptions/>
  <pageMargins bottom="0.07452589553066431" footer="0.0" header="0.0" left="0.25" right="0.25" top="0.20494621270932686"/>
  <pageSetup paperSize="9" scale="50"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4.75"/>
    <col customWidth="1" min="2" max="2" width="19.0"/>
    <col customWidth="1" min="3" max="3" width="29.25"/>
    <col customWidth="1" min="4" max="4" width="14.13"/>
    <col customWidth="1" min="5" max="5" width="17.88"/>
    <col customWidth="1" min="6" max="7" width="11.5"/>
    <col customWidth="1" min="8" max="8" width="17.5"/>
    <col customWidth="1" min="9" max="9" width="48.63"/>
    <col customWidth="1" min="10" max="10" width="19.25"/>
    <col customWidth="1" min="11" max="11" width="18.75"/>
    <col customWidth="1" min="12" max="12" width="12.88"/>
    <col customWidth="1" min="13" max="13" width="36.5"/>
    <col customWidth="1" min="14" max="14" width="9.88"/>
    <col customWidth="1" min="15" max="15" width="33.63"/>
    <col customWidth="1" min="16" max="16" width="39.0"/>
    <col customWidth="1" min="17" max="17" width="56.13"/>
    <col customWidth="1" min="18" max="18" width="34.38"/>
    <col customWidth="1" min="19" max="19" width="126.5"/>
    <col customWidth="1" min="20" max="20" width="7.13"/>
    <col customWidth="1" min="21" max="21" width="6.5"/>
    <col customWidth="1" min="22" max="22" width="5.25"/>
    <col customWidth="1" min="23" max="23" width="4.75"/>
    <col customWidth="1" min="24" max="24" width="74.13"/>
    <col customWidth="1" min="25" max="25" width="54.63"/>
    <col customWidth="1" min="26" max="30" width="10.5"/>
  </cols>
  <sheetData>
    <row r="1" ht="15.0" customHeight="1">
      <c r="A1" s="1"/>
      <c r="B1" s="7"/>
      <c r="C1" s="7"/>
      <c r="D1" s="7"/>
      <c r="E1" s="7"/>
      <c r="F1" s="7"/>
      <c r="G1" s="7"/>
      <c r="H1" s="7"/>
      <c r="I1" s="7"/>
      <c r="J1" s="7"/>
      <c r="K1" s="7"/>
      <c r="L1" s="7"/>
      <c r="M1" s="7"/>
      <c r="N1" s="7"/>
      <c r="O1" s="7"/>
      <c r="P1" s="7"/>
      <c r="Q1" s="7"/>
      <c r="R1" s="7"/>
      <c r="S1" s="7"/>
      <c r="T1" s="7"/>
      <c r="U1" s="7"/>
      <c r="V1" s="7"/>
      <c r="W1" s="7"/>
      <c r="X1" s="7"/>
      <c r="Y1" s="25"/>
      <c r="Z1" s="16"/>
      <c r="AA1" s="16"/>
      <c r="AB1" s="16"/>
      <c r="AC1" s="16"/>
      <c r="AD1" s="16"/>
    </row>
    <row r="2">
      <c r="A2" s="28"/>
      <c r="B2" s="30"/>
      <c r="C2" s="30"/>
      <c r="D2" s="30"/>
      <c r="E2" s="30"/>
      <c r="F2" s="30"/>
      <c r="G2" s="30"/>
      <c r="H2" s="30"/>
      <c r="I2" s="30"/>
      <c r="J2" s="30"/>
      <c r="K2" s="30"/>
      <c r="L2" s="30"/>
      <c r="M2" s="30"/>
      <c r="N2" s="30"/>
      <c r="O2" s="30"/>
      <c r="P2" s="30"/>
      <c r="Q2" s="30"/>
      <c r="R2" s="30"/>
      <c r="S2" s="30"/>
      <c r="T2" s="30"/>
      <c r="U2" s="30"/>
      <c r="V2" s="30"/>
      <c r="W2" s="30"/>
      <c r="X2" s="30"/>
      <c r="Y2" s="40"/>
      <c r="Z2" s="16"/>
      <c r="AA2" s="16"/>
      <c r="AB2" s="16"/>
      <c r="AC2" s="16"/>
      <c r="AD2" s="16"/>
    </row>
    <row r="3">
      <c r="A3" s="42"/>
      <c r="B3" s="43"/>
      <c r="C3" s="43"/>
      <c r="D3" s="43"/>
      <c r="E3" s="43"/>
      <c r="F3" s="43"/>
      <c r="G3" s="43"/>
      <c r="H3" s="43"/>
      <c r="I3" s="43"/>
      <c r="J3" s="43"/>
      <c r="K3" s="43"/>
      <c r="L3" s="43"/>
      <c r="M3" s="43"/>
      <c r="N3" s="43"/>
      <c r="O3" s="43"/>
      <c r="P3" s="43"/>
      <c r="Q3" s="43"/>
      <c r="R3" s="43"/>
      <c r="S3" s="43"/>
      <c r="T3" s="43"/>
      <c r="U3" s="43"/>
      <c r="V3" s="43"/>
      <c r="W3" s="43"/>
      <c r="X3" s="43"/>
      <c r="Y3" s="46"/>
      <c r="Z3" s="16"/>
      <c r="AA3" s="16"/>
      <c r="AB3" s="16"/>
      <c r="AC3" s="16"/>
      <c r="AD3" s="16"/>
    </row>
    <row r="4" ht="15.0" customHeight="1">
      <c r="A4" s="49" t="s">
        <v>28</v>
      </c>
      <c r="B4" s="32"/>
      <c r="C4" s="32"/>
      <c r="D4" s="32"/>
      <c r="E4" s="32"/>
      <c r="F4" s="32"/>
      <c r="G4" s="32"/>
      <c r="H4" s="32"/>
      <c r="I4" s="32"/>
      <c r="J4" s="32"/>
      <c r="K4" s="32"/>
      <c r="L4" s="32"/>
      <c r="M4" s="32"/>
      <c r="N4" s="32"/>
      <c r="O4" s="32"/>
      <c r="P4" s="32"/>
      <c r="Q4" s="32"/>
      <c r="R4" s="32"/>
      <c r="S4" s="32"/>
      <c r="T4" s="32"/>
      <c r="U4" s="32"/>
      <c r="V4" s="32"/>
      <c r="W4" s="32"/>
      <c r="X4" s="32"/>
      <c r="Y4" s="37"/>
      <c r="Z4" s="16"/>
      <c r="AA4" s="16" t="s">
        <v>36</v>
      </c>
      <c r="AB4" s="16"/>
      <c r="AC4" s="16"/>
      <c r="AD4" s="16" t="s">
        <v>37</v>
      </c>
    </row>
    <row r="5" ht="32.25" customHeight="1">
      <c r="A5" s="52" t="s">
        <v>5</v>
      </c>
      <c r="B5" s="52" t="s">
        <v>6</v>
      </c>
      <c r="C5" s="52" t="s">
        <v>7</v>
      </c>
      <c r="D5" s="39" t="s">
        <v>8</v>
      </c>
      <c r="E5" s="41" t="s">
        <v>9</v>
      </c>
      <c r="F5" s="52" t="s">
        <v>10</v>
      </c>
      <c r="G5" s="52" t="s">
        <v>12</v>
      </c>
      <c r="H5" s="52" t="s">
        <v>13</v>
      </c>
      <c r="I5" s="44" t="s">
        <v>14</v>
      </c>
      <c r="J5" s="52" t="s">
        <v>15</v>
      </c>
      <c r="K5" s="52" t="s">
        <v>16</v>
      </c>
      <c r="L5" s="52" t="s">
        <v>17</v>
      </c>
      <c r="M5" s="52" t="s">
        <v>23</v>
      </c>
      <c r="N5" s="52" t="s">
        <v>18</v>
      </c>
      <c r="O5" s="39" t="s">
        <v>19</v>
      </c>
      <c r="P5" s="52" t="s">
        <v>20</v>
      </c>
      <c r="Q5" s="52" t="s">
        <v>21</v>
      </c>
      <c r="R5" s="52" t="s">
        <v>20</v>
      </c>
      <c r="S5" s="39" t="s">
        <v>22</v>
      </c>
      <c r="T5" s="41" t="s">
        <v>45</v>
      </c>
      <c r="U5" s="39" t="s">
        <v>26</v>
      </c>
      <c r="V5" s="52" t="s">
        <v>27</v>
      </c>
      <c r="W5" s="52" t="s">
        <v>29</v>
      </c>
      <c r="X5" s="52" t="s">
        <v>30</v>
      </c>
      <c r="Y5" s="52" t="s">
        <v>31</v>
      </c>
      <c r="Z5" s="16"/>
      <c r="AA5" s="59" t="s">
        <v>32</v>
      </c>
      <c r="AB5" s="62">
        <f>COUNTIF(N6:N601,"PRIVADO")</f>
        <v>39</v>
      </c>
      <c r="AC5" s="16"/>
      <c r="AD5" s="16"/>
    </row>
    <row r="6" ht="21.75" customHeight="1">
      <c r="A6" s="14">
        <v>1.0</v>
      </c>
      <c r="B6" s="14" t="s">
        <v>60</v>
      </c>
      <c r="C6" s="14" t="s">
        <v>62</v>
      </c>
      <c r="D6" s="66">
        <v>44874.0</v>
      </c>
      <c r="E6" s="70">
        <v>44909.0</v>
      </c>
      <c r="F6" s="75">
        <v>5332.0</v>
      </c>
      <c r="G6" s="75" t="s">
        <v>84</v>
      </c>
      <c r="H6" s="14" t="s">
        <v>85</v>
      </c>
      <c r="I6" s="67" t="s">
        <v>86</v>
      </c>
      <c r="J6" s="14" t="s">
        <v>87</v>
      </c>
      <c r="K6" s="14" t="s">
        <v>87</v>
      </c>
      <c r="L6" s="14" t="s">
        <v>88</v>
      </c>
      <c r="M6" s="14" t="s">
        <v>89</v>
      </c>
      <c r="N6" s="14" t="s">
        <v>50</v>
      </c>
      <c r="O6" s="50" t="s">
        <v>92</v>
      </c>
      <c r="P6" s="79" t="s">
        <v>93</v>
      </c>
      <c r="Q6" s="14" t="s">
        <v>95</v>
      </c>
      <c r="R6" s="14"/>
      <c r="S6" s="50" t="s">
        <v>96</v>
      </c>
      <c r="T6" s="14">
        <v>1.0</v>
      </c>
      <c r="U6" s="14">
        <v>0.0</v>
      </c>
      <c r="V6" s="14">
        <v>3.0</v>
      </c>
      <c r="W6" s="14">
        <v>1.0</v>
      </c>
      <c r="X6" s="14" t="s">
        <v>99</v>
      </c>
      <c r="Y6" s="14" t="s">
        <v>61</v>
      </c>
      <c r="Z6" s="16"/>
      <c r="AA6" s="83" t="s">
        <v>50</v>
      </c>
      <c r="AB6" s="62">
        <f>COUNTIF(N6:N602,"MINSA")</f>
        <v>23</v>
      </c>
      <c r="AC6" s="16"/>
      <c r="AD6" s="16"/>
    </row>
    <row r="7" ht="27.75" customHeight="1">
      <c r="A7" s="14">
        <v>2.0</v>
      </c>
      <c r="B7" s="14" t="s">
        <v>106</v>
      </c>
      <c r="C7" s="14" t="s">
        <v>107</v>
      </c>
      <c r="D7" s="66">
        <v>44883.0</v>
      </c>
      <c r="E7" s="86">
        <v>44909.0</v>
      </c>
      <c r="F7" s="88">
        <v>9437.0</v>
      </c>
      <c r="G7" s="88" t="s">
        <v>63</v>
      </c>
      <c r="H7" s="90" t="s">
        <v>43</v>
      </c>
      <c r="I7" s="93" t="s">
        <v>120</v>
      </c>
      <c r="J7" s="14" t="s">
        <v>126</v>
      </c>
      <c r="K7" s="14" t="s">
        <v>47</v>
      </c>
      <c r="L7" s="14" t="s">
        <v>47</v>
      </c>
      <c r="M7" s="14" t="s">
        <v>128</v>
      </c>
      <c r="N7" s="14" t="s">
        <v>32</v>
      </c>
      <c r="O7" s="50" t="s">
        <v>132</v>
      </c>
      <c r="P7" s="50" t="s">
        <v>134</v>
      </c>
      <c r="Q7" s="14" t="s">
        <v>136</v>
      </c>
      <c r="R7" s="14" t="s">
        <v>138</v>
      </c>
      <c r="S7" s="50" t="s">
        <v>139</v>
      </c>
      <c r="T7" s="14">
        <v>1.0</v>
      </c>
      <c r="U7" s="14">
        <v>0.0</v>
      </c>
      <c r="V7" s="14">
        <v>3.0</v>
      </c>
      <c r="W7" s="14">
        <v>0.0</v>
      </c>
      <c r="X7" s="14" t="s">
        <v>144</v>
      </c>
      <c r="Y7" s="14" t="s">
        <v>147</v>
      </c>
      <c r="Z7" s="16"/>
      <c r="AA7" s="99" t="s">
        <v>69</v>
      </c>
      <c r="AB7" s="62">
        <f>COUNTIF(N6:N603,"ESSALUD")</f>
        <v>19</v>
      </c>
      <c r="AC7" s="16"/>
      <c r="AD7" s="16"/>
    </row>
    <row r="8">
      <c r="A8" s="14">
        <v>3.0</v>
      </c>
      <c r="B8" s="14" t="s">
        <v>165</v>
      </c>
      <c r="C8" s="14" t="s">
        <v>166</v>
      </c>
      <c r="D8" s="66">
        <v>44895.0</v>
      </c>
      <c r="E8" s="104">
        <v>45041.0</v>
      </c>
      <c r="F8" s="88">
        <v>8656.0</v>
      </c>
      <c r="G8" s="88" t="s">
        <v>84</v>
      </c>
      <c r="H8" s="90" t="s">
        <v>173</v>
      </c>
      <c r="I8" s="67" t="s">
        <v>175</v>
      </c>
      <c r="J8" s="14" t="s">
        <v>177</v>
      </c>
      <c r="K8" s="14" t="s">
        <v>177</v>
      </c>
      <c r="L8" s="14" t="s">
        <v>179</v>
      </c>
      <c r="M8" s="14" t="s">
        <v>181</v>
      </c>
      <c r="N8" s="14" t="s">
        <v>69</v>
      </c>
      <c r="O8" s="50" t="s">
        <v>183</v>
      </c>
      <c r="P8" s="108" t="s">
        <v>184</v>
      </c>
      <c r="Q8" s="14" t="s">
        <v>191</v>
      </c>
      <c r="R8" s="14" t="s">
        <v>193</v>
      </c>
      <c r="S8" s="50" t="s">
        <v>194</v>
      </c>
      <c r="T8" s="14">
        <v>1.0</v>
      </c>
      <c r="U8" s="14">
        <v>0.0</v>
      </c>
      <c r="V8" s="14">
        <v>3.0</v>
      </c>
      <c r="W8" s="14">
        <v>0.0</v>
      </c>
      <c r="X8" s="14" t="s">
        <v>197</v>
      </c>
      <c r="Y8" s="14" t="s">
        <v>61</v>
      </c>
      <c r="Z8" s="16"/>
      <c r="AA8" s="112" t="s">
        <v>146</v>
      </c>
      <c r="AB8" s="62">
        <f>COUNTIF(N6:N604,"FFAA")</f>
        <v>0</v>
      </c>
      <c r="AC8" s="16"/>
      <c r="AD8" s="16"/>
    </row>
    <row r="9" ht="19.5" customHeight="1">
      <c r="A9" s="75">
        <v>4.0</v>
      </c>
      <c r="B9" s="119" t="s">
        <v>208</v>
      </c>
      <c r="C9" s="75" t="s">
        <v>223</v>
      </c>
      <c r="D9" s="120">
        <v>44900.0</v>
      </c>
      <c r="E9" s="104">
        <v>44999.0</v>
      </c>
      <c r="F9" s="88">
        <v>5292.0</v>
      </c>
      <c r="G9" s="88" t="s">
        <v>84</v>
      </c>
      <c r="H9" s="88" t="s">
        <v>85</v>
      </c>
      <c r="I9" s="123" t="s">
        <v>233</v>
      </c>
      <c r="J9" s="75" t="s">
        <v>237</v>
      </c>
      <c r="K9" s="75" t="s">
        <v>238</v>
      </c>
      <c r="L9" s="14" t="s">
        <v>88</v>
      </c>
      <c r="M9" s="14" t="s">
        <v>239</v>
      </c>
      <c r="N9" s="14" t="s">
        <v>50</v>
      </c>
      <c r="O9" s="50" t="s">
        <v>242</v>
      </c>
      <c r="P9" s="14" t="s">
        <v>244</v>
      </c>
      <c r="Q9" s="14" t="s">
        <v>247</v>
      </c>
      <c r="R9" s="14" t="s">
        <v>249</v>
      </c>
      <c r="S9" s="50" t="s">
        <v>251</v>
      </c>
      <c r="T9" s="14">
        <v>1.0</v>
      </c>
      <c r="U9" s="14">
        <v>0.0</v>
      </c>
      <c r="V9" s="14">
        <v>3.0</v>
      </c>
      <c r="W9" s="14">
        <v>0.0</v>
      </c>
      <c r="X9" s="14" t="s">
        <v>256</v>
      </c>
      <c r="Y9" s="14" t="s">
        <v>61</v>
      </c>
      <c r="Z9" s="16"/>
      <c r="AA9" s="126" t="s">
        <v>221</v>
      </c>
      <c r="AB9" s="62">
        <f>COUNTIF(N6:N605,"PNP")</f>
        <v>0</v>
      </c>
      <c r="AC9" s="16"/>
      <c r="AD9" s="16"/>
    </row>
    <row r="10" ht="38.25" customHeight="1">
      <c r="A10" s="14">
        <v>5.0</v>
      </c>
      <c r="B10" s="14" t="s">
        <v>265</v>
      </c>
      <c r="C10" s="14" t="s">
        <v>266</v>
      </c>
      <c r="D10" s="130">
        <v>44931.0</v>
      </c>
      <c r="E10" s="131">
        <v>44949.0</v>
      </c>
      <c r="F10" s="14">
        <v>8398.0</v>
      </c>
      <c r="G10" s="90" t="s">
        <v>63</v>
      </c>
      <c r="H10" s="90" t="s">
        <v>43</v>
      </c>
      <c r="I10" s="133" t="s">
        <v>271</v>
      </c>
      <c r="J10" s="14" t="s">
        <v>126</v>
      </c>
      <c r="K10" s="14" t="s">
        <v>47</v>
      </c>
      <c r="L10" s="14" t="s">
        <v>47</v>
      </c>
      <c r="M10" s="16" t="s">
        <v>276</v>
      </c>
      <c r="N10" s="14" t="s">
        <v>32</v>
      </c>
      <c r="O10" s="50" t="s">
        <v>280</v>
      </c>
      <c r="P10" s="14"/>
      <c r="Q10" s="136" t="s">
        <v>283</v>
      </c>
      <c r="R10" s="14">
        <v>9.99260631E8</v>
      </c>
      <c r="S10" s="50" t="s">
        <v>292</v>
      </c>
      <c r="T10" s="14">
        <v>1.0</v>
      </c>
      <c r="U10" s="14">
        <v>0.0</v>
      </c>
      <c r="V10" s="14">
        <v>10.0</v>
      </c>
      <c r="W10" s="14">
        <v>0.0</v>
      </c>
      <c r="X10" s="16" t="s">
        <v>296</v>
      </c>
      <c r="Y10" s="14" t="s">
        <v>297</v>
      </c>
      <c r="Z10" s="16"/>
      <c r="AA10" s="14" t="s">
        <v>195</v>
      </c>
      <c r="AB10" s="140">
        <f>COUNTIF(N6:N606,"APP")</f>
        <v>0</v>
      </c>
      <c r="AC10" s="16"/>
      <c r="AD10" s="16"/>
    </row>
    <row r="11" ht="19.5" customHeight="1">
      <c r="A11" s="14">
        <v>6.0</v>
      </c>
      <c r="B11" s="14" t="s">
        <v>308</v>
      </c>
      <c r="C11" s="14" t="s">
        <v>311</v>
      </c>
      <c r="D11" s="130">
        <v>44938.0</v>
      </c>
      <c r="E11" s="137">
        <v>44953.0</v>
      </c>
      <c r="F11" s="90">
        <v>6209.0</v>
      </c>
      <c r="G11" s="90" t="s">
        <v>42</v>
      </c>
      <c r="H11" s="143" t="s">
        <v>43</v>
      </c>
      <c r="I11" s="67" t="s">
        <v>318</v>
      </c>
      <c r="J11" s="14" t="s">
        <v>320</v>
      </c>
      <c r="K11" s="14" t="s">
        <v>47</v>
      </c>
      <c r="L11" s="14" t="s">
        <v>47</v>
      </c>
      <c r="M11" s="14" t="s">
        <v>324</v>
      </c>
      <c r="N11" s="14" t="s">
        <v>50</v>
      </c>
      <c r="O11" s="50" t="s">
        <v>327</v>
      </c>
      <c r="P11" s="14" t="s">
        <v>329</v>
      </c>
      <c r="Q11" s="14" t="s">
        <v>331</v>
      </c>
      <c r="R11" s="14">
        <v>9.80673595E8</v>
      </c>
      <c r="S11" s="50" t="s">
        <v>334</v>
      </c>
      <c r="T11" s="14">
        <v>1.0</v>
      </c>
      <c r="U11" s="14">
        <v>0.0</v>
      </c>
      <c r="V11" s="14">
        <v>7.0</v>
      </c>
      <c r="W11" s="14">
        <v>0.0</v>
      </c>
      <c r="X11" s="14" t="s">
        <v>339</v>
      </c>
      <c r="Y11" s="14" t="s">
        <v>61</v>
      </c>
      <c r="Z11" s="16"/>
      <c r="AA11" s="16"/>
      <c r="AB11" s="16"/>
      <c r="AC11" s="16"/>
      <c r="AD11" s="16"/>
    </row>
    <row r="12" ht="18.0" customHeight="1">
      <c r="A12" s="14">
        <v>7.0</v>
      </c>
      <c r="B12" s="14" t="s">
        <v>344</v>
      </c>
      <c r="C12" s="14" t="s">
        <v>347</v>
      </c>
      <c r="D12" s="145">
        <v>44957.0</v>
      </c>
      <c r="E12" s="137">
        <v>44962.0</v>
      </c>
      <c r="F12" s="90">
        <v>26936.0</v>
      </c>
      <c r="G12" s="90" t="s">
        <v>170</v>
      </c>
      <c r="H12" s="90" t="s">
        <v>153</v>
      </c>
      <c r="I12" s="123" t="s">
        <v>357</v>
      </c>
      <c r="J12" s="14" t="s">
        <v>156</v>
      </c>
      <c r="K12" s="16" t="s">
        <v>47</v>
      </c>
      <c r="L12" s="14" t="s">
        <v>47</v>
      </c>
      <c r="M12" s="14" t="s">
        <v>361</v>
      </c>
      <c r="N12" s="16" t="s">
        <v>32</v>
      </c>
      <c r="O12" s="50" t="s">
        <v>366</v>
      </c>
      <c r="P12" s="75" t="s">
        <v>368</v>
      </c>
      <c r="Q12" s="16" t="s">
        <v>369</v>
      </c>
      <c r="R12" s="14">
        <v>9.65378787E8</v>
      </c>
      <c r="S12" s="57" t="s">
        <v>371</v>
      </c>
      <c r="T12" s="14">
        <v>1.0</v>
      </c>
      <c r="U12" s="14">
        <v>0.0</v>
      </c>
      <c r="V12" s="14">
        <v>5.0</v>
      </c>
      <c r="W12" s="14">
        <v>0.0</v>
      </c>
      <c r="X12" s="14" t="s">
        <v>379</v>
      </c>
      <c r="Y12" s="14" t="s">
        <v>61</v>
      </c>
      <c r="Z12" s="16"/>
      <c r="AA12" s="16"/>
      <c r="AB12" s="16"/>
      <c r="AC12" s="16"/>
      <c r="AD12" s="16"/>
    </row>
    <row r="13" ht="18.75" customHeight="1">
      <c r="A13" s="14">
        <v>8.0</v>
      </c>
      <c r="B13" s="14" t="s">
        <v>384</v>
      </c>
      <c r="C13" s="14" t="s">
        <v>386</v>
      </c>
      <c r="D13" s="130">
        <v>44966.0</v>
      </c>
      <c r="E13" s="137">
        <v>44973.0</v>
      </c>
      <c r="F13" s="90">
        <v>27320.0</v>
      </c>
      <c r="G13" s="90" t="s">
        <v>84</v>
      </c>
      <c r="H13" s="90" t="s">
        <v>43</v>
      </c>
      <c r="I13" s="67" t="s">
        <v>393</v>
      </c>
      <c r="J13" s="14" t="s">
        <v>126</v>
      </c>
      <c r="K13" s="14" t="s">
        <v>47</v>
      </c>
      <c r="L13" s="14" t="s">
        <v>47</v>
      </c>
      <c r="M13" s="14" t="s">
        <v>407</v>
      </c>
      <c r="N13" s="14" t="s">
        <v>32</v>
      </c>
      <c r="O13" s="50" t="s">
        <v>409</v>
      </c>
      <c r="P13" s="14" t="s">
        <v>410</v>
      </c>
      <c r="Q13" s="14" t="s">
        <v>413</v>
      </c>
      <c r="R13" s="14">
        <v>9.41365565E8</v>
      </c>
      <c r="S13" s="50" t="s">
        <v>416</v>
      </c>
      <c r="T13" s="14">
        <v>1.0</v>
      </c>
      <c r="U13" s="14">
        <v>0.0</v>
      </c>
      <c r="V13" s="14">
        <v>5.0</v>
      </c>
      <c r="W13" s="14">
        <v>0.0</v>
      </c>
      <c r="X13" s="16" t="s">
        <v>423</v>
      </c>
      <c r="Y13" s="14" t="s">
        <v>61</v>
      </c>
      <c r="Z13" s="16"/>
      <c r="AA13" s="16"/>
      <c r="AB13" s="16"/>
      <c r="AC13" s="16"/>
      <c r="AD13" s="16"/>
    </row>
    <row r="14" ht="17.25" customHeight="1">
      <c r="A14" s="14">
        <v>9.0</v>
      </c>
      <c r="B14" s="14" t="s">
        <v>432</v>
      </c>
      <c r="C14" s="14" t="s">
        <v>433</v>
      </c>
      <c r="D14" s="130">
        <v>44966.0</v>
      </c>
      <c r="E14" s="137">
        <v>45000.0</v>
      </c>
      <c r="F14" s="90">
        <v>30057.0</v>
      </c>
      <c r="G14" s="90" t="s">
        <v>170</v>
      </c>
      <c r="H14" s="90" t="s">
        <v>273</v>
      </c>
      <c r="I14" s="67" t="s">
        <v>442</v>
      </c>
      <c r="J14" s="14" t="s">
        <v>277</v>
      </c>
      <c r="K14" s="14" t="s">
        <v>277</v>
      </c>
      <c r="L14" s="14" t="s">
        <v>281</v>
      </c>
      <c r="M14" s="14" t="s">
        <v>448</v>
      </c>
      <c r="N14" s="14" t="s">
        <v>32</v>
      </c>
      <c r="O14" s="50" t="s">
        <v>451</v>
      </c>
      <c r="P14" s="14" t="s">
        <v>452</v>
      </c>
      <c r="Q14" s="14" t="s">
        <v>453</v>
      </c>
      <c r="R14" s="14">
        <v>9.87770649E8</v>
      </c>
      <c r="S14" s="50" t="s">
        <v>454</v>
      </c>
      <c r="T14" s="14">
        <v>1.0</v>
      </c>
      <c r="U14" s="14">
        <v>0.0</v>
      </c>
      <c r="V14" s="14">
        <v>4.0</v>
      </c>
      <c r="W14" s="14">
        <v>0.0</v>
      </c>
      <c r="X14" s="14" t="s">
        <v>456</v>
      </c>
      <c r="Y14" s="14" t="s">
        <v>61</v>
      </c>
      <c r="Z14" s="16"/>
      <c r="AA14" s="16"/>
      <c r="AB14" s="16"/>
      <c r="AC14" s="16"/>
      <c r="AD14" s="16"/>
    </row>
    <row r="15" ht="15.75" customHeight="1">
      <c r="A15" s="14">
        <v>10.0</v>
      </c>
      <c r="B15" s="14" t="s">
        <v>460</v>
      </c>
      <c r="C15" s="14" t="s">
        <v>461</v>
      </c>
      <c r="D15" s="130">
        <v>44972.0</v>
      </c>
      <c r="E15" s="137">
        <v>44984.0</v>
      </c>
      <c r="F15" s="90">
        <v>26935.0</v>
      </c>
      <c r="G15" s="90" t="s">
        <v>84</v>
      </c>
      <c r="H15" s="90" t="s">
        <v>85</v>
      </c>
      <c r="I15" s="67" t="s">
        <v>467</v>
      </c>
      <c r="J15" s="14" t="s">
        <v>468</v>
      </c>
      <c r="K15" s="14" t="s">
        <v>125</v>
      </c>
      <c r="L15" s="14" t="s">
        <v>88</v>
      </c>
      <c r="M15" s="14" t="s">
        <v>471</v>
      </c>
      <c r="N15" s="14" t="s">
        <v>32</v>
      </c>
      <c r="O15" s="50" t="s">
        <v>476</v>
      </c>
      <c r="P15" s="14" t="s">
        <v>478</v>
      </c>
      <c r="Q15" s="14" t="s">
        <v>480</v>
      </c>
      <c r="R15" s="14">
        <v>9.76019199E8</v>
      </c>
      <c r="S15" s="50" t="s">
        <v>484</v>
      </c>
      <c r="T15" s="14">
        <v>1.0</v>
      </c>
      <c r="U15" s="14">
        <v>0.0</v>
      </c>
      <c r="V15" s="14">
        <v>3.0</v>
      </c>
      <c r="W15" s="14">
        <v>0.0</v>
      </c>
      <c r="X15" s="14" t="s">
        <v>489</v>
      </c>
      <c r="Y15" s="14" t="s">
        <v>491</v>
      </c>
      <c r="Z15" s="16"/>
      <c r="AA15" s="151" t="s">
        <v>142</v>
      </c>
      <c r="AB15" s="152">
        <f>COUNTIF($L$6:$L$601,AA15)</f>
        <v>5</v>
      </c>
      <c r="AC15" s="16"/>
      <c r="AD15" s="16"/>
    </row>
    <row r="16" ht="26.25" customHeight="1">
      <c r="A16" s="14">
        <v>11.0</v>
      </c>
      <c r="B16" s="14" t="s">
        <v>502</v>
      </c>
      <c r="C16" s="14" t="s">
        <v>503</v>
      </c>
      <c r="D16" s="130">
        <v>44972.0</v>
      </c>
      <c r="E16" s="131">
        <v>44984.0</v>
      </c>
      <c r="F16" s="14">
        <v>32615.0</v>
      </c>
      <c r="G16" s="90" t="s">
        <v>170</v>
      </c>
      <c r="H16" s="90" t="s">
        <v>315</v>
      </c>
      <c r="I16" s="67" t="s">
        <v>507</v>
      </c>
      <c r="J16" s="14" t="s">
        <v>509</v>
      </c>
      <c r="K16" s="14" t="s">
        <v>322</v>
      </c>
      <c r="L16" s="14" t="s">
        <v>322</v>
      </c>
      <c r="M16" s="14" t="s">
        <v>516</v>
      </c>
      <c r="N16" s="14" t="s">
        <v>32</v>
      </c>
      <c r="O16" s="50" t="s">
        <v>520</v>
      </c>
      <c r="P16" s="14" t="s">
        <v>521</v>
      </c>
      <c r="Q16" s="14" t="s">
        <v>525</v>
      </c>
      <c r="R16" s="50" t="s">
        <v>528</v>
      </c>
      <c r="S16" s="50" t="s">
        <v>530</v>
      </c>
      <c r="T16" s="14">
        <v>1.0</v>
      </c>
      <c r="U16" s="14">
        <v>0.0</v>
      </c>
      <c r="V16" s="14">
        <v>3.0</v>
      </c>
      <c r="W16" s="14">
        <v>0.0</v>
      </c>
      <c r="X16" s="14" t="s">
        <v>535</v>
      </c>
      <c r="Y16" s="14" t="s">
        <v>537</v>
      </c>
      <c r="Z16" s="16"/>
      <c r="AA16" s="148" t="s">
        <v>385</v>
      </c>
      <c r="AB16" s="148" t="s">
        <v>391</v>
      </c>
      <c r="AC16" s="16"/>
      <c r="AD16" s="16"/>
    </row>
    <row r="17">
      <c r="A17" s="14">
        <v>12.0</v>
      </c>
      <c r="B17" s="14" t="s">
        <v>541</v>
      </c>
      <c r="C17" s="14" t="s">
        <v>543</v>
      </c>
      <c r="D17" s="130">
        <v>44987.0</v>
      </c>
      <c r="E17" s="137">
        <v>45002.0</v>
      </c>
      <c r="F17" s="90">
        <v>18404.0</v>
      </c>
      <c r="G17" s="90" t="s">
        <v>63</v>
      </c>
      <c r="H17" s="90" t="s">
        <v>85</v>
      </c>
      <c r="I17" s="67" t="s">
        <v>549</v>
      </c>
      <c r="J17" s="14" t="s">
        <v>551</v>
      </c>
      <c r="K17" s="14" t="s">
        <v>125</v>
      </c>
      <c r="L17" s="14" t="s">
        <v>88</v>
      </c>
      <c r="M17" s="75" t="s">
        <v>554</v>
      </c>
      <c r="N17" s="14" t="s">
        <v>32</v>
      </c>
      <c r="O17" s="50" t="s">
        <v>556</v>
      </c>
      <c r="P17" s="14" t="s">
        <v>559</v>
      </c>
      <c r="Q17" s="14" t="s">
        <v>561</v>
      </c>
      <c r="R17" s="14" t="s">
        <v>562</v>
      </c>
      <c r="S17" s="50" t="s">
        <v>564</v>
      </c>
      <c r="T17" s="14">
        <v>1.0</v>
      </c>
      <c r="U17" s="14">
        <v>0.0</v>
      </c>
      <c r="V17" s="14">
        <v>2.0</v>
      </c>
      <c r="W17" s="14">
        <v>1.0</v>
      </c>
      <c r="X17" s="14" t="s">
        <v>568</v>
      </c>
      <c r="Y17" s="14" t="s">
        <v>61</v>
      </c>
      <c r="Z17" s="16"/>
      <c r="AA17" s="151" t="s">
        <v>496</v>
      </c>
      <c r="AB17" s="152">
        <f t="shared" ref="AB17:AB41" si="1">COUNTIF($L$6:$L$601,AA17)</f>
        <v>2</v>
      </c>
      <c r="AC17" s="16"/>
      <c r="AD17" s="16"/>
    </row>
    <row r="18" ht="16.5" customHeight="1">
      <c r="A18" s="14">
        <v>13.0</v>
      </c>
      <c r="B18" s="14" t="s">
        <v>578</v>
      </c>
      <c r="C18" s="14" t="s">
        <v>581</v>
      </c>
      <c r="D18" s="130">
        <v>44985.0</v>
      </c>
      <c r="E18" s="137">
        <v>44999.0</v>
      </c>
      <c r="F18" s="90">
        <v>8653.0</v>
      </c>
      <c r="G18" s="90" t="s">
        <v>84</v>
      </c>
      <c r="H18" s="143" t="s">
        <v>173</v>
      </c>
      <c r="I18" s="67" t="s">
        <v>589</v>
      </c>
      <c r="J18" s="14" t="s">
        <v>592</v>
      </c>
      <c r="K18" s="14" t="s">
        <v>594</v>
      </c>
      <c r="L18" s="14" t="s">
        <v>179</v>
      </c>
      <c r="M18" s="75" t="s">
        <v>597</v>
      </c>
      <c r="N18" s="14" t="s">
        <v>69</v>
      </c>
      <c r="O18" s="113" t="s">
        <v>600</v>
      </c>
      <c r="P18" s="14" t="s">
        <v>601</v>
      </c>
      <c r="Q18" s="14" t="s">
        <v>604</v>
      </c>
      <c r="R18" s="14">
        <v>9.43933973E8</v>
      </c>
      <c r="S18" s="113" t="s">
        <v>607</v>
      </c>
      <c r="T18" s="14">
        <v>1.0</v>
      </c>
      <c r="U18" s="14">
        <v>0.0</v>
      </c>
      <c r="V18" s="14">
        <v>5.0</v>
      </c>
      <c r="W18" s="14">
        <v>0.0</v>
      </c>
      <c r="X18" s="14" t="s">
        <v>616</v>
      </c>
      <c r="Y18" s="14" t="s">
        <v>61</v>
      </c>
      <c r="Z18" s="16"/>
      <c r="AA18" s="151" t="s">
        <v>240</v>
      </c>
      <c r="AB18" s="152">
        <f t="shared" si="1"/>
        <v>3</v>
      </c>
      <c r="AC18" s="16"/>
      <c r="AD18" s="16"/>
    </row>
    <row r="19">
      <c r="A19" s="14">
        <v>14.0</v>
      </c>
      <c r="B19" s="14" t="s">
        <v>625</v>
      </c>
      <c r="C19" s="14" t="s">
        <v>627</v>
      </c>
      <c r="D19" s="130">
        <v>44987.0</v>
      </c>
      <c r="E19" s="137">
        <v>45003.0</v>
      </c>
      <c r="F19" s="90">
        <v>15730.0</v>
      </c>
      <c r="G19" s="90" t="s">
        <v>84</v>
      </c>
      <c r="H19" s="90" t="s">
        <v>140</v>
      </c>
      <c r="I19" s="67" t="s">
        <v>636</v>
      </c>
      <c r="J19" s="14" t="s">
        <v>637</v>
      </c>
      <c r="K19" s="14" t="s">
        <v>142</v>
      </c>
      <c r="L19" s="14" t="s">
        <v>142</v>
      </c>
      <c r="M19" s="75" t="s">
        <v>639</v>
      </c>
      <c r="N19" s="14" t="s">
        <v>32</v>
      </c>
      <c r="O19" s="50" t="s">
        <v>641</v>
      </c>
      <c r="P19" s="75" t="s">
        <v>642</v>
      </c>
      <c r="Q19" s="14" t="s">
        <v>645</v>
      </c>
      <c r="R19" s="14">
        <v>9.53759292E8</v>
      </c>
      <c r="S19" s="50" t="s">
        <v>648</v>
      </c>
      <c r="T19" s="14">
        <v>1.0</v>
      </c>
      <c r="U19" s="14">
        <v>0.0</v>
      </c>
      <c r="V19" s="14">
        <v>2.0</v>
      </c>
      <c r="W19" s="14">
        <v>5.0</v>
      </c>
      <c r="X19" s="14" t="s">
        <v>649</v>
      </c>
      <c r="Y19" s="14" t="s">
        <v>61</v>
      </c>
      <c r="Z19" s="16"/>
      <c r="AA19" s="151" t="s">
        <v>586</v>
      </c>
      <c r="AB19" s="152">
        <f t="shared" si="1"/>
        <v>0</v>
      </c>
      <c r="AC19" s="16"/>
      <c r="AD19" s="16"/>
    </row>
    <row r="20" ht="16.5" customHeight="1">
      <c r="A20" s="14">
        <v>15.0</v>
      </c>
      <c r="B20" s="14" t="s">
        <v>653</v>
      </c>
      <c r="C20" s="14" t="s">
        <v>655</v>
      </c>
      <c r="D20" s="130">
        <v>44992.0</v>
      </c>
      <c r="E20" s="137">
        <v>45003.0</v>
      </c>
      <c r="F20" s="90">
        <v>10135.0</v>
      </c>
      <c r="G20" s="90" t="s">
        <v>84</v>
      </c>
      <c r="H20" s="90" t="s">
        <v>76</v>
      </c>
      <c r="I20" s="67" t="s">
        <v>664</v>
      </c>
      <c r="J20" s="14" t="s">
        <v>79</v>
      </c>
      <c r="K20" s="14" t="s">
        <v>47</v>
      </c>
      <c r="L20" s="14" t="s">
        <v>47</v>
      </c>
      <c r="M20" s="75" t="s">
        <v>673</v>
      </c>
      <c r="N20" s="14" t="s">
        <v>69</v>
      </c>
      <c r="O20" s="50" t="s">
        <v>676</v>
      </c>
      <c r="P20" s="14" t="s">
        <v>678</v>
      </c>
      <c r="Q20" s="14" t="s">
        <v>680</v>
      </c>
      <c r="R20" s="14">
        <v>9.94502563E8</v>
      </c>
      <c r="S20" s="50" t="s">
        <v>683</v>
      </c>
      <c r="T20" s="14">
        <v>1.0</v>
      </c>
      <c r="U20" s="14">
        <v>0.0</v>
      </c>
      <c r="V20" s="14">
        <v>5.0</v>
      </c>
      <c r="W20" s="14">
        <v>0.0</v>
      </c>
      <c r="X20" s="50" t="s">
        <v>688</v>
      </c>
      <c r="Y20" s="14" t="s">
        <v>61</v>
      </c>
      <c r="Z20" s="16"/>
      <c r="AA20" s="151" t="s">
        <v>634</v>
      </c>
      <c r="AB20" s="152">
        <f t="shared" si="1"/>
        <v>0</v>
      </c>
      <c r="AC20" s="16"/>
      <c r="AD20" s="16"/>
    </row>
    <row r="21" ht="19.5" customHeight="1">
      <c r="A21" s="14">
        <v>16.0</v>
      </c>
      <c r="B21" s="75" t="s">
        <v>695</v>
      </c>
      <c r="C21" s="75" t="s">
        <v>696</v>
      </c>
      <c r="D21" s="146">
        <v>45006.0</v>
      </c>
      <c r="E21" s="167">
        <v>45020.0</v>
      </c>
      <c r="F21" s="75">
        <v>8351.0</v>
      </c>
      <c r="G21" s="75" t="s">
        <v>170</v>
      </c>
      <c r="H21" s="75" t="s">
        <v>43</v>
      </c>
      <c r="I21" s="123" t="s">
        <v>711</v>
      </c>
      <c r="J21" s="14" t="s">
        <v>437</v>
      </c>
      <c r="K21" s="14" t="s">
        <v>717</v>
      </c>
      <c r="L21" s="14" t="s">
        <v>47</v>
      </c>
      <c r="M21" s="57" t="s">
        <v>721</v>
      </c>
      <c r="N21" s="14" t="s">
        <v>32</v>
      </c>
      <c r="O21" s="50" t="s">
        <v>726</v>
      </c>
      <c r="P21" s="50" t="s">
        <v>728</v>
      </c>
      <c r="Q21" s="14" t="s">
        <v>731</v>
      </c>
      <c r="R21" s="14">
        <v>9.81839312E8</v>
      </c>
      <c r="S21" s="50" t="s">
        <v>733</v>
      </c>
      <c r="T21" s="14">
        <v>1.0</v>
      </c>
      <c r="U21" s="14">
        <v>1.0</v>
      </c>
      <c r="V21" s="14">
        <v>2.0</v>
      </c>
      <c r="W21" s="14">
        <v>0.0</v>
      </c>
      <c r="X21" s="14" t="s">
        <v>740</v>
      </c>
      <c r="Y21" s="14" t="s">
        <v>745</v>
      </c>
      <c r="Z21" s="16"/>
      <c r="AA21" s="151" t="s">
        <v>419</v>
      </c>
      <c r="AB21" s="152">
        <f t="shared" si="1"/>
        <v>0</v>
      </c>
      <c r="AC21" s="16"/>
      <c r="AD21" s="16"/>
    </row>
    <row r="22" ht="19.5" customHeight="1">
      <c r="A22" s="14">
        <v>17.0</v>
      </c>
      <c r="B22" s="14" t="s">
        <v>756</v>
      </c>
      <c r="C22" s="75" t="s">
        <v>761</v>
      </c>
      <c r="D22" s="130">
        <v>45012.0</v>
      </c>
      <c r="E22" s="131">
        <v>45019.0</v>
      </c>
      <c r="F22" s="14">
        <v>7635.0</v>
      </c>
      <c r="G22" s="14" t="s">
        <v>63</v>
      </c>
      <c r="H22" s="14" t="s">
        <v>698</v>
      </c>
      <c r="I22" s="67" t="s">
        <v>772</v>
      </c>
      <c r="J22" s="14" t="s">
        <v>774</v>
      </c>
      <c r="K22" s="14" t="s">
        <v>774</v>
      </c>
      <c r="L22" s="14" t="s">
        <v>47</v>
      </c>
      <c r="M22" s="14" t="s">
        <v>778</v>
      </c>
      <c r="N22" s="14" t="s">
        <v>50</v>
      </c>
      <c r="O22" s="10" t="s">
        <v>780</v>
      </c>
      <c r="P22" s="14" t="s">
        <v>781</v>
      </c>
      <c r="Q22" s="14" t="s">
        <v>783</v>
      </c>
      <c r="R22" s="14">
        <v>9.504429527E9</v>
      </c>
      <c r="S22" s="50" t="s">
        <v>787</v>
      </c>
      <c r="T22" s="14">
        <v>1.0</v>
      </c>
      <c r="U22" s="14">
        <v>0.0</v>
      </c>
      <c r="V22" s="14">
        <v>7.0</v>
      </c>
      <c r="W22" s="14">
        <v>0.0</v>
      </c>
      <c r="X22" s="14" t="s">
        <v>793</v>
      </c>
      <c r="Y22" s="50" t="s">
        <v>795</v>
      </c>
      <c r="Z22" s="16"/>
      <c r="AA22" s="151" t="s">
        <v>210</v>
      </c>
      <c r="AB22" s="152">
        <f t="shared" si="1"/>
        <v>4</v>
      </c>
      <c r="AC22" s="16"/>
      <c r="AD22" s="16"/>
    </row>
    <row r="23" ht="19.5" customHeight="1">
      <c r="A23" s="14">
        <v>18.0</v>
      </c>
      <c r="B23" s="14" t="s">
        <v>800</v>
      </c>
      <c r="C23" s="75" t="s">
        <v>802</v>
      </c>
      <c r="D23" s="128">
        <v>45035.0</v>
      </c>
      <c r="E23" s="131">
        <v>45042.0</v>
      </c>
      <c r="F23" s="14">
        <v>8786.0</v>
      </c>
      <c r="G23" s="14" t="s">
        <v>84</v>
      </c>
      <c r="H23" s="14" t="s">
        <v>43</v>
      </c>
      <c r="I23" s="67" t="s">
        <v>811</v>
      </c>
      <c r="J23" s="14" t="s">
        <v>815</v>
      </c>
      <c r="K23" s="14" t="s">
        <v>47</v>
      </c>
      <c r="L23" s="14" t="s">
        <v>47</v>
      </c>
      <c r="M23" s="14" t="s">
        <v>819</v>
      </c>
      <c r="N23" s="14" t="s">
        <v>32</v>
      </c>
      <c r="O23" s="50" t="s">
        <v>822</v>
      </c>
      <c r="P23" s="14" t="s">
        <v>823</v>
      </c>
      <c r="Q23" s="14" t="s">
        <v>825</v>
      </c>
      <c r="R23" s="14">
        <v>9.83686579E8</v>
      </c>
      <c r="S23" s="10" t="s">
        <v>831</v>
      </c>
      <c r="T23" s="14">
        <v>1.0</v>
      </c>
      <c r="U23" s="14">
        <v>0.0</v>
      </c>
      <c r="V23" s="14">
        <v>4.0</v>
      </c>
      <c r="W23" s="14">
        <v>0.0</v>
      </c>
      <c r="X23" s="14" t="s">
        <v>835</v>
      </c>
      <c r="Y23" s="14" t="s">
        <v>174</v>
      </c>
      <c r="Z23" s="16"/>
      <c r="AA23" s="151" t="s">
        <v>179</v>
      </c>
      <c r="AB23" s="152">
        <f t="shared" si="1"/>
        <v>5</v>
      </c>
      <c r="AC23" s="16"/>
      <c r="AD23" s="16"/>
    </row>
    <row r="24" ht="15.75" customHeight="1">
      <c r="A24" s="14">
        <v>19.0</v>
      </c>
      <c r="B24" s="14" t="s">
        <v>842</v>
      </c>
      <c r="C24" s="75" t="s">
        <v>844</v>
      </c>
      <c r="D24" s="128">
        <v>45056.0</v>
      </c>
      <c r="E24" s="131">
        <v>45058.0</v>
      </c>
      <c r="F24" s="14">
        <v>6212.0</v>
      </c>
      <c r="G24" s="14" t="s">
        <v>425</v>
      </c>
      <c r="H24" s="14" t="s">
        <v>43</v>
      </c>
      <c r="I24" s="67" t="s">
        <v>852</v>
      </c>
      <c r="J24" s="14" t="s">
        <v>353</v>
      </c>
      <c r="K24" s="14" t="s">
        <v>47</v>
      </c>
      <c r="L24" s="14" t="s">
        <v>47</v>
      </c>
      <c r="M24" s="14" t="s">
        <v>857</v>
      </c>
      <c r="N24" s="14" t="s">
        <v>50</v>
      </c>
      <c r="O24" s="50" t="s">
        <v>859</v>
      </c>
      <c r="P24" s="14" t="s">
        <v>862</v>
      </c>
      <c r="Q24" s="171" t="s">
        <v>864</v>
      </c>
      <c r="R24" s="14">
        <v>9.59682989E8</v>
      </c>
      <c r="S24" s="50" t="s">
        <v>873</v>
      </c>
      <c r="T24" s="14">
        <v>2.0</v>
      </c>
      <c r="U24" s="14">
        <v>0.0</v>
      </c>
      <c r="V24" s="14">
        <v>8.0</v>
      </c>
      <c r="W24" s="14">
        <v>0.0</v>
      </c>
      <c r="X24" s="16" t="s">
        <v>877</v>
      </c>
      <c r="Y24" s="14" t="s">
        <v>61</v>
      </c>
      <c r="Z24" s="16"/>
      <c r="AA24" s="162" t="s">
        <v>826</v>
      </c>
      <c r="AB24" s="152">
        <f t="shared" si="1"/>
        <v>0</v>
      </c>
      <c r="AC24" s="16"/>
      <c r="AD24" s="16"/>
    </row>
    <row r="25" ht="18.75" customHeight="1">
      <c r="A25" s="14">
        <v>20.0</v>
      </c>
      <c r="B25" s="14" t="s">
        <v>885</v>
      </c>
      <c r="C25" s="75" t="s">
        <v>887</v>
      </c>
      <c r="D25" s="128">
        <v>45104.0</v>
      </c>
      <c r="E25" s="131">
        <v>45114.0</v>
      </c>
      <c r="F25" s="14">
        <v>4370.0</v>
      </c>
      <c r="G25" s="14" t="s">
        <v>84</v>
      </c>
      <c r="H25" s="14" t="s">
        <v>273</v>
      </c>
      <c r="I25" s="133" t="s">
        <v>893</v>
      </c>
      <c r="J25" s="138" t="s">
        <v>281</v>
      </c>
      <c r="K25" s="138" t="s">
        <v>281</v>
      </c>
      <c r="L25" s="138" t="s">
        <v>281</v>
      </c>
      <c r="M25" s="75" t="s">
        <v>898</v>
      </c>
      <c r="N25" s="14" t="s">
        <v>50</v>
      </c>
      <c r="O25" s="50" t="s">
        <v>899</v>
      </c>
      <c r="P25" s="14" t="s">
        <v>901</v>
      </c>
      <c r="Q25" s="14" t="s">
        <v>903</v>
      </c>
      <c r="R25" s="75">
        <v>9.79827155E8</v>
      </c>
      <c r="S25" s="50" t="s">
        <v>914</v>
      </c>
      <c r="T25" s="14">
        <v>1.0</v>
      </c>
      <c r="U25" s="14">
        <v>0.0</v>
      </c>
      <c r="V25" s="14">
        <v>3.0</v>
      </c>
      <c r="W25" s="14">
        <v>2.0</v>
      </c>
      <c r="X25" s="14" t="s">
        <v>916</v>
      </c>
      <c r="Y25" s="14" t="s">
        <v>61</v>
      </c>
      <c r="Z25" s="16"/>
      <c r="AA25" s="151" t="s">
        <v>88</v>
      </c>
      <c r="AB25" s="152">
        <f t="shared" si="1"/>
        <v>7</v>
      </c>
      <c r="AC25" s="16"/>
      <c r="AD25" s="16"/>
    </row>
    <row r="26" ht="39.75" customHeight="1">
      <c r="A26" s="14">
        <v>21.0</v>
      </c>
      <c r="B26" s="14" t="s">
        <v>924</v>
      </c>
      <c r="C26" s="75" t="s">
        <v>934</v>
      </c>
      <c r="D26" s="128">
        <v>45105.0</v>
      </c>
      <c r="E26" s="131">
        <v>45118.0</v>
      </c>
      <c r="F26" s="14">
        <v>1652.0</v>
      </c>
      <c r="G26" s="14" t="s">
        <v>63</v>
      </c>
      <c r="H26" s="14" t="s">
        <v>942</v>
      </c>
      <c r="I26" s="67" t="s">
        <v>943</v>
      </c>
      <c r="J26" s="14" t="s">
        <v>945</v>
      </c>
      <c r="K26" s="14" t="s">
        <v>946</v>
      </c>
      <c r="L26" s="14" t="s">
        <v>948</v>
      </c>
      <c r="M26" s="14" t="s">
        <v>952</v>
      </c>
      <c r="N26" s="14" t="s">
        <v>50</v>
      </c>
      <c r="O26" s="50" t="s">
        <v>953</v>
      </c>
      <c r="P26" s="75" t="s">
        <v>954</v>
      </c>
      <c r="Q26" s="14" t="s">
        <v>955</v>
      </c>
      <c r="R26" s="14" t="s">
        <v>956</v>
      </c>
      <c r="S26" s="57" t="s">
        <v>957</v>
      </c>
      <c r="T26" s="14">
        <v>1.0</v>
      </c>
      <c r="U26" s="14">
        <v>0.0</v>
      </c>
      <c r="V26" s="14">
        <v>3.0</v>
      </c>
      <c r="W26" s="14">
        <v>0.0</v>
      </c>
      <c r="X26" s="16" t="s">
        <v>965</v>
      </c>
      <c r="Y26" s="14" t="s">
        <v>966</v>
      </c>
      <c r="Z26" s="16"/>
      <c r="AA26" s="151" t="s">
        <v>281</v>
      </c>
      <c r="AB26" s="152">
        <f t="shared" si="1"/>
        <v>6</v>
      </c>
      <c r="AC26" s="16"/>
      <c r="AD26" s="16"/>
    </row>
    <row r="27" ht="18.0" customHeight="1">
      <c r="A27" s="14">
        <v>22.0</v>
      </c>
      <c r="B27" s="173" t="s">
        <v>971</v>
      </c>
      <c r="C27" s="14" t="s">
        <v>972</v>
      </c>
      <c r="D27" s="146">
        <v>45133.0</v>
      </c>
      <c r="E27" s="131">
        <v>45145.0</v>
      </c>
      <c r="F27" s="14" t="s">
        <v>977</v>
      </c>
      <c r="G27" s="14" t="s">
        <v>84</v>
      </c>
      <c r="H27" s="14" t="s">
        <v>140</v>
      </c>
      <c r="I27" s="67" t="s">
        <v>981</v>
      </c>
      <c r="J27" s="14" t="s">
        <v>142</v>
      </c>
      <c r="K27" s="14" t="s">
        <v>142</v>
      </c>
      <c r="L27" s="14" t="s">
        <v>142</v>
      </c>
      <c r="M27" s="14" t="s">
        <v>986</v>
      </c>
      <c r="N27" s="14" t="s">
        <v>32</v>
      </c>
      <c r="O27" s="50" t="s">
        <v>990</v>
      </c>
      <c r="P27" s="14" t="s">
        <v>992</v>
      </c>
      <c r="Q27" s="14" t="s">
        <v>994</v>
      </c>
      <c r="R27" s="14">
        <v>9.87059322E8</v>
      </c>
      <c r="S27" s="50" t="s">
        <v>996</v>
      </c>
      <c r="T27" s="14">
        <v>1.0</v>
      </c>
      <c r="U27" s="14">
        <v>0.0</v>
      </c>
      <c r="V27" s="14">
        <v>3.0</v>
      </c>
      <c r="W27" s="14">
        <v>0.0</v>
      </c>
      <c r="X27" s="14" t="s">
        <v>999</v>
      </c>
      <c r="Y27" s="14" t="s">
        <v>61</v>
      </c>
      <c r="Z27" s="16"/>
      <c r="AA27" s="162" t="s">
        <v>47</v>
      </c>
      <c r="AB27" s="152">
        <f t="shared" si="1"/>
        <v>33</v>
      </c>
      <c r="AC27" s="16"/>
      <c r="AD27" s="16"/>
    </row>
    <row r="28" ht="28.5" customHeight="1">
      <c r="A28" s="14">
        <v>23.0</v>
      </c>
      <c r="B28" s="14" t="s">
        <v>1006</v>
      </c>
      <c r="C28" s="14" t="s">
        <v>1008</v>
      </c>
      <c r="D28" s="128">
        <v>45146.0</v>
      </c>
      <c r="E28" s="131">
        <v>45152.0</v>
      </c>
      <c r="F28" s="14">
        <v>11213.0</v>
      </c>
      <c r="G28" s="14" t="s">
        <v>63</v>
      </c>
      <c r="H28" s="14" t="s">
        <v>1014</v>
      </c>
      <c r="I28" s="180" t="s">
        <v>1017</v>
      </c>
      <c r="J28" s="14" t="s">
        <v>1022</v>
      </c>
      <c r="K28" s="14" t="s">
        <v>1022</v>
      </c>
      <c r="L28" s="14" t="s">
        <v>1024</v>
      </c>
      <c r="M28" s="14" t="s">
        <v>1026</v>
      </c>
      <c r="N28" s="14" t="s">
        <v>69</v>
      </c>
      <c r="O28" s="50" t="s">
        <v>1027</v>
      </c>
      <c r="P28" s="14" t="s">
        <v>1028</v>
      </c>
      <c r="Q28" s="14" t="s">
        <v>1029</v>
      </c>
      <c r="R28" s="14" t="s">
        <v>1030</v>
      </c>
      <c r="S28" s="50" t="s">
        <v>1032</v>
      </c>
      <c r="T28" s="14">
        <v>1.0</v>
      </c>
      <c r="U28" s="14">
        <v>0.0</v>
      </c>
      <c r="V28" s="14">
        <v>6.0</v>
      </c>
      <c r="W28" s="14">
        <v>0.0</v>
      </c>
      <c r="X28" s="135" t="s">
        <v>1035</v>
      </c>
      <c r="Y28" s="14" t="s">
        <v>61</v>
      </c>
      <c r="Z28" s="16"/>
      <c r="AA28" s="162" t="s">
        <v>1003</v>
      </c>
      <c r="AB28" s="152">
        <f t="shared" si="1"/>
        <v>0</v>
      </c>
      <c r="AC28" s="16"/>
      <c r="AD28" s="16"/>
    </row>
    <row r="29" ht="16.5" customHeight="1">
      <c r="A29" s="14">
        <v>24.0</v>
      </c>
      <c r="B29" s="14" t="s">
        <v>1040</v>
      </c>
      <c r="C29" s="14" t="s">
        <v>1042</v>
      </c>
      <c r="D29" s="128">
        <v>45155.0</v>
      </c>
      <c r="E29" s="131">
        <v>45159.0</v>
      </c>
      <c r="F29" s="14">
        <v>5947.0</v>
      </c>
      <c r="G29" s="14" t="s">
        <v>63</v>
      </c>
      <c r="H29" s="14" t="s">
        <v>1049</v>
      </c>
      <c r="I29" s="182" t="s">
        <v>1051</v>
      </c>
      <c r="J29" s="14" t="s">
        <v>1055</v>
      </c>
      <c r="K29" s="14" t="s">
        <v>47</v>
      </c>
      <c r="L29" s="14" t="s">
        <v>47</v>
      </c>
      <c r="M29" s="75" t="s">
        <v>1057</v>
      </c>
      <c r="N29" s="14" t="s">
        <v>50</v>
      </c>
      <c r="O29" s="16" t="s">
        <v>1059</v>
      </c>
      <c r="P29" s="14" t="s">
        <v>1060</v>
      </c>
      <c r="Q29" s="14" t="s">
        <v>1062</v>
      </c>
      <c r="R29" s="14">
        <v>9.69359891E8</v>
      </c>
      <c r="S29" s="50" t="s">
        <v>1067</v>
      </c>
      <c r="T29" s="14">
        <v>1.0</v>
      </c>
      <c r="U29" s="14">
        <v>0.0</v>
      </c>
      <c r="V29" s="14">
        <v>10.0</v>
      </c>
      <c r="W29" s="14">
        <v>0.0</v>
      </c>
      <c r="X29" s="14" t="s">
        <v>1071</v>
      </c>
      <c r="Y29" s="14" t="s">
        <v>61</v>
      </c>
      <c r="Z29" s="16"/>
      <c r="AA29" s="151" t="s">
        <v>610</v>
      </c>
      <c r="AB29" s="152">
        <f t="shared" si="1"/>
        <v>5</v>
      </c>
      <c r="AC29" s="16"/>
      <c r="AD29" s="16"/>
    </row>
    <row r="30" ht="15.75" customHeight="1">
      <c r="A30" s="14">
        <v>25.0</v>
      </c>
      <c r="B30" s="14" t="s">
        <v>1078</v>
      </c>
      <c r="C30" s="14" t="s">
        <v>1080</v>
      </c>
      <c r="D30" s="128">
        <v>45159.0</v>
      </c>
      <c r="E30" s="131">
        <v>45162.0</v>
      </c>
      <c r="F30" s="14">
        <v>25208.0</v>
      </c>
      <c r="G30" s="14" t="s">
        <v>84</v>
      </c>
      <c r="H30" s="14" t="s">
        <v>603</v>
      </c>
      <c r="I30" s="185" t="s">
        <v>1086</v>
      </c>
      <c r="J30" s="14" t="s">
        <v>610</v>
      </c>
      <c r="K30" s="14" t="s">
        <v>610</v>
      </c>
      <c r="L30" s="14" t="s">
        <v>610</v>
      </c>
      <c r="M30" s="176" t="s">
        <v>1089</v>
      </c>
      <c r="N30" s="14" t="s">
        <v>32</v>
      </c>
      <c r="O30" s="50" t="s">
        <v>1095</v>
      </c>
      <c r="P30" s="14" t="s">
        <v>1097</v>
      </c>
      <c r="Q30" s="14" t="s">
        <v>1099</v>
      </c>
      <c r="R30" s="14" t="s">
        <v>1101</v>
      </c>
      <c r="S30" s="50" t="s">
        <v>1102</v>
      </c>
      <c r="T30" s="14">
        <v>1.0</v>
      </c>
      <c r="U30" s="14">
        <v>0.0</v>
      </c>
      <c r="V30" s="14">
        <v>5.0</v>
      </c>
      <c r="W30" s="14">
        <v>0.0</v>
      </c>
      <c r="X30" s="135" t="s">
        <v>1106</v>
      </c>
      <c r="Y30" s="14" t="s">
        <v>61</v>
      </c>
      <c r="Z30" s="16"/>
      <c r="AA30" s="151" t="s">
        <v>322</v>
      </c>
      <c r="AB30" s="152">
        <f t="shared" si="1"/>
        <v>6</v>
      </c>
      <c r="AC30" s="16"/>
      <c r="AD30" s="16"/>
    </row>
    <row r="31" ht="15.75" customHeight="1">
      <c r="A31" s="14">
        <v>26.0</v>
      </c>
      <c r="B31" s="14" t="s">
        <v>1111</v>
      </c>
      <c r="C31" s="14" t="s">
        <v>1112</v>
      </c>
      <c r="D31" s="128">
        <v>45166.0</v>
      </c>
      <c r="E31" s="167">
        <v>45173.0</v>
      </c>
      <c r="F31" s="75">
        <v>16830.0</v>
      </c>
      <c r="G31" s="75" t="s">
        <v>170</v>
      </c>
      <c r="H31" s="14" t="s">
        <v>85</v>
      </c>
      <c r="I31" s="67" t="s">
        <v>1118</v>
      </c>
      <c r="J31" s="14" t="s">
        <v>551</v>
      </c>
      <c r="K31" s="14" t="s">
        <v>125</v>
      </c>
      <c r="L31" s="14" t="s">
        <v>88</v>
      </c>
      <c r="M31" s="14" t="s">
        <v>1120</v>
      </c>
      <c r="N31" s="14" t="s">
        <v>32</v>
      </c>
      <c r="O31" s="50" t="s">
        <v>1123</v>
      </c>
      <c r="P31" s="14" t="s">
        <v>1124</v>
      </c>
      <c r="Q31" s="14" t="s">
        <v>1125</v>
      </c>
      <c r="R31" s="136" t="s">
        <v>1127</v>
      </c>
      <c r="S31" s="50" t="s">
        <v>1128</v>
      </c>
      <c r="T31" s="14">
        <v>1.0</v>
      </c>
      <c r="U31" s="14">
        <v>0.0</v>
      </c>
      <c r="V31" s="14">
        <v>2.0</v>
      </c>
      <c r="W31" s="14">
        <v>2.0</v>
      </c>
      <c r="X31" s="14" t="s">
        <v>1135</v>
      </c>
      <c r="Y31" s="14" t="s">
        <v>1136</v>
      </c>
      <c r="Z31" s="16"/>
      <c r="AA31" s="151" t="s">
        <v>718</v>
      </c>
      <c r="AB31" s="152">
        <f t="shared" si="1"/>
        <v>0</v>
      </c>
      <c r="AC31" s="16"/>
      <c r="AD31" s="16"/>
    </row>
    <row r="32" ht="15.75" customHeight="1">
      <c r="A32" s="14">
        <v>27.0</v>
      </c>
      <c r="B32" s="14" t="s">
        <v>1142</v>
      </c>
      <c r="C32" s="14" t="s">
        <v>1144</v>
      </c>
      <c r="D32" s="186">
        <v>45166.0</v>
      </c>
      <c r="E32" s="187">
        <v>45173.0</v>
      </c>
      <c r="F32" s="14">
        <v>4981.0</v>
      </c>
      <c r="G32" s="14" t="s">
        <v>84</v>
      </c>
      <c r="H32" s="14" t="s">
        <v>506</v>
      </c>
      <c r="I32" s="67" t="s">
        <v>1148</v>
      </c>
      <c r="J32" s="14" t="s">
        <v>1150</v>
      </c>
      <c r="K32" s="14" t="s">
        <v>1150</v>
      </c>
      <c r="L32" s="14" t="s">
        <v>496</v>
      </c>
      <c r="M32" s="14" t="s">
        <v>1152</v>
      </c>
      <c r="N32" s="14" t="s">
        <v>50</v>
      </c>
      <c r="O32" s="50" t="s">
        <v>1153</v>
      </c>
      <c r="P32" s="14" t="s">
        <v>1154</v>
      </c>
      <c r="Q32" s="14" t="s">
        <v>1156</v>
      </c>
      <c r="R32" s="14"/>
      <c r="S32" s="50" t="s">
        <v>1160</v>
      </c>
      <c r="T32" s="14">
        <v>0.0</v>
      </c>
      <c r="U32" s="14">
        <v>1.0</v>
      </c>
      <c r="V32" s="14">
        <v>4.0</v>
      </c>
      <c r="W32" s="14">
        <v>1.0</v>
      </c>
      <c r="X32" s="14" t="s">
        <v>1163</v>
      </c>
      <c r="Y32" s="14" t="s">
        <v>61</v>
      </c>
      <c r="Z32" s="16"/>
      <c r="AA32" s="151" t="s">
        <v>1103</v>
      </c>
      <c r="AB32" s="152">
        <f t="shared" si="1"/>
        <v>0</v>
      </c>
      <c r="AC32" s="16"/>
      <c r="AD32" s="16"/>
    </row>
    <row r="33" ht="15.75" customHeight="1">
      <c r="A33" s="14">
        <v>28.0</v>
      </c>
      <c r="B33" s="14" t="s">
        <v>1167</v>
      </c>
      <c r="C33" s="14" t="s">
        <v>1169</v>
      </c>
      <c r="D33" s="146">
        <v>45184.0</v>
      </c>
      <c r="E33" s="131">
        <v>45201.0</v>
      </c>
      <c r="F33" s="14">
        <v>10434.0</v>
      </c>
      <c r="G33" s="14" t="s">
        <v>170</v>
      </c>
      <c r="H33" s="14" t="s">
        <v>76</v>
      </c>
      <c r="I33" s="67" t="s">
        <v>1174</v>
      </c>
      <c r="J33" s="14" t="s">
        <v>1175</v>
      </c>
      <c r="K33" s="14" t="s">
        <v>47</v>
      </c>
      <c r="L33" s="14" t="s">
        <v>47</v>
      </c>
      <c r="M33" s="14" t="s">
        <v>1178</v>
      </c>
      <c r="N33" s="14" t="s">
        <v>69</v>
      </c>
      <c r="O33" s="50" t="s">
        <v>1180</v>
      </c>
      <c r="P33" s="14" t="s">
        <v>1182</v>
      </c>
      <c r="Q33" s="14" t="s">
        <v>1184</v>
      </c>
      <c r="R33" s="14"/>
      <c r="S33" s="50" t="s">
        <v>1186</v>
      </c>
      <c r="T33" s="14">
        <v>1.0</v>
      </c>
      <c r="U33" s="14">
        <v>0.0</v>
      </c>
      <c r="V33" s="14">
        <v>6.0</v>
      </c>
      <c r="W33" s="14">
        <v>0.0</v>
      </c>
      <c r="X33" s="14" t="s">
        <v>1190</v>
      </c>
      <c r="Y33" s="14" t="s">
        <v>61</v>
      </c>
      <c r="Z33" s="16"/>
      <c r="AA33" s="151" t="s">
        <v>469</v>
      </c>
      <c r="AB33" s="152">
        <f t="shared" si="1"/>
        <v>0</v>
      </c>
      <c r="AC33" s="16"/>
      <c r="AD33" s="16"/>
    </row>
    <row r="34" ht="15.75" customHeight="1">
      <c r="A34" s="14">
        <v>29.0</v>
      </c>
      <c r="B34" s="14" t="s">
        <v>1193</v>
      </c>
      <c r="C34" s="14" t="s">
        <v>1194</v>
      </c>
      <c r="D34" s="128">
        <v>45166.0</v>
      </c>
      <c r="E34" s="131">
        <v>45173.0</v>
      </c>
      <c r="F34" s="14">
        <v>8353.0</v>
      </c>
      <c r="G34" s="14" t="s">
        <v>84</v>
      </c>
      <c r="H34" s="14" t="s">
        <v>76</v>
      </c>
      <c r="I34" s="67" t="s">
        <v>1199</v>
      </c>
      <c r="J34" s="14" t="s">
        <v>1200</v>
      </c>
      <c r="K34" s="14" t="s">
        <v>47</v>
      </c>
      <c r="L34" s="14" t="s">
        <v>47</v>
      </c>
      <c r="M34" s="14" t="s">
        <v>1202</v>
      </c>
      <c r="N34" s="14" t="s">
        <v>69</v>
      </c>
      <c r="O34" s="50" t="s">
        <v>1204</v>
      </c>
      <c r="P34" s="14" t="s">
        <v>1205</v>
      </c>
      <c r="Q34" s="14" t="s">
        <v>1207</v>
      </c>
      <c r="R34" s="14"/>
      <c r="S34" s="50" t="s">
        <v>1210</v>
      </c>
      <c r="T34" s="14">
        <v>1.0</v>
      </c>
      <c r="U34" s="14">
        <v>0.0</v>
      </c>
      <c r="V34" s="14">
        <v>4.0</v>
      </c>
      <c r="W34" s="14">
        <v>0.0</v>
      </c>
      <c r="X34" s="14" t="s">
        <v>1218</v>
      </c>
      <c r="Y34" s="14" t="s">
        <v>61</v>
      </c>
      <c r="Z34" s="16"/>
      <c r="AA34" s="151" t="s">
        <v>948</v>
      </c>
      <c r="AB34" s="152">
        <f t="shared" si="1"/>
        <v>3</v>
      </c>
      <c r="AC34" s="16"/>
      <c r="AD34" s="16"/>
    </row>
    <row r="35" ht="15.75" customHeight="1">
      <c r="A35" s="14">
        <v>30.0</v>
      </c>
      <c r="B35" s="14" t="s">
        <v>1224</v>
      </c>
      <c r="C35" s="14" t="s">
        <v>1225</v>
      </c>
      <c r="D35" s="146">
        <v>45184.0</v>
      </c>
      <c r="E35" s="131">
        <v>45201.0</v>
      </c>
      <c r="F35" s="14">
        <v>8858.0</v>
      </c>
      <c r="G35" s="14" t="s">
        <v>63</v>
      </c>
      <c r="H35" s="14" t="s">
        <v>173</v>
      </c>
      <c r="I35" s="67" t="s">
        <v>1229</v>
      </c>
      <c r="J35" s="14" t="s">
        <v>666</v>
      </c>
      <c r="K35" s="14" t="s">
        <v>666</v>
      </c>
      <c r="L35" s="14" t="s">
        <v>179</v>
      </c>
      <c r="M35" s="14" t="s">
        <v>1231</v>
      </c>
      <c r="N35" s="14" t="s">
        <v>32</v>
      </c>
      <c r="O35" s="50" t="s">
        <v>1233</v>
      </c>
      <c r="P35" s="14" t="s">
        <v>1235</v>
      </c>
      <c r="Q35" s="14" t="s">
        <v>1237</v>
      </c>
      <c r="R35" s="14">
        <v>9.6460936E8</v>
      </c>
      <c r="S35" s="50" t="s">
        <v>1241</v>
      </c>
      <c r="T35" s="14">
        <v>1.0</v>
      </c>
      <c r="U35" s="14">
        <v>0.0</v>
      </c>
      <c r="V35" s="14">
        <v>5.0</v>
      </c>
      <c r="W35" s="14">
        <v>0.0</v>
      </c>
      <c r="X35" s="14" t="s">
        <v>1248</v>
      </c>
      <c r="Y35" s="14" t="s">
        <v>61</v>
      </c>
      <c r="Z35" s="16"/>
      <c r="AA35" s="151" t="s">
        <v>663</v>
      </c>
      <c r="AB35" s="152">
        <f t="shared" si="1"/>
        <v>0</v>
      </c>
      <c r="AC35" s="16"/>
      <c r="AD35" s="16"/>
    </row>
    <row r="36" ht="15.75" customHeight="1">
      <c r="A36" s="14">
        <v>31.0</v>
      </c>
      <c r="B36" s="14" t="s">
        <v>1255</v>
      </c>
      <c r="C36" s="14" t="s">
        <v>1256</v>
      </c>
      <c r="D36" s="183">
        <v>45209.0</v>
      </c>
      <c r="E36" s="68">
        <v>45219.0</v>
      </c>
      <c r="F36" s="14">
        <v>13291.0</v>
      </c>
      <c r="G36" s="14" t="s">
        <v>84</v>
      </c>
      <c r="H36" s="14" t="s">
        <v>140</v>
      </c>
      <c r="I36" s="67" t="s">
        <v>1260</v>
      </c>
      <c r="J36" s="14" t="s">
        <v>477</v>
      </c>
      <c r="K36" s="14" t="s">
        <v>142</v>
      </c>
      <c r="L36" s="14" t="s">
        <v>142</v>
      </c>
      <c r="M36" s="14" t="s">
        <v>1263</v>
      </c>
      <c r="N36" s="14" t="s">
        <v>69</v>
      </c>
      <c r="O36" s="50" t="s">
        <v>1266</v>
      </c>
      <c r="P36" s="14" t="s">
        <v>1267</v>
      </c>
      <c r="Q36" s="14" t="s">
        <v>1268</v>
      </c>
      <c r="R36" s="136">
        <v>9.92584622E8</v>
      </c>
      <c r="S36" s="50"/>
      <c r="T36" s="14"/>
      <c r="U36" s="14"/>
      <c r="V36" s="14"/>
      <c r="W36" s="14"/>
      <c r="X36" s="14" t="s">
        <v>1271</v>
      </c>
      <c r="Y36" s="14" t="s">
        <v>61</v>
      </c>
      <c r="Z36" s="16"/>
      <c r="AA36" s="162" t="s">
        <v>1191</v>
      </c>
      <c r="AB36" s="152">
        <f t="shared" si="1"/>
        <v>1</v>
      </c>
      <c r="AC36" s="16"/>
      <c r="AD36" s="16"/>
    </row>
    <row r="37" ht="17.25" customHeight="1">
      <c r="A37" s="14">
        <v>32.0</v>
      </c>
      <c r="B37" s="14" t="s">
        <v>1277</v>
      </c>
      <c r="C37" s="14" t="s">
        <v>1278</v>
      </c>
      <c r="D37" s="183">
        <v>45209.0</v>
      </c>
      <c r="E37" s="68">
        <v>45212.0</v>
      </c>
      <c r="F37" s="14">
        <v>365.0</v>
      </c>
      <c r="G37" s="14" t="s">
        <v>84</v>
      </c>
      <c r="H37" s="14" t="s">
        <v>173</v>
      </c>
      <c r="I37" s="67" t="s">
        <v>1284</v>
      </c>
      <c r="J37" s="14" t="s">
        <v>1285</v>
      </c>
      <c r="K37" s="14" t="s">
        <v>1285</v>
      </c>
      <c r="L37" s="14" t="s">
        <v>179</v>
      </c>
      <c r="M37" s="16" t="s">
        <v>1287</v>
      </c>
      <c r="N37" s="136" t="s">
        <v>50</v>
      </c>
      <c r="O37" s="50" t="s">
        <v>1288</v>
      </c>
      <c r="P37" s="14" t="s">
        <v>1289</v>
      </c>
      <c r="Q37" s="14" t="s">
        <v>1290</v>
      </c>
      <c r="R37" s="14">
        <v>9.546655466E9</v>
      </c>
      <c r="S37" s="50" t="s">
        <v>1294</v>
      </c>
      <c r="T37" s="14">
        <v>1.0</v>
      </c>
      <c r="U37" s="14">
        <v>0.0</v>
      </c>
      <c r="V37" s="14">
        <v>3.0</v>
      </c>
      <c r="W37" s="14">
        <v>0.0</v>
      </c>
      <c r="X37" s="14" t="s">
        <v>1297</v>
      </c>
      <c r="Y37" s="14" t="s">
        <v>61</v>
      </c>
      <c r="Z37" s="16"/>
      <c r="AA37" s="151" t="s">
        <v>1222</v>
      </c>
      <c r="AB37" s="152">
        <f t="shared" si="1"/>
        <v>0</v>
      </c>
      <c r="AC37" s="16"/>
      <c r="AD37" s="16"/>
    </row>
    <row r="38" ht="15.75" customHeight="1">
      <c r="A38" s="14">
        <v>33.0</v>
      </c>
      <c r="B38" s="14" t="s">
        <v>1303</v>
      </c>
      <c r="C38" s="14" t="s">
        <v>1306</v>
      </c>
      <c r="D38" s="183">
        <v>45219.0</v>
      </c>
      <c r="E38" s="68">
        <v>45224.0</v>
      </c>
      <c r="F38" s="14">
        <v>8024.0</v>
      </c>
      <c r="G38" s="14" t="s">
        <v>84</v>
      </c>
      <c r="H38" s="14" t="s">
        <v>173</v>
      </c>
      <c r="I38" s="67" t="s">
        <v>1314</v>
      </c>
      <c r="J38" s="14" t="s">
        <v>741</v>
      </c>
      <c r="K38" s="14" t="s">
        <v>666</v>
      </c>
      <c r="L38" s="14" t="s">
        <v>179</v>
      </c>
      <c r="M38" s="14" t="s">
        <v>1315</v>
      </c>
      <c r="N38" s="14" t="s">
        <v>32</v>
      </c>
      <c r="O38" s="50" t="s">
        <v>1318</v>
      </c>
      <c r="P38" s="14" t="s">
        <v>1320</v>
      </c>
      <c r="Q38" s="14" t="s">
        <v>1321</v>
      </c>
      <c r="R38" s="14">
        <v>9.47417007E8</v>
      </c>
      <c r="S38" s="50" t="s">
        <v>1322</v>
      </c>
      <c r="T38" s="14">
        <v>1.0</v>
      </c>
      <c r="U38" s="14">
        <v>0.0</v>
      </c>
      <c r="V38" s="14">
        <v>5.0</v>
      </c>
      <c r="W38" s="14">
        <v>0.0</v>
      </c>
      <c r="X38" s="14" t="s">
        <v>1326</v>
      </c>
      <c r="Y38" s="14" t="s">
        <v>61</v>
      </c>
      <c r="Z38" s="16"/>
      <c r="AA38" s="151" t="s">
        <v>1252</v>
      </c>
      <c r="AB38" s="152">
        <f t="shared" si="1"/>
        <v>0</v>
      </c>
      <c r="AC38" s="16"/>
      <c r="AD38" s="16"/>
    </row>
    <row r="39" ht="15.75" customHeight="1">
      <c r="A39" s="14">
        <v>34.0</v>
      </c>
      <c r="B39" s="14" t="s">
        <v>1329</v>
      </c>
      <c r="C39" s="14" t="s">
        <v>1330</v>
      </c>
      <c r="D39" s="120">
        <v>45219.0</v>
      </c>
      <c r="E39" s="68">
        <v>45224.0</v>
      </c>
      <c r="F39" s="14">
        <v>13373.0</v>
      </c>
      <c r="G39" s="14" t="s">
        <v>84</v>
      </c>
      <c r="H39" s="14" t="s">
        <v>85</v>
      </c>
      <c r="I39" s="67" t="s">
        <v>1339</v>
      </c>
      <c r="J39" s="14" t="s">
        <v>551</v>
      </c>
      <c r="K39" s="14" t="s">
        <v>125</v>
      </c>
      <c r="L39" s="14" t="s">
        <v>88</v>
      </c>
      <c r="M39" s="14" t="s">
        <v>1342</v>
      </c>
      <c r="N39" s="14" t="s">
        <v>32</v>
      </c>
      <c r="O39" s="50" t="s">
        <v>1344</v>
      </c>
      <c r="P39" s="14" t="s">
        <v>1346</v>
      </c>
      <c r="Q39" s="14" t="s">
        <v>1347</v>
      </c>
      <c r="R39" s="14" t="s">
        <v>1349</v>
      </c>
      <c r="S39" s="119" t="s">
        <v>1350</v>
      </c>
      <c r="T39" s="14">
        <v>1.0</v>
      </c>
      <c r="U39" s="14">
        <v>0.0</v>
      </c>
      <c r="V39" s="14">
        <v>2.0</v>
      </c>
      <c r="W39" s="14">
        <v>2.0</v>
      </c>
      <c r="X39" s="14" t="s">
        <v>1353</v>
      </c>
      <c r="Y39" s="14" t="s">
        <v>61</v>
      </c>
      <c r="Z39" s="16"/>
      <c r="AA39" s="151" t="s">
        <v>1024</v>
      </c>
      <c r="AB39" s="152">
        <f t="shared" si="1"/>
        <v>1</v>
      </c>
      <c r="AC39" s="16"/>
      <c r="AD39" s="16"/>
    </row>
    <row r="40" ht="15.75" customHeight="1">
      <c r="A40" s="14">
        <v>35.0</v>
      </c>
      <c r="B40" s="14" t="s">
        <v>1358</v>
      </c>
      <c r="C40" s="14" t="s">
        <v>1359</v>
      </c>
      <c r="D40" s="141">
        <v>45232.0</v>
      </c>
      <c r="E40" s="131">
        <v>45236.0</v>
      </c>
      <c r="F40" s="14">
        <v>8151.0</v>
      </c>
      <c r="G40" s="14" t="s">
        <v>170</v>
      </c>
      <c r="H40" s="14" t="s">
        <v>273</v>
      </c>
      <c r="I40" s="67" t="s">
        <v>1366</v>
      </c>
      <c r="J40" s="14" t="s">
        <v>277</v>
      </c>
      <c r="K40" s="14" t="s">
        <v>277</v>
      </c>
      <c r="L40" s="14" t="s">
        <v>281</v>
      </c>
      <c r="M40" s="14" t="s">
        <v>1371</v>
      </c>
      <c r="N40" s="14" t="s">
        <v>32</v>
      </c>
      <c r="O40" s="50" t="s">
        <v>1373</v>
      </c>
      <c r="P40" s="14" t="s">
        <v>1374</v>
      </c>
      <c r="Q40" s="14" t="s">
        <v>1375</v>
      </c>
      <c r="R40" s="14" t="s">
        <v>1376</v>
      </c>
      <c r="S40" s="50" t="s">
        <v>1377</v>
      </c>
      <c r="T40" s="14">
        <v>1.0</v>
      </c>
      <c r="U40" s="14">
        <v>0.0</v>
      </c>
      <c r="V40" s="14">
        <v>4.0</v>
      </c>
      <c r="W40" s="14">
        <v>0.0</v>
      </c>
      <c r="X40" s="14" t="s">
        <v>1380</v>
      </c>
      <c r="Y40" s="14" t="s">
        <v>61</v>
      </c>
      <c r="Z40" s="16"/>
      <c r="AA40" s="151" t="s">
        <v>1293</v>
      </c>
      <c r="AB40" s="152">
        <f t="shared" si="1"/>
        <v>0</v>
      </c>
      <c r="AC40" s="16"/>
      <c r="AD40" s="16"/>
    </row>
    <row r="41" ht="15.75" customHeight="1">
      <c r="A41" s="14">
        <v>36.0</v>
      </c>
      <c r="B41" s="14" t="s">
        <v>1383</v>
      </c>
      <c r="C41" s="14" t="s">
        <v>1384</v>
      </c>
      <c r="D41" s="146">
        <v>45244.0</v>
      </c>
      <c r="E41" s="68">
        <v>45250.0</v>
      </c>
      <c r="F41" s="14">
        <v>11401.0</v>
      </c>
      <c r="G41" s="14" t="s">
        <v>63</v>
      </c>
      <c r="H41" s="14" t="s">
        <v>43</v>
      </c>
      <c r="I41" s="67" t="s">
        <v>1391</v>
      </c>
      <c r="J41" s="14" t="s">
        <v>540</v>
      </c>
      <c r="K41" s="14" t="s">
        <v>47</v>
      </c>
      <c r="L41" s="14" t="s">
        <v>47</v>
      </c>
      <c r="M41" s="50" t="s">
        <v>1395</v>
      </c>
      <c r="N41" s="14" t="s">
        <v>32</v>
      </c>
      <c r="O41" s="50" t="s">
        <v>1396</v>
      </c>
      <c r="P41" s="14"/>
      <c r="Q41" s="14" t="s">
        <v>1398</v>
      </c>
      <c r="R41" s="14">
        <v>9.99074405E8</v>
      </c>
      <c r="S41" s="50"/>
      <c r="T41" s="14">
        <v>1.0</v>
      </c>
      <c r="U41" s="14"/>
      <c r="V41" s="14">
        <v>4.0</v>
      </c>
      <c r="W41" s="14"/>
      <c r="X41" s="50" t="s">
        <v>1405</v>
      </c>
      <c r="Y41" s="14" t="s">
        <v>61</v>
      </c>
      <c r="Z41" s="16"/>
      <c r="AA41" s="151" t="s">
        <v>1319</v>
      </c>
      <c r="AB41" s="152">
        <f t="shared" si="1"/>
        <v>0</v>
      </c>
      <c r="AC41" s="16"/>
      <c r="AD41" s="16"/>
    </row>
    <row r="42" ht="15.75" customHeight="1">
      <c r="A42" s="14">
        <v>37.0</v>
      </c>
      <c r="B42" s="14" t="s">
        <v>1411</v>
      </c>
      <c r="C42" s="14" t="s">
        <v>1413</v>
      </c>
      <c r="D42" s="141">
        <v>45232.0</v>
      </c>
      <c r="E42" s="131">
        <v>45236.0</v>
      </c>
      <c r="F42" s="14">
        <v>10972.0</v>
      </c>
      <c r="G42" s="14" t="s">
        <v>170</v>
      </c>
      <c r="H42" s="14" t="s">
        <v>273</v>
      </c>
      <c r="I42" s="67" t="s">
        <v>1417</v>
      </c>
      <c r="J42" s="14" t="s">
        <v>353</v>
      </c>
      <c r="K42" s="14" t="s">
        <v>277</v>
      </c>
      <c r="L42" s="14" t="s">
        <v>281</v>
      </c>
      <c r="M42" s="14" t="s">
        <v>1422</v>
      </c>
      <c r="N42" s="14" t="s">
        <v>32</v>
      </c>
      <c r="O42" s="50" t="s">
        <v>1423</v>
      </c>
      <c r="P42" s="14" t="s">
        <v>1424</v>
      </c>
      <c r="Q42" s="14" t="s">
        <v>1426</v>
      </c>
      <c r="R42" s="14"/>
      <c r="S42" s="50" t="s">
        <v>1429</v>
      </c>
      <c r="T42" s="14">
        <v>1.0</v>
      </c>
      <c r="U42" s="14">
        <v>0.0</v>
      </c>
      <c r="V42" s="14">
        <v>2.0</v>
      </c>
      <c r="W42" s="14">
        <v>1.0</v>
      </c>
      <c r="X42" s="14" t="s">
        <v>1431</v>
      </c>
      <c r="Y42" s="14" t="s">
        <v>61</v>
      </c>
      <c r="Z42" s="16"/>
      <c r="AA42" s="16"/>
      <c r="AB42" s="16">
        <f>SUM(AB15:AB41)</f>
        <v>81</v>
      </c>
      <c r="AC42" s="16"/>
      <c r="AD42" s="16"/>
    </row>
    <row r="43" ht="15.75" customHeight="1">
      <c r="A43" s="14">
        <v>38.0</v>
      </c>
      <c r="B43" s="14" t="s">
        <v>1440</v>
      </c>
      <c r="C43" s="14" t="s">
        <v>1441</v>
      </c>
      <c r="D43" s="120">
        <v>45257.0</v>
      </c>
      <c r="E43" s="131">
        <v>45265.0</v>
      </c>
      <c r="F43" s="14">
        <v>18985.0</v>
      </c>
      <c r="G43" s="14" t="s">
        <v>63</v>
      </c>
      <c r="H43" s="14" t="s">
        <v>172</v>
      </c>
      <c r="I43" s="67" t="s">
        <v>1447</v>
      </c>
      <c r="J43" s="14" t="s">
        <v>389</v>
      </c>
      <c r="K43" s="14" t="s">
        <v>47</v>
      </c>
      <c r="L43" s="136" t="s">
        <v>1450</v>
      </c>
      <c r="M43" s="14" t="s">
        <v>1451</v>
      </c>
      <c r="N43" s="14" t="s">
        <v>32</v>
      </c>
      <c r="O43" s="50" t="s">
        <v>1453</v>
      </c>
      <c r="P43" s="14" t="s">
        <v>1455</v>
      </c>
      <c r="Q43" s="14" t="s">
        <v>1456</v>
      </c>
      <c r="R43" s="14">
        <v>9.37677826E8</v>
      </c>
      <c r="S43" s="50" t="s">
        <v>1457</v>
      </c>
      <c r="T43" s="14">
        <v>1.0</v>
      </c>
      <c r="U43" s="14">
        <v>0.0</v>
      </c>
      <c r="V43" s="14">
        <v>4.0</v>
      </c>
      <c r="W43" s="14">
        <v>0.0</v>
      </c>
      <c r="X43" s="14" t="s">
        <v>1460</v>
      </c>
      <c r="Y43" s="14" t="s">
        <v>61</v>
      </c>
      <c r="Z43" s="16"/>
      <c r="AA43" s="16"/>
      <c r="AB43" s="16"/>
      <c r="AC43" s="16"/>
      <c r="AD43" s="16"/>
    </row>
    <row r="44" ht="18.0" customHeight="1">
      <c r="A44" s="14">
        <v>39.0</v>
      </c>
      <c r="B44" s="14" t="s">
        <v>1465</v>
      </c>
      <c r="C44" s="14" t="s">
        <v>1467</v>
      </c>
      <c r="D44" s="120">
        <v>45257.0</v>
      </c>
      <c r="E44" s="131">
        <v>45265.0</v>
      </c>
      <c r="F44" s="14">
        <v>8750.0</v>
      </c>
      <c r="G44" s="14" t="s">
        <v>170</v>
      </c>
      <c r="H44" s="14" t="s">
        <v>273</v>
      </c>
      <c r="I44" s="67" t="s">
        <v>1475</v>
      </c>
      <c r="J44" s="14" t="s">
        <v>277</v>
      </c>
      <c r="K44" s="14" t="s">
        <v>277</v>
      </c>
      <c r="L44" s="14" t="s">
        <v>281</v>
      </c>
      <c r="M44" s="14" t="s">
        <v>1478</v>
      </c>
      <c r="N44" s="14" t="s">
        <v>32</v>
      </c>
      <c r="O44" s="50" t="s">
        <v>1479</v>
      </c>
      <c r="P44" s="14" t="s">
        <v>1481</v>
      </c>
      <c r="Q44" s="136" t="s">
        <v>1482</v>
      </c>
      <c r="R44" s="14"/>
      <c r="S44" s="113" t="s">
        <v>1483</v>
      </c>
      <c r="T44" s="14">
        <v>1.0</v>
      </c>
      <c r="U44" s="14">
        <v>0.0</v>
      </c>
      <c r="V44" s="136">
        <v>5.0</v>
      </c>
      <c r="W44" s="14">
        <v>0.0</v>
      </c>
      <c r="X44" s="14" t="s">
        <v>1484</v>
      </c>
      <c r="Y44" s="136" t="s">
        <v>1486</v>
      </c>
      <c r="Z44" s="16"/>
      <c r="AA44" s="16"/>
      <c r="AB44" s="16"/>
      <c r="AC44" s="16"/>
      <c r="AD44" s="16"/>
    </row>
    <row r="45" ht="15.75" customHeight="1">
      <c r="A45" s="14">
        <v>40.0</v>
      </c>
      <c r="B45" s="14" t="s">
        <v>1490</v>
      </c>
      <c r="C45" s="75" t="s">
        <v>1492</v>
      </c>
      <c r="D45" s="141">
        <v>45266.0</v>
      </c>
      <c r="E45" s="68">
        <v>45278.0</v>
      </c>
      <c r="F45" s="14">
        <v>8318.0</v>
      </c>
      <c r="G45" s="14" t="s">
        <v>84</v>
      </c>
      <c r="H45" s="14" t="s">
        <v>76</v>
      </c>
      <c r="I45" s="67" t="s">
        <v>1498</v>
      </c>
      <c r="J45" s="14" t="s">
        <v>1175</v>
      </c>
      <c r="K45" s="14" t="s">
        <v>717</v>
      </c>
      <c r="L45" s="14" t="s">
        <v>47</v>
      </c>
      <c r="M45" s="14" t="s">
        <v>1506</v>
      </c>
      <c r="N45" s="14" t="s">
        <v>69</v>
      </c>
      <c r="O45" s="50" t="s">
        <v>1509</v>
      </c>
      <c r="P45" s="14" t="s">
        <v>1510</v>
      </c>
      <c r="Q45" s="14" t="s">
        <v>1511</v>
      </c>
      <c r="R45" s="14"/>
      <c r="S45" s="50" t="s">
        <v>1513</v>
      </c>
      <c r="T45" s="14">
        <v>1.0</v>
      </c>
      <c r="U45" s="14">
        <v>0.0</v>
      </c>
      <c r="V45" s="14">
        <v>7.0</v>
      </c>
      <c r="W45" s="14">
        <v>0.0</v>
      </c>
      <c r="X45" s="14" t="s">
        <v>1515</v>
      </c>
      <c r="Y45" s="14" t="s">
        <v>61</v>
      </c>
      <c r="Z45" s="16"/>
      <c r="AA45" s="16"/>
      <c r="AB45" s="16"/>
      <c r="AC45" s="16"/>
      <c r="AD45" s="16"/>
    </row>
    <row r="46" ht="15.75" customHeight="1">
      <c r="A46" s="14">
        <v>41.0</v>
      </c>
      <c r="B46" s="14" t="s">
        <v>1518</v>
      </c>
      <c r="C46" s="75" t="s">
        <v>1521</v>
      </c>
      <c r="D46" s="120">
        <v>45257.0</v>
      </c>
      <c r="E46" s="68">
        <v>45275.0</v>
      </c>
      <c r="F46" s="14">
        <v>8271.0</v>
      </c>
      <c r="G46" s="14" t="s">
        <v>63</v>
      </c>
      <c r="H46" s="14" t="s">
        <v>43</v>
      </c>
      <c r="I46" s="67" t="s">
        <v>1523</v>
      </c>
      <c r="J46" s="14" t="s">
        <v>818</v>
      </c>
      <c r="K46" s="14" t="s">
        <v>47</v>
      </c>
      <c r="L46" s="14" t="s">
        <v>47</v>
      </c>
      <c r="M46" s="14" t="s">
        <v>1527</v>
      </c>
      <c r="N46" s="14" t="s">
        <v>32</v>
      </c>
      <c r="O46" s="50" t="s">
        <v>1530</v>
      </c>
      <c r="P46" s="14" t="s">
        <v>1533</v>
      </c>
      <c r="Q46" s="14" t="s">
        <v>1536</v>
      </c>
      <c r="R46" s="14" t="s">
        <v>1537</v>
      </c>
      <c r="S46" s="50" t="s">
        <v>1539</v>
      </c>
      <c r="T46" s="14">
        <v>1.0</v>
      </c>
      <c r="U46" s="14">
        <v>0.0</v>
      </c>
      <c r="V46" s="14">
        <v>5.0</v>
      </c>
      <c r="W46" s="14">
        <v>0.0</v>
      </c>
      <c r="X46" s="14" t="s">
        <v>1541</v>
      </c>
      <c r="Y46" s="57" t="s">
        <v>1542</v>
      </c>
      <c r="Z46" s="16"/>
      <c r="AA46" s="16"/>
      <c r="AB46" s="16"/>
      <c r="AC46" s="16"/>
      <c r="AD46" s="16"/>
    </row>
    <row r="47" ht="15.75" customHeight="1">
      <c r="A47" s="14">
        <v>42.0</v>
      </c>
      <c r="B47" s="14" t="s">
        <v>1545</v>
      </c>
      <c r="C47" s="75" t="s">
        <v>1546</v>
      </c>
      <c r="D47" s="120">
        <v>45257.0</v>
      </c>
      <c r="E47" s="68">
        <v>45272.0</v>
      </c>
      <c r="F47" s="14">
        <v>15598.0</v>
      </c>
      <c r="G47" s="136" t="s">
        <v>1547</v>
      </c>
      <c r="H47" s="14" t="s">
        <v>315</v>
      </c>
      <c r="I47" s="185" t="s">
        <v>1549</v>
      </c>
      <c r="J47" s="14" t="s">
        <v>319</v>
      </c>
      <c r="K47" s="14" t="s">
        <v>319</v>
      </c>
      <c r="L47" s="14" t="s">
        <v>322</v>
      </c>
      <c r="M47" s="197" t="s">
        <v>1551</v>
      </c>
      <c r="N47" s="14" t="s">
        <v>69</v>
      </c>
      <c r="O47" s="50" t="s">
        <v>1554</v>
      </c>
      <c r="P47" s="14" t="s">
        <v>1555</v>
      </c>
      <c r="Q47" s="14" t="s">
        <v>1556</v>
      </c>
      <c r="R47" s="14">
        <v>9.45133898E8</v>
      </c>
      <c r="S47" s="198" t="s">
        <v>1559</v>
      </c>
      <c r="T47" s="14">
        <v>1.0</v>
      </c>
      <c r="U47" s="14">
        <v>1.0</v>
      </c>
      <c r="V47" s="14">
        <v>8.0</v>
      </c>
      <c r="W47" s="14">
        <v>0.0</v>
      </c>
      <c r="X47" s="14" t="s">
        <v>1567</v>
      </c>
      <c r="Y47" s="173" t="s">
        <v>61</v>
      </c>
      <c r="Z47" s="16"/>
      <c r="AA47" s="16"/>
      <c r="AB47" s="16"/>
      <c r="AC47" s="16"/>
      <c r="AD47" s="16"/>
    </row>
    <row r="48" ht="15.75" customHeight="1">
      <c r="A48" s="14">
        <v>43.0</v>
      </c>
      <c r="B48" s="14" t="s">
        <v>1572</v>
      </c>
      <c r="C48" s="14" t="s">
        <v>1574</v>
      </c>
      <c r="D48" s="120">
        <v>45281.0</v>
      </c>
      <c r="E48" s="68">
        <v>45290.0</v>
      </c>
      <c r="F48" s="14">
        <v>6732.0</v>
      </c>
      <c r="G48" s="14" t="s">
        <v>84</v>
      </c>
      <c r="H48" s="14" t="s">
        <v>315</v>
      </c>
      <c r="I48" s="67" t="s">
        <v>1578</v>
      </c>
      <c r="J48" s="14" t="s">
        <v>1581</v>
      </c>
      <c r="K48" s="14" t="s">
        <v>1581</v>
      </c>
      <c r="L48" s="14" t="s">
        <v>322</v>
      </c>
      <c r="M48" s="14" t="s">
        <v>1582</v>
      </c>
      <c r="N48" s="14" t="s">
        <v>50</v>
      </c>
      <c r="O48" s="50" t="s">
        <v>1584</v>
      </c>
      <c r="P48" s="14" t="s">
        <v>1585</v>
      </c>
      <c r="Q48" s="14"/>
      <c r="R48" s="14">
        <v>9.00283307E8</v>
      </c>
      <c r="S48" s="50" t="s">
        <v>1586</v>
      </c>
      <c r="T48" s="14">
        <v>1.0</v>
      </c>
      <c r="U48" s="14">
        <v>0.0</v>
      </c>
      <c r="V48" s="14">
        <v>6.0</v>
      </c>
      <c r="W48" s="14">
        <v>0.0</v>
      </c>
      <c r="X48" s="14" t="s">
        <v>1591</v>
      </c>
      <c r="Y48" s="14" t="s">
        <v>61</v>
      </c>
      <c r="Z48" s="16"/>
      <c r="AA48" s="16"/>
      <c r="AB48" s="16"/>
      <c r="AC48" s="16"/>
      <c r="AD48" s="16"/>
    </row>
    <row r="49" ht="15.75" customHeight="1">
      <c r="A49" s="14">
        <v>44.0</v>
      </c>
      <c r="B49" s="14" t="s">
        <v>1597</v>
      </c>
      <c r="C49" s="14" t="s">
        <v>1598</v>
      </c>
      <c r="D49" s="146">
        <v>45432.0</v>
      </c>
      <c r="E49" s="131">
        <v>45434.0</v>
      </c>
      <c r="F49" s="14">
        <v>14501.0</v>
      </c>
      <c r="G49" s="14" t="s">
        <v>63</v>
      </c>
      <c r="H49" s="14" t="s">
        <v>43</v>
      </c>
      <c r="I49" s="67" t="s">
        <v>1600</v>
      </c>
      <c r="J49" s="14" t="s">
        <v>540</v>
      </c>
      <c r="K49" s="14" t="s">
        <v>47</v>
      </c>
      <c r="L49" s="14" t="s">
        <v>47</v>
      </c>
      <c r="M49" s="14" t="s">
        <v>1602</v>
      </c>
      <c r="N49" s="14" t="s">
        <v>32</v>
      </c>
      <c r="O49" s="50" t="s">
        <v>1603</v>
      </c>
      <c r="P49" s="14" t="s">
        <v>1605</v>
      </c>
      <c r="Q49" s="136" t="s">
        <v>1608</v>
      </c>
      <c r="R49" s="14"/>
      <c r="S49" s="50" t="s">
        <v>1611</v>
      </c>
      <c r="T49" s="14">
        <v>1.0</v>
      </c>
      <c r="U49" s="14">
        <v>0.0</v>
      </c>
      <c r="V49" s="14">
        <v>5.0</v>
      </c>
      <c r="W49" s="14">
        <v>0.0</v>
      </c>
      <c r="X49" s="14" t="s">
        <v>1615</v>
      </c>
      <c r="Y49" s="14" t="s">
        <v>61</v>
      </c>
      <c r="Z49" s="16"/>
      <c r="AA49" s="16"/>
      <c r="AB49" s="16"/>
      <c r="AC49" s="16"/>
      <c r="AD49" s="16"/>
    </row>
    <row r="50" ht="15.75" customHeight="1">
      <c r="A50" s="75">
        <v>45.0</v>
      </c>
      <c r="B50" s="75" t="s">
        <v>1620</v>
      </c>
      <c r="C50" s="75" t="s">
        <v>1623</v>
      </c>
      <c r="D50" s="146">
        <v>45440.0</v>
      </c>
      <c r="E50" s="167">
        <v>45448.0</v>
      </c>
      <c r="F50" s="75">
        <v>27733.0</v>
      </c>
      <c r="G50" s="75" t="s">
        <v>84</v>
      </c>
      <c r="H50" s="75" t="s">
        <v>315</v>
      </c>
      <c r="I50" s="204" t="s">
        <v>1627</v>
      </c>
      <c r="J50" s="75" t="s">
        <v>509</v>
      </c>
      <c r="K50" s="75" t="s">
        <v>322</v>
      </c>
      <c r="L50" s="75" t="s">
        <v>322</v>
      </c>
      <c r="M50" s="57" t="s">
        <v>1631</v>
      </c>
      <c r="N50" s="75" t="s">
        <v>69</v>
      </c>
      <c r="O50" s="57" t="s">
        <v>1632</v>
      </c>
      <c r="P50" s="75" t="s">
        <v>1633</v>
      </c>
      <c r="Q50" s="75" t="s">
        <v>1634</v>
      </c>
      <c r="R50" s="75">
        <v>9.43764563E8</v>
      </c>
      <c r="S50" s="57" t="s">
        <v>1636</v>
      </c>
      <c r="T50" s="75">
        <v>1.0</v>
      </c>
      <c r="U50" s="75">
        <v>0.0</v>
      </c>
      <c r="V50" s="75">
        <v>7.0</v>
      </c>
      <c r="W50" s="75">
        <v>0.0</v>
      </c>
      <c r="X50" s="75" t="s">
        <v>1640</v>
      </c>
      <c r="Y50" s="75" t="s">
        <v>61</v>
      </c>
      <c r="Z50" s="75"/>
      <c r="AA50" s="75"/>
      <c r="AB50" s="75"/>
      <c r="AC50" s="75"/>
      <c r="AD50" s="75"/>
    </row>
    <row r="51" ht="15.75" customHeight="1">
      <c r="A51" s="14">
        <v>46.0</v>
      </c>
      <c r="B51" s="75" t="s">
        <v>1648</v>
      </c>
      <c r="C51" s="14" t="s">
        <v>1651</v>
      </c>
      <c r="D51" s="146">
        <v>45448.0</v>
      </c>
      <c r="E51" s="187">
        <v>45454.0</v>
      </c>
      <c r="F51" s="16">
        <v>12671.0</v>
      </c>
      <c r="G51" s="16" t="s">
        <v>84</v>
      </c>
      <c r="H51" s="14" t="s">
        <v>942</v>
      </c>
      <c r="I51" s="206" t="s">
        <v>1655</v>
      </c>
      <c r="J51" s="136" t="s">
        <v>1660</v>
      </c>
      <c r="K51" s="14" t="s">
        <v>1661</v>
      </c>
      <c r="L51" s="14" t="s">
        <v>948</v>
      </c>
      <c r="M51" s="14" t="s">
        <v>1662</v>
      </c>
      <c r="N51" s="14" t="s">
        <v>32</v>
      </c>
      <c r="O51" s="14" t="s">
        <v>1665</v>
      </c>
      <c r="P51" s="14" t="s">
        <v>1667</v>
      </c>
      <c r="Q51" s="14" t="s">
        <v>1669</v>
      </c>
      <c r="R51" s="14">
        <v>9.85637995E8</v>
      </c>
      <c r="S51" s="50" t="s">
        <v>1670</v>
      </c>
      <c r="T51" s="14">
        <v>1.0</v>
      </c>
      <c r="U51" s="14">
        <v>0.0</v>
      </c>
      <c r="V51" s="14">
        <v>3.0</v>
      </c>
      <c r="W51" s="14">
        <v>0.0</v>
      </c>
      <c r="X51" s="14" t="s">
        <v>1681</v>
      </c>
      <c r="Y51" s="14" t="s">
        <v>61</v>
      </c>
      <c r="Z51" s="16"/>
      <c r="AA51" s="16"/>
      <c r="AB51" s="16"/>
      <c r="AC51" s="16"/>
      <c r="AD51" s="16"/>
    </row>
    <row r="52" ht="15.75" customHeight="1">
      <c r="A52" s="14">
        <v>47.0</v>
      </c>
      <c r="B52" s="188" t="s">
        <v>1686</v>
      </c>
      <c r="C52" s="188" t="s">
        <v>1687</v>
      </c>
      <c r="D52" s="207">
        <v>45463.0</v>
      </c>
      <c r="E52" s="208">
        <v>45468.0</v>
      </c>
      <c r="F52" s="188">
        <v>9053.0</v>
      </c>
      <c r="G52" s="188" t="s">
        <v>63</v>
      </c>
      <c r="H52" s="188" t="s">
        <v>942</v>
      </c>
      <c r="I52" s="209" t="s">
        <v>1693</v>
      </c>
      <c r="J52" s="188" t="s">
        <v>849</v>
      </c>
      <c r="K52" s="14" t="s">
        <v>1661</v>
      </c>
      <c r="L52" s="14" t="s">
        <v>948</v>
      </c>
      <c r="M52" s="14" t="s">
        <v>1697</v>
      </c>
      <c r="N52" s="14" t="s">
        <v>69</v>
      </c>
      <c r="O52" s="197" t="s">
        <v>1698</v>
      </c>
      <c r="P52" s="14" t="s">
        <v>1700</v>
      </c>
      <c r="Q52" s="14" t="s">
        <v>1702</v>
      </c>
      <c r="R52" s="14">
        <v>9.53989457E8</v>
      </c>
      <c r="S52" s="50" t="s">
        <v>1704</v>
      </c>
      <c r="T52" s="14">
        <v>0.0</v>
      </c>
      <c r="U52" s="14">
        <v>1.0</v>
      </c>
      <c r="V52" s="14">
        <v>4.0</v>
      </c>
      <c r="W52" s="14">
        <v>0.0</v>
      </c>
      <c r="X52" s="14" t="s">
        <v>1710</v>
      </c>
      <c r="Y52" s="14" t="s">
        <v>61</v>
      </c>
      <c r="Z52" s="16"/>
      <c r="AA52" s="16"/>
      <c r="AB52" s="16"/>
      <c r="AC52" s="16"/>
      <c r="AD52" s="16"/>
    </row>
    <row r="53" ht="15.75" customHeight="1">
      <c r="A53" s="14">
        <v>48.0</v>
      </c>
      <c r="B53" s="14" t="s">
        <v>1713</v>
      </c>
      <c r="C53" s="14" t="s">
        <v>1715</v>
      </c>
      <c r="D53" s="205">
        <v>45525.0</v>
      </c>
      <c r="E53" s="131">
        <v>45530.0</v>
      </c>
      <c r="F53" s="14">
        <v>18310.0</v>
      </c>
      <c r="G53" s="14" t="s">
        <v>84</v>
      </c>
      <c r="H53" s="14" t="s">
        <v>603</v>
      </c>
      <c r="I53" s="67" t="s">
        <v>1718</v>
      </c>
      <c r="J53" s="14" t="s">
        <v>610</v>
      </c>
      <c r="K53" s="14" t="s">
        <v>610</v>
      </c>
      <c r="L53" s="14" t="s">
        <v>610</v>
      </c>
      <c r="M53" s="14" t="s">
        <v>1721</v>
      </c>
      <c r="N53" s="14" t="s">
        <v>32</v>
      </c>
      <c r="O53" s="50" t="s">
        <v>1723</v>
      </c>
      <c r="P53" s="14" t="s">
        <v>1724</v>
      </c>
      <c r="Q53" s="14" t="s">
        <v>1726</v>
      </c>
      <c r="R53" s="14">
        <v>9.69747284E8</v>
      </c>
      <c r="S53" s="50" t="s">
        <v>1729</v>
      </c>
      <c r="T53" s="14">
        <v>1.0</v>
      </c>
      <c r="U53" s="14">
        <v>0.0</v>
      </c>
      <c r="V53" s="14">
        <v>6.0</v>
      </c>
      <c r="W53" s="14">
        <v>0.0</v>
      </c>
      <c r="X53" s="14" t="s">
        <v>1734</v>
      </c>
      <c r="Y53" s="14" t="s">
        <v>61</v>
      </c>
      <c r="Z53" s="16"/>
      <c r="AA53" s="16"/>
      <c r="AB53" s="16"/>
      <c r="AC53" s="16"/>
      <c r="AD53" s="16"/>
    </row>
    <row r="54" ht="30.0" customHeight="1">
      <c r="A54" s="14">
        <v>49.0</v>
      </c>
      <c r="B54" s="202" t="s">
        <v>1740</v>
      </c>
      <c r="C54" s="75" t="s">
        <v>1741</v>
      </c>
      <c r="D54" s="205">
        <v>45538.0</v>
      </c>
      <c r="E54" s="131">
        <v>45541.0</v>
      </c>
      <c r="F54" s="14">
        <v>7632.0</v>
      </c>
      <c r="G54" s="14" t="s">
        <v>63</v>
      </c>
      <c r="H54" s="14" t="s">
        <v>153</v>
      </c>
      <c r="I54" s="211" t="s">
        <v>1077</v>
      </c>
      <c r="J54" s="14" t="s">
        <v>1747</v>
      </c>
      <c r="K54" s="14" t="s">
        <v>47</v>
      </c>
      <c r="L54" s="14" t="s">
        <v>47</v>
      </c>
      <c r="M54" s="16" t="s">
        <v>1749</v>
      </c>
      <c r="N54" s="14" t="s">
        <v>50</v>
      </c>
      <c r="O54" s="16" t="s">
        <v>1750</v>
      </c>
      <c r="P54" s="213" t="s">
        <v>1752</v>
      </c>
      <c r="Q54" s="16" t="s">
        <v>1758</v>
      </c>
      <c r="R54" s="14">
        <v>9.90640043E8</v>
      </c>
      <c r="S54" s="50" t="s">
        <v>1761</v>
      </c>
      <c r="T54" s="14">
        <v>1.0</v>
      </c>
      <c r="U54" s="14">
        <v>0.0</v>
      </c>
      <c r="V54" s="14">
        <v>6.0</v>
      </c>
      <c r="W54" s="14">
        <v>0.0</v>
      </c>
      <c r="X54" s="14" t="s">
        <v>1766</v>
      </c>
      <c r="Y54" s="135" t="s">
        <v>1768</v>
      </c>
      <c r="Z54" s="16"/>
      <c r="AA54" s="16"/>
      <c r="AB54" s="16"/>
      <c r="AC54" s="16"/>
      <c r="AD54" s="16"/>
    </row>
    <row r="55" ht="18.0" customHeight="1">
      <c r="A55" s="75">
        <v>50.0</v>
      </c>
      <c r="B55" s="75" t="s">
        <v>1773</v>
      </c>
      <c r="C55" s="75" t="s">
        <v>1774</v>
      </c>
      <c r="D55" s="205">
        <v>45554.0</v>
      </c>
      <c r="E55" s="167">
        <v>45554.0</v>
      </c>
      <c r="F55" s="75">
        <v>8741.0</v>
      </c>
      <c r="G55" s="75" t="s">
        <v>84</v>
      </c>
      <c r="H55" s="75" t="s">
        <v>172</v>
      </c>
      <c r="I55" s="123" t="s">
        <v>1777</v>
      </c>
      <c r="J55" s="75" t="s">
        <v>316</v>
      </c>
      <c r="K55" s="75" t="s">
        <v>47</v>
      </c>
      <c r="L55" s="14" t="s">
        <v>47</v>
      </c>
      <c r="M55" s="75" t="s">
        <v>1782</v>
      </c>
      <c r="N55" s="75"/>
      <c r="O55" s="57" t="s">
        <v>1784</v>
      </c>
      <c r="P55" s="75" t="s">
        <v>1786</v>
      </c>
      <c r="Q55" s="75" t="s">
        <v>1788</v>
      </c>
      <c r="R55" s="75">
        <v>9.72807385E8</v>
      </c>
      <c r="S55" s="57" t="s">
        <v>1789</v>
      </c>
      <c r="T55" s="75">
        <v>2.0</v>
      </c>
      <c r="U55" s="75">
        <v>0.0</v>
      </c>
      <c r="V55" s="75">
        <v>11.0</v>
      </c>
      <c r="W55" s="75">
        <v>0.0</v>
      </c>
      <c r="X55" s="75" t="s">
        <v>1795</v>
      </c>
      <c r="Y55" s="75" t="s">
        <v>1090</v>
      </c>
      <c r="Z55" s="119"/>
      <c r="AA55" s="119"/>
      <c r="AB55" s="119"/>
      <c r="AC55" s="119"/>
      <c r="AD55" s="119"/>
    </row>
    <row r="56" ht="30.75" customHeight="1">
      <c r="A56" s="14">
        <v>51.0</v>
      </c>
      <c r="B56" s="202" t="s">
        <v>1800</v>
      </c>
      <c r="C56" s="75" t="s">
        <v>1801</v>
      </c>
      <c r="D56" s="205">
        <v>45558.0</v>
      </c>
      <c r="E56" s="167">
        <v>45560.0</v>
      </c>
      <c r="F56" s="75">
        <v>27214.0</v>
      </c>
      <c r="G56" s="75" t="s">
        <v>63</v>
      </c>
      <c r="H56" s="14" t="s">
        <v>1807</v>
      </c>
      <c r="I56" s="80" t="s">
        <v>1808</v>
      </c>
      <c r="J56" s="14" t="s">
        <v>1809</v>
      </c>
      <c r="K56" s="14" t="s">
        <v>142</v>
      </c>
      <c r="L56" s="14" t="s">
        <v>142</v>
      </c>
      <c r="M56" s="14" t="s">
        <v>1813</v>
      </c>
      <c r="N56" s="14" t="s">
        <v>32</v>
      </c>
      <c r="O56" s="50" t="s">
        <v>1816</v>
      </c>
      <c r="P56" s="14" t="s">
        <v>1818</v>
      </c>
      <c r="Q56" s="14" t="s">
        <v>1820</v>
      </c>
      <c r="R56" s="14">
        <v>9.59390427E8</v>
      </c>
      <c r="S56" s="50" t="s">
        <v>1822</v>
      </c>
      <c r="T56" s="14">
        <v>1.0</v>
      </c>
      <c r="U56" s="14">
        <v>0.0</v>
      </c>
      <c r="V56" s="14">
        <v>5.0</v>
      </c>
      <c r="W56" s="14">
        <v>0.0</v>
      </c>
      <c r="X56" s="14" t="s">
        <v>1826</v>
      </c>
      <c r="Y56" s="14" t="s">
        <v>61</v>
      </c>
      <c r="Z56" s="16"/>
      <c r="AA56" s="16"/>
      <c r="AB56" s="16"/>
      <c r="AC56" s="16"/>
      <c r="AD56" s="16"/>
    </row>
    <row r="57" ht="30.75" customHeight="1">
      <c r="A57" s="14">
        <v>52.0</v>
      </c>
      <c r="B57" s="202" t="s">
        <v>1831</v>
      </c>
      <c r="C57" s="75" t="s">
        <v>1833</v>
      </c>
      <c r="D57" s="146">
        <v>45552.0</v>
      </c>
      <c r="E57" s="131">
        <v>45554.0</v>
      </c>
      <c r="F57" s="14">
        <v>9188.0</v>
      </c>
      <c r="G57" s="14" t="s">
        <v>84</v>
      </c>
      <c r="H57" s="14" t="s">
        <v>43</v>
      </c>
      <c r="I57" s="67" t="s">
        <v>1836</v>
      </c>
      <c r="J57" s="14" t="s">
        <v>1838</v>
      </c>
      <c r="K57" s="14" t="s">
        <v>47</v>
      </c>
      <c r="L57" s="14" t="s">
        <v>47</v>
      </c>
      <c r="M57" s="14" t="s">
        <v>1840</v>
      </c>
      <c r="N57" s="14" t="s">
        <v>69</v>
      </c>
      <c r="O57" s="50" t="s">
        <v>1844</v>
      </c>
      <c r="P57" s="14"/>
      <c r="Q57" s="14" t="s">
        <v>1847</v>
      </c>
      <c r="R57" s="14">
        <v>9.5168796E8</v>
      </c>
      <c r="S57" s="50" t="s">
        <v>1850</v>
      </c>
      <c r="T57" s="14">
        <v>1.0</v>
      </c>
      <c r="U57" s="14">
        <v>0.0</v>
      </c>
      <c r="V57" s="14">
        <v>8.0</v>
      </c>
      <c r="W57" s="14">
        <v>0.0</v>
      </c>
      <c r="X57" s="16" t="s">
        <v>1855</v>
      </c>
      <c r="Y57" s="14" t="s">
        <v>61</v>
      </c>
      <c r="Z57" s="16"/>
      <c r="AA57" s="16"/>
      <c r="AB57" s="16"/>
      <c r="AC57" s="16"/>
      <c r="AD57" s="16"/>
    </row>
    <row r="58" ht="33.0" customHeight="1">
      <c r="A58" s="14">
        <v>53.0</v>
      </c>
      <c r="B58" s="14" t="s">
        <v>1858</v>
      </c>
      <c r="C58" s="75" t="s">
        <v>1860</v>
      </c>
      <c r="D58" s="146">
        <v>45547.0</v>
      </c>
      <c r="E58" s="131">
        <v>45559.0</v>
      </c>
      <c r="F58" s="14">
        <v>9250.0</v>
      </c>
      <c r="G58" s="14" t="s">
        <v>84</v>
      </c>
      <c r="H58" s="14" t="s">
        <v>235</v>
      </c>
      <c r="I58" s="67" t="s">
        <v>1863</v>
      </c>
      <c r="J58" s="14" t="s">
        <v>876</v>
      </c>
      <c r="K58" s="14" t="s">
        <v>240</v>
      </c>
      <c r="L58" s="14" t="s">
        <v>240</v>
      </c>
      <c r="M58" s="14" t="s">
        <v>1867</v>
      </c>
      <c r="N58" s="14" t="s">
        <v>32</v>
      </c>
      <c r="O58" s="50" t="s">
        <v>1870</v>
      </c>
      <c r="P58" s="14" t="s">
        <v>1872</v>
      </c>
      <c r="Q58" s="14" t="s">
        <v>1874</v>
      </c>
      <c r="R58" s="14">
        <v>9.90640043E8</v>
      </c>
      <c r="S58" s="50" t="s">
        <v>1876</v>
      </c>
      <c r="T58" s="14">
        <v>2.0</v>
      </c>
      <c r="U58" s="14">
        <v>0.0</v>
      </c>
      <c r="V58" s="14">
        <v>7.0</v>
      </c>
      <c r="W58" s="14">
        <v>0.0</v>
      </c>
      <c r="X58" s="14" t="s">
        <v>1879</v>
      </c>
      <c r="Y58" s="14" t="s">
        <v>1880</v>
      </c>
      <c r="Z58" s="16"/>
      <c r="AA58" s="16"/>
      <c r="AB58" s="16"/>
      <c r="AC58" s="16"/>
      <c r="AD58" s="16"/>
    </row>
    <row r="59" ht="15.75" customHeight="1">
      <c r="A59" s="14">
        <v>54.0</v>
      </c>
      <c r="B59" s="215" t="s">
        <v>1883</v>
      </c>
      <c r="C59" s="14" t="s">
        <v>1887</v>
      </c>
      <c r="D59" s="146">
        <v>45554.0</v>
      </c>
      <c r="E59" s="131">
        <v>45555.0</v>
      </c>
      <c r="F59" s="14">
        <v>13494.0</v>
      </c>
      <c r="G59" s="14" t="s">
        <v>84</v>
      </c>
      <c r="H59" s="14" t="s">
        <v>603</v>
      </c>
      <c r="I59" s="180" t="s">
        <v>1890</v>
      </c>
      <c r="J59" s="14" t="s">
        <v>1815</v>
      </c>
      <c r="K59" s="14" t="s">
        <v>610</v>
      </c>
      <c r="L59" s="14" t="s">
        <v>610</v>
      </c>
      <c r="M59" s="16" t="s">
        <v>1898</v>
      </c>
      <c r="N59" s="14" t="s">
        <v>32</v>
      </c>
      <c r="O59" s="16" t="s">
        <v>1902</v>
      </c>
      <c r="P59" s="14" t="s">
        <v>1903</v>
      </c>
      <c r="Q59" s="14" t="s">
        <v>1904</v>
      </c>
      <c r="R59" s="14">
        <v>9.66198468E8</v>
      </c>
      <c r="S59" s="50" t="s">
        <v>1907</v>
      </c>
      <c r="T59" s="14">
        <v>0.0</v>
      </c>
      <c r="U59" s="14">
        <v>1.0</v>
      </c>
      <c r="V59" s="14">
        <v>3.0</v>
      </c>
      <c r="W59" s="14">
        <v>0.0</v>
      </c>
      <c r="X59" s="14" t="s">
        <v>1912</v>
      </c>
      <c r="Y59" s="14" t="s">
        <v>61</v>
      </c>
      <c r="Z59" s="16"/>
      <c r="AA59" s="16"/>
      <c r="AB59" s="16"/>
      <c r="AC59" s="16"/>
      <c r="AD59" s="16"/>
    </row>
    <row r="60" ht="20.25" customHeight="1">
      <c r="A60" s="50">
        <v>55.0</v>
      </c>
      <c r="B60" s="50" t="s">
        <v>1917</v>
      </c>
      <c r="C60" s="218" t="s">
        <v>1920</v>
      </c>
      <c r="D60" s="146">
        <v>45562.0</v>
      </c>
      <c r="E60" s="63">
        <v>45566.0</v>
      </c>
      <c r="F60" s="50">
        <v>5617.0</v>
      </c>
      <c r="G60" s="50" t="s">
        <v>63</v>
      </c>
      <c r="H60" s="50" t="s">
        <v>43</v>
      </c>
      <c r="I60" s="80" t="s">
        <v>1927</v>
      </c>
      <c r="J60" s="50" t="s">
        <v>818</v>
      </c>
      <c r="K60" s="50" t="s">
        <v>47</v>
      </c>
      <c r="L60" s="14" t="s">
        <v>47</v>
      </c>
      <c r="M60" s="50" t="s">
        <v>1930</v>
      </c>
      <c r="N60" s="50" t="s">
        <v>50</v>
      </c>
      <c r="O60" s="50" t="s">
        <v>1931</v>
      </c>
      <c r="P60" s="50"/>
      <c r="Q60" s="50" t="s">
        <v>1933</v>
      </c>
      <c r="R60" s="50">
        <v>9.41444706E8</v>
      </c>
      <c r="S60" s="50" t="s">
        <v>1936</v>
      </c>
      <c r="T60" s="50">
        <v>1.0</v>
      </c>
      <c r="U60" s="50">
        <v>1.0</v>
      </c>
      <c r="V60" s="50">
        <v>5.0</v>
      </c>
      <c r="W60" s="50">
        <v>0.0</v>
      </c>
      <c r="X60" s="50" t="s">
        <v>1940</v>
      </c>
      <c r="Y60" s="50" t="s">
        <v>61</v>
      </c>
      <c r="Z60" s="10"/>
      <c r="AA60" s="10"/>
      <c r="AB60" s="10"/>
      <c r="AC60" s="10"/>
      <c r="AD60" s="10"/>
    </row>
    <row r="61" ht="15.75" customHeight="1">
      <c r="A61" s="14">
        <v>56.0</v>
      </c>
      <c r="B61" s="14" t="s">
        <v>1952</v>
      </c>
      <c r="C61" s="75" t="s">
        <v>1954</v>
      </c>
      <c r="D61" s="120">
        <v>45582.0</v>
      </c>
      <c r="E61" s="68">
        <v>45586.0</v>
      </c>
      <c r="F61" s="14">
        <v>12272.0</v>
      </c>
      <c r="G61" s="14" t="s">
        <v>84</v>
      </c>
      <c r="H61" s="14" t="s">
        <v>1956</v>
      </c>
      <c r="I61" s="80" t="s">
        <v>1958</v>
      </c>
      <c r="J61" s="14" t="s">
        <v>1191</v>
      </c>
      <c r="K61" s="14" t="s">
        <v>1191</v>
      </c>
      <c r="L61" s="14" t="s">
        <v>1191</v>
      </c>
      <c r="M61" s="14" t="s">
        <v>1962</v>
      </c>
      <c r="N61" s="14" t="s">
        <v>69</v>
      </c>
      <c r="O61" s="50" t="s">
        <v>1963</v>
      </c>
      <c r="P61" s="14" t="s">
        <v>1964</v>
      </c>
      <c r="Q61" s="75" t="s">
        <v>1965</v>
      </c>
      <c r="R61" s="14">
        <v>9.44929913E8</v>
      </c>
      <c r="S61" s="50" t="s">
        <v>1968</v>
      </c>
      <c r="T61" s="14">
        <v>1.0</v>
      </c>
      <c r="U61" s="14">
        <v>0.0</v>
      </c>
      <c r="V61" s="14">
        <v>4.0</v>
      </c>
      <c r="W61" s="14">
        <v>0.0</v>
      </c>
      <c r="X61" s="14" t="s">
        <v>1972</v>
      </c>
      <c r="Y61" s="14" t="s">
        <v>61</v>
      </c>
      <c r="Z61" s="16"/>
      <c r="AA61" s="16"/>
      <c r="AB61" s="16"/>
      <c r="AC61" s="16"/>
      <c r="AD61" s="16"/>
    </row>
    <row r="62" ht="15.75" customHeight="1">
      <c r="A62" s="14">
        <v>57.0</v>
      </c>
      <c r="B62" s="14" t="s">
        <v>1981</v>
      </c>
      <c r="C62" s="173" t="s">
        <v>1983</v>
      </c>
      <c r="D62" s="120">
        <v>45582.0</v>
      </c>
      <c r="E62" s="68">
        <v>45586.0</v>
      </c>
      <c r="F62" s="14">
        <v>6919.0</v>
      </c>
      <c r="G62" s="14" t="s">
        <v>170</v>
      </c>
      <c r="H62" s="14" t="s">
        <v>315</v>
      </c>
      <c r="I62" s="80" t="s">
        <v>1989</v>
      </c>
      <c r="J62" s="14" t="s">
        <v>1991</v>
      </c>
      <c r="K62" s="14" t="s">
        <v>1993</v>
      </c>
      <c r="L62" s="14" t="s">
        <v>322</v>
      </c>
      <c r="M62" s="14" t="s">
        <v>1995</v>
      </c>
      <c r="N62" s="50" t="s">
        <v>50</v>
      </c>
      <c r="O62" s="50" t="s">
        <v>1996</v>
      </c>
      <c r="P62" s="14" t="s">
        <v>1997</v>
      </c>
      <c r="Q62" s="14" t="s">
        <v>1998</v>
      </c>
      <c r="R62" s="14">
        <v>9.72855469E8</v>
      </c>
      <c r="S62" s="50" t="s">
        <v>2000</v>
      </c>
      <c r="T62" s="14">
        <v>1.0</v>
      </c>
      <c r="U62" s="14">
        <v>0.0</v>
      </c>
      <c r="V62" s="14">
        <v>4.0</v>
      </c>
      <c r="W62" s="14">
        <v>0.0</v>
      </c>
      <c r="X62" s="14" t="s">
        <v>2001</v>
      </c>
      <c r="Y62" s="14" t="s">
        <v>61</v>
      </c>
      <c r="Z62" s="16"/>
      <c r="AA62" s="16"/>
      <c r="AB62" s="16"/>
      <c r="AC62" s="16"/>
      <c r="AD62" s="16"/>
    </row>
    <row r="63" ht="15.75" customHeight="1">
      <c r="A63" s="14">
        <v>58.0</v>
      </c>
      <c r="B63" s="14" t="s">
        <v>2005</v>
      </c>
      <c r="C63" s="173" t="s">
        <v>2006</v>
      </c>
      <c r="D63" s="183">
        <v>45590.0</v>
      </c>
      <c r="E63" s="131">
        <v>45601.0</v>
      </c>
      <c r="F63" s="14">
        <v>7638.0</v>
      </c>
      <c r="G63" s="14" t="s">
        <v>63</v>
      </c>
      <c r="H63" s="14" t="s">
        <v>2011</v>
      </c>
      <c r="I63" s="80" t="s">
        <v>2014</v>
      </c>
      <c r="J63" s="14" t="s">
        <v>2016</v>
      </c>
      <c r="K63" s="14" t="s">
        <v>2019</v>
      </c>
      <c r="L63" s="14" t="s">
        <v>47</v>
      </c>
      <c r="M63" s="14" t="s">
        <v>2021</v>
      </c>
      <c r="N63" s="14" t="s">
        <v>50</v>
      </c>
      <c r="O63" s="50"/>
      <c r="P63" s="14" t="s">
        <v>2024</v>
      </c>
      <c r="Q63" s="14" t="s">
        <v>2025</v>
      </c>
      <c r="R63" s="14">
        <v>9.96228972E8</v>
      </c>
      <c r="S63" s="50" t="s">
        <v>2027</v>
      </c>
      <c r="T63" s="14">
        <v>1.0</v>
      </c>
      <c r="U63" s="14">
        <v>0.0</v>
      </c>
      <c r="V63" s="14">
        <v>11.0</v>
      </c>
      <c r="W63" s="14">
        <v>0.0</v>
      </c>
      <c r="X63" s="14" t="s">
        <v>2030</v>
      </c>
      <c r="Y63" s="14" t="s">
        <v>61</v>
      </c>
      <c r="Z63" s="16"/>
      <c r="AA63" s="16"/>
      <c r="AB63" s="16"/>
      <c r="AC63" s="16"/>
      <c r="AD63" s="16"/>
    </row>
    <row r="64" ht="15.75" customHeight="1">
      <c r="A64" s="14">
        <v>59.0</v>
      </c>
      <c r="B64" s="14" t="s">
        <v>2034</v>
      </c>
      <c r="C64" s="75" t="s">
        <v>2035</v>
      </c>
      <c r="D64" s="183">
        <v>45593.0</v>
      </c>
      <c r="E64" s="68">
        <v>45596.0</v>
      </c>
      <c r="F64" s="14">
        <v>5883.0</v>
      </c>
      <c r="G64" s="14" t="s">
        <v>84</v>
      </c>
      <c r="H64" s="14" t="s">
        <v>1049</v>
      </c>
      <c r="I64" s="80" t="s">
        <v>2042</v>
      </c>
      <c r="J64" s="14" t="s">
        <v>1200</v>
      </c>
      <c r="K64" s="14" t="s">
        <v>47</v>
      </c>
      <c r="L64" s="14" t="s">
        <v>47</v>
      </c>
      <c r="M64" s="14" t="s">
        <v>2046</v>
      </c>
      <c r="N64" s="14" t="s">
        <v>50</v>
      </c>
      <c r="O64" s="14" t="s">
        <v>2049</v>
      </c>
      <c r="P64" s="14"/>
      <c r="Q64" s="50" t="s">
        <v>2051</v>
      </c>
      <c r="R64" s="14"/>
      <c r="S64" s="50" t="s">
        <v>2053</v>
      </c>
      <c r="T64" s="14">
        <v>1.0</v>
      </c>
      <c r="U64" s="14">
        <v>0.0</v>
      </c>
      <c r="V64" s="14">
        <v>7.0</v>
      </c>
      <c r="W64" s="14">
        <v>0.0</v>
      </c>
      <c r="X64" s="14" t="s">
        <v>2056</v>
      </c>
      <c r="Y64" s="14" t="s">
        <v>61</v>
      </c>
      <c r="Z64" s="16"/>
      <c r="AA64" s="16"/>
      <c r="AB64" s="16"/>
      <c r="AC64" s="16"/>
      <c r="AD64" s="16"/>
    </row>
    <row r="65" ht="15.75" customHeight="1">
      <c r="A65" s="14">
        <v>60.0</v>
      </c>
      <c r="B65" s="14" t="s">
        <v>2059</v>
      </c>
      <c r="C65" s="75" t="s">
        <v>2060</v>
      </c>
      <c r="D65" s="141">
        <v>45621.0</v>
      </c>
      <c r="E65" s="131">
        <v>45628.0</v>
      </c>
      <c r="F65" s="14">
        <v>12206.0</v>
      </c>
      <c r="G65" s="14" t="s">
        <v>170</v>
      </c>
      <c r="H65" s="14" t="s">
        <v>2066</v>
      </c>
      <c r="I65" s="80" t="s">
        <v>2068</v>
      </c>
      <c r="J65" s="14" t="s">
        <v>1639</v>
      </c>
      <c r="K65" s="14" t="s">
        <v>47</v>
      </c>
      <c r="L65" s="14" t="s">
        <v>47</v>
      </c>
      <c r="M65" s="14" t="s">
        <v>2071</v>
      </c>
      <c r="N65" s="14" t="s">
        <v>32</v>
      </c>
      <c r="O65" s="50" t="s">
        <v>2072</v>
      </c>
      <c r="P65" s="14" t="s">
        <v>2075</v>
      </c>
      <c r="Q65" s="14" t="s">
        <v>2076</v>
      </c>
      <c r="R65" s="14">
        <v>9.97904429E8</v>
      </c>
      <c r="S65" s="50" t="s">
        <v>2079</v>
      </c>
      <c r="T65" s="14">
        <v>1.0</v>
      </c>
      <c r="U65" s="14">
        <v>0.0</v>
      </c>
      <c r="V65" s="14">
        <v>3.0</v>
      </c>
      <c r="W65" s="14">
        <v>0.0</v>
      </c>
      <c r="X65" s="14"/>
      <c r="Y65" s="14" t="s">
        <v>2084</v>
      </c>
      <c r="Z65" s="16"/>
      <c r="AA65" s="16"/>
      <c r="AB65" s="16"/>
      <c r="AC65" s="16"/>
      <c r="AD65" s="16"/>
    </row>
    <row r="66" ht="15.75" customHeight="1">
      <c r="A66" s="14">
        <v>61.0</v>
      </c>
      <c r="B66" s="14" t="s">
        <v>2085</v>
      </c>
      <c r="C66" s="75" t="s">
        <v>2087</v>
      </c>
      <c r="D66" s="141">
        <v>45621.0</v>
      </c>
      <c r="E66" s="68">
        <v>45624.0</v>
      </c>
      <c r="F66" s="14">
        <v>12666.0</v>
      </c>
      <c r="G66" s="14" t="s">
        <v>63</v>
      </c>
      <c r="H66" s="14" t="s">
        <v>43</v>
      </c>
      <c r="I66" s="80" t="s">
        <v>2091</v>
      </c>
      <c r="J66" s="14" t="s">
        <v>540</v>
      </c>
      <c r="K66" s="14" t="s">
        <v>47</v>
      </c>
      <c r="L66" s="14" t="s">
        <v>47</v>
      </c>
      <c r="M66" s="14" t="s">
        <v>2096</v>
      </c>
      <c r="N66" s="14" t="s">
        <v>32</v>
      </c>
      <c r="O66" s="50" t="s">
        <v>2099</v>
      </c>
      <c r="P66" s="14" t="s">
        <v>2100</v>
      </c>
      <c r="Q66" s="14" t="s">
        <v>2101</v>
      </c>
      <c r="R66" s="14">
        <v>9.42100449E8</v>
      </c>
      <c r="S66" s="50"/>
      <c r="T66" s="14"/>
      <c r="U66" s="14"/>
      <c r="V66" s="14"/>
      <c r="W66" s="14"/>
      <c r="X66" s="14"/>
      <c r="Y66" s="14" t="s">
        <v>61</v>
      </c>
      <c r="Z66" s="16"/>
      <c r="AA66" s="16"/>
      <c r="AB66" s="16"/>
      <c r="AC66" s="16"/>
      <c r="AD66" s="16"/>
    </row>
    <row r="67" ht="15.75" customHeight="1">
      <c r="A67" s="14">
        <v>62.0</v>
      </c>
      <c r="B67" s="14" t="s">
        <v>2112</v>
      </c>
      <c r="C67" s="75" t="s">
        <v>2113</v>
      </c>
      <c r="D67" s="141">
        <v>45625.0</v>
      </c>
      <c r="E67" s="131">
        <v>45631.0</v>
      </c>
      <c r="F67" s="14">
        <v>9153.0</v>
      </c>
      <c r="G67" s="14" t="s">
        <v>63</v>
      </c>
      <c r="H67" s="14" t="s">
        <v>76</v>
      </c>
      <c r="I67" s="80" t="s">
        <v>2117</v>
      </c>
      <c r="J67" s="14" t="s">
        <v>79</v>
      </c>
      <c r="K67" s="14" t="s">
        <v>47</v>
      </c>
      <c r="L67" s="14" t="s">
        <v>47</v>
      </c>
      <c r="M67" s="14" t="s">
        <v>2123</v>
      </c>
      <c r="N67" s="14" t="s">
        <v>32</v>
      </c>
      <c r="O67" s="50" t="s">
        <v>2125</v>
      </c>
      <c r="P67" s="14"/>
      <c r="Q67" s="14" t="s">
        <v>2101</v>
      </c>
      <c r="R67" s="14">
        <v>9.42100449E8</v>
      </c>
      <c r="S67" s="176" t="s">
        <v>2127</v>
      </c>
      <c r="T67" s="14">
        <v>1.0</v>
      </c>
      <c r="U67" s="14">
        <v>0.0</v>
      </c>
      <c r="V67" s="14">
        <v>4.0</v>
      </c>
      <c r="W67" s="14">
        <v>0.0</v>
      </c>
      <c r="X67" s="14" t="s">
        <v>2131</v>
      </c>
      <c r="Y67" s="14" t="s">
        <v>61</v>
      </c>
      <c r="Z67" s="16"/>
      <c r="AA67" s="16"/>
      <c r="AB67" s="16"/>
      <c r="AC67" s="16"/>
      <c r="AD67" s="16"/>
    </row>
    <row r="68" ht="15.75" customHeight="1">
      <c r="A68" s="14">
        <v>63.0</v>
      </c>
      <c r="B68" s="14" t="s">
        <v>2137</v>
      </c>
      <c r="C68" s="75" t="s">
        <v>2138</v>
      </c>
      <c r="D68" s="141">
        <v>45625.0</v>
      </c>
      <c r="E68" s="131">
        <v>45631.0</v>
      </c>
      <c r="F68" s="14">
        <v>11020.0</v>
      </c>
      <c r="G68" s="14" t="s">
        <v>84</v>
      </c>
      <c r="H68" s="14" t="s">
        <v>2140</v>
      </c>
      <c r="I68" s="80" t="s">
        <v>2143</v>
      </c>
      <c r="J68" s="14" t="s">
        <v>2144</v>
      </c>
      <c r="K68" s="14" t="s">
        <v>277</v>
      </c>
      <c r="L68" s="14" t="s">
        <v>281</v>
      </c>
      <c r="M68" s="14" t="s">
        <v>2147</v>
      </c>
      <c r="N68" s="14" t="s">
        <v>69</v>
      </c>
      <c r="O68" s="50" t="s">
        <v>2151</v>
      </c>
      <c r="P68" s="14" t="s">
        <v>2154</v>
      </c>
      <c r="Q68" s="14" t="s">
        <v>2155</v>
      </c>
      <c r="R68" s="14">
        <v>9.87770649E8</v>
      </c>
      <c r="S68" s="50" t="s">
        <v>2156</v>
      </c>
      <c r="T68" s="14">
        <v>3.0</v>
      </c>
      <c r="U68" s="14">
        <v>0.0</v>
      </c>
      <c r="V68" s="14">
        <v>5.0</v>
      </c>
      <c r="W68" s="14">
        <v>0.0</v>
      </c>
      <c r="X68" s="14" t="s">
        <v>2160</v>
      </c>
      <c r="Y68" s="14" t="s">
        <v>61</v>
      </c>
      <c r="Z68" s="16"/>
      <c r="AA68" s="16"/>
      <c r="AB68" s="16"/>
      <c r="AC68" s="16"/>
      <c r="AD68" s="16"/>
    </row>
    <row r="69" ht="15.75" customHeight="1">
      <c r="A69" s="14">
        <v>64.0</v>
      </c>
      <c r="B69" s="14" t="s">
        <v>2167</v>
      </c>
      <c r="C69" s="75" t="s">
        <v>2170</v>
      </c>
      <c r="D69" s="141">
        <v>45631.0</v>
      </c>
      <c r="E69" s="68">
        <v>45637.0</v>
      </c>
      <c r="F69" s="14">
        <v>8281.0</v>
      </c>
      <c r="G69" s="14" t="s">
        <v>63</v>
      </c>
      <c r="H69" s="14" t="s">
        <v>43</v>
      </c>
      <c r="I69" s="227" t="s">
        <v>2173</v>
      </c>
      <c r="J69" s="14" t="s">
        <v>47</v>
      </c>
      <c r="K69" s="14" t="s">
        <v>47</v>
      </c>
      <c r="L69" s="14" t="s">
        <v>47</v>
      </c>
      <c r="M69" s="14" t="s">
        <v>2179</v>
      </c>
      <c r="N69" s="14" t="s">
        <v>32</v>
      </c>
      <c r="O69" s="50" t="s">
        <v>2182</v>
      </c>
      <c r="P69" s="14" t="s">
        <v>2183</v>
      </c>
      <c r="Q69" s="14" t="s">
        <v>2185</v>
      </c>
      <c r="R69" s="14"/>
      <c r="S69" s="136" t="s">
        <v>2186</v>
      </c>
      <c r="T69" s="14">
        <v>1.0</v>
      </c>
      <c r="U69" s="14">
        <v>0.0</v>
      </c>
      <c r="V69" s="14">
        <v>6.0</v>
      </c>
      <c r="W69" s="14">
        <v>1.0</v>
      </c>
      <c r="X69" s="14" t="s">
        <v>2190</v>
      </c>
      <c r="Y69" s="136" t="s">
        <v>2191</v>
      </c>
      <c r="Z69" s="16"/>
      <c r="AA69" s="16"/>
      <c r="AB69" s="16"/>
      <c r="AC69" s="16"/>
      <c r="AD69" s="16"/>
    </row>
    <row r="70" ht="15.75" customHeight="1">
      <c r="A70" s="14">
        <v>65.0</v>
      </c>
      <c r="B70" s="14" t="s">
        <v>2195</v>
      </c>
      <c r="C70" s="75" t="s">
        <v>2197</v>
      </c>
      <c r="D70" s="120">
        <v>45645.0</v>
      </c>
      <c r="E70" s="68">
        <v>45653.0</v>
      </c>
      <c r="F70" s="14">
        <v>27565.0</v>
      </c>
      <c r="G70" s="14" t="s">
        <v>84</v>
      </c>
      <c r="H70" s="14" t="s">
        <v>153</v>
      </c>
      <c r="I70" s="80" t="s">
        <v>2200</v>
      </c>
      <c r="J70" s="14" t="s">
        <v>1668</v>
      </c>
      <c r="K70" s="14" t="s">
        <v>47</v>
      </c>
      <c r="L70" s="14" t="s">
        <v>47</v>
      </c>
      <c r="M70" s="14" t="s">
        <v>2204</v>
      </c>
      <c r="N70" s="14" t="s">
        <v>69</v>
      </c>
      <c r="O70" s="176" t="s">
        <v>2205</v>
      </c>
      <c r="P70" s="14"/>
      <c r="Q70" s="14" t="s">
        <v>2207</v>
      </c>
      <c r="R70" s="14">
        <v>9.92100654E8</v>
      </c>
      <c r="S70" s="197" t="s">
        <v>2210</v>
      </c>
      <c r="T70" s="14">
        <v>1.0</v>
      </c>
      <c r="U70" s="14">
        <v>0.0</v>
      </c>
      <c r="V70" s="14">
        <v>4.0</v>
      </c>
      <c r="W70" s="14">
        <v>0.0</v>
      </c>
      <c r="X70" s="197" t="s">
        <v>2214</v>
      </c>
      <c r="Y70" s="14" t="s">
        <v>61</v>
      </c>
      <c r="Z70" s="16"/>
      <c r="AA70" s="16"/>
      <c r="AB70" s="16"/>
      <c r="AC70" s="16"/>
      <c r="AD70" s="16"/>
    </row>
    <row r="71" ht="15.75" customHeight="1">
      <c r="A71" s="14">
        <v>66.0</v>
      </c>
      <c r="B71" s="14" t="s">
        <v>2222</v>
      </c>
      <c r="C71" s="75" t="s">
        <v>2225</v>
      </c>
      <c r="D71" s="120">
        <v>45652.0</v>
      </c>
      <c r="E71" s="131">
        <v>45666.0</v>
      </c>
      <c r="F71" s="14">
        <v>3359.0</v>
      </c>
      <c r="G71" s="14" t="s">
        <v>84</v>
      </c>
      <c r="H71" s="14" t="s">
        <v>205</v>
      </c>
      <c r="I71" s="80" t="s">
        <v>2228</v>
      </c>
      <c r="J71" s="14" t="s">
        <v>210</v>
      </c>
      <c r="K71" s="14" t="s">
        <v>210</v>
      </c>
      <c r="L71" s="14" t="s">
        <v>210</v>
      </c>
      <c r="M71" s="14" t="s">
        <v>2230</v>
      </c>
      <c r="N71" s="14" t="s">
        <v>50</v>
      </c>
      <c r="O71" s="50" t="s">
        <v>2231</v>
      </c>
      <c r="P71" s="14" t="s">
        <v>2233</v>
      </c>
      <c r="Q71" s="14" t="s">
        <v>2234</v>
      </c>
      <c r="R71" s="14">
        <v>9.56960485E8</v>
      </c>
      <c r="S71" s="176" t="s">
        <v>2237</v>
      </c>
      <c r="T71" s="14">
        <v>1.0</v>
      </c>
      <c r="U71" s="14">
        <v>0.0</v>
      </c>
      <c r="V71" s="14">
        <v>1.0</v>
      </c>
      <c r="W71" s="14">
        <v>1.0</v>
      </c>
      <c r="X71" s="14" t="s">
        <v>2239</v>
      </c>
      <c r="Y71" s="14" t="s">
        <v>61</v>
      </c>
      <c r="Z71" s="16"/>
      <c r="AA71" s="16"/>
      <c r="AB71" s="16"/>
      <c r="AC71" s="16"/>
      <c r="AD71" s="16"/>
    </row>
    <row r="72" ht="18.0" customHeight="1">
      <c r="A72" s="14">
        <v>67.0</v>
      </c>
      <c r="B72" s="14" t="s">
        <v>2242</v>
      </c>
      <c r="C72" s="75" t="s">
        <v>2243</v>
      </c>
      <c r="D72" s="120">
        <v>45645.0</v>
      </c>
      <c r="E72" s="131">
        <v>45674.0</v>
      </c>
      <c r="F72" s="14">
        <v>10743.0</v>
      </c>
      <c r="G72" s="14" t="s">
        <v>63</v>
      </c>
      <c r="H72" s="14" t="s">
        <v>43</v>
      </c>
      <c r="I72" s="80" t="s">
        <v>2250</v>
      </c>
      <c r="J72" s="14" t="s">
        <v>437</v>
      </c>
      <c r="K72" s="14" t="s">
        <v>47</v>
      </c>
      <c r="L72" s="14" t="s">
        <v>47</v>
      </c>
      <c r="M72" s="14" t="s">
        <v>2254</v>
      </c>
      <c r="N72" s="14" t="s">
        <v>32</v>
      </c>
      <c r="O72" s="50" t="s">
        <v>2255</v>
      </c>
      <c r="P72" s="14" t="s">
        <v>2256</v>
      </c>
      <c r="Q72" s="14" t="s">
        <v>2257</v>
      </c>
      <c r="R72" s="14">
        <v>9.45578963E8</v>
      </c>
      <c r="S72" s="176" t="s">
        <v>2260</v>
      </c>
      <c r="T72" s="14">
        <v>1.0</v>
      </c>
      <c r="U72" s="14">
        <v>0.0</v>
      </c>
      <c r="V72" s="14">
        <v>6.0</v>
      </c>
      <c r="W72" s="14">
        <v>0.0</v>
      </c>
      <c r="X72" s="14" t="s">
        <v>2264</v>
      </c>
      <c r="Y72" s="14" t="s">
        <v>61</v>
      </c>
      <c r="Z72" s="16"/>
      <c r="AA72" s="16"/>
      <c r="AB72" s="16"/>
      <c r="AC72" s="16"/>
      <c r="AD72" s="16"/>
    </row>
    <row r="73" ht="15.75" customHeight="1">
      <c r="A73" s="50">
        <v>68.0</v>
      </c>
      <c r="B73" s="50" t="s">
        <v>2266</v>
      </c>
      <c r="C73" s="75" t="s">
        <v>2269</v>
      </c>
      <c r="D73" s="120">
        <v>45645.0</v>
      </c>
      <c r="E73" s="63">
        <v>45666.0</v>
      </c>
      <c r="F73" s="50">
        <v>15610.0</v>
      </c>
      <c r="G73" s="50" t="s">
        <v>63</v>
      </c>
      <c r="H73" s="50" t="s">
        <v>43</v>
      </c>
      <c r="I73" s="80" t="s">
        <v>2281</v>
      </c>
      <c r="J73" s="50" t="s">
        <v>47</v>
      </c>
      <c r="K73" s="50" t="s">
        <v>47</v>
      </c>
      <c r="L73" s="14" t="s">
        <v>47</v>
      </c>
      <c r="M73" s="50" t="s">
        <v>2283</v>
      </c>
      <c r="N73" s="14" t="s">
        <v>32</v>
      </c>
      <c r="O73" s="50" t="s">
        <v>2285</v>
      </c>
      <c r="P73" s="50"/>
      <c r="Q73" s="50" t="s">
        <v>2286</v>
      </c>
      <c r="R73" s="50"/>
      <c r="S73" s="176" t="s">
        <v>2287</v>
      </c>
      <c r="T73" s="50">
        <v>2.0</v>
      </c>
      <c r="U73" s="50">
        <v>0.0</v>
      </c>
      <c r="V73" s="50">
        <v>2.0</v>
      </c>
      <c r="W73" s="50">
        <v>0.0</v>
      </c>
      <c r="X73" s="197" t="s">
        <v>2293</v>
      </c>
      <c r="Y73" s="50" t="s">
        <v>61</v>
      </c>
      <c r="Z73" s="50"/>
      <c r="AA73" s="10"/>
      <c r="AB73" s="10"/>
      <c r="AC73" s="10"/>
      <c r="AD73" s="10"/>
    </row>
    <row r="74" ht="15.75" customHeight="1">
      <c r="A74" s="75">
        <v>69.0</v>
      </c>
      <c r="B74" s="57" t="s">
        <v>2299</v>
      </c>
      <c r="C74" s="75" t="s">
        <v>2301</v>
      </c>
      <c r="D74" s="237">
        <v>45706.0</v>
      </c>
      <c r="E74" s="167">
        <v>45713.0</v>
      </c>
      <c r="F74" s="75">
        <v>5299.0</v>
      </c>
      <c r="G74" s="75" t="s">
        <v>84</v>
      </c>
      <c r="H74" s="75" t="s">
        <v>85</v>
      </c>
      <c r="I74" s="73" t="s">
        <v>2310</v>
      </c>
      <c r="J74" s="75" t="s">
        <v>2311</v>
      </c>
      <c r="K74" s="75" t="s">
        <v>2311</v>
      </c>
      <c r="L74" s="75" t="s">
        <v>88</v>
      </c>
      <c r="M74" s="75" t="s">
        <v>2312</v>
      </c>
      <c r="N74" s="75" t="s">
        <v>50</v>
      </c>
      <c r="O74" s="57" t="s">
        <v>2314</v>
      </c>
      <c r="P74" s="75"/>
      <c r="Q74" s="75" t="s">
        <v>2318</v>
      </c>
      <c r="R74" s="75">
        <v>9.76762954E8</v>
      </c>
      <c r="S74" s="57" t="s">
        <v>2321</v>
      </c>
      <c r="T74" s="75">
        <v>1.0</v>
      </c>
      <c r="U74" s="75">
        <v>0.0</v>
      </c>
      <c r="V74" s="75">
        <v>6.0</v>
      </c>
      <c r="W74" s="75">
        <v>0.0</v>
      </c>
      <c r="X74" s="75" t="s">
        <v>2324</v>
      </c>
      <c r="Y74" s="57" t="s">
        <v>61</v>
      </c>
      <c r="Z74" s="119"/>
      <c r="AA74" s="119"/>
      <c r="AB74" s="119"/>
      <c r="AC74" s="119"/>
      <c r="AD74" s="119"/>
    </row>
    <row r="75" ht="15.75" customHeight="1">
      <c r="A75" s="14">
        <v>70.0</v>
      </c>
      <c r="B75" s="14" t="s">
        <v>2333</v>
      </c>
      <c r="C75" s="14" t="s">
        <v>2335</v>
      </c>
      <c r="D75" s="175">
        <v>45740.0</v>
      </c>
      <c r="E75" s="131">
        <v>45742.0</v>
      </c>
      <c r="F75" s="14">
        <v>8317.0</v>
      </c>
      <c r="G75" s="14" t="s">
        <v>84</v>
      </c>
      <c r="H75" s="14" t="s">
        <v>43</v>
      </c>
      <c r="I75" s="80" t="s">
        <v>2339</v>
      </c>
      <c r="J75" s="14" t="s">
        <v>818</v>
      </c>
      <c r="K75" s="14" t="s">
        <v>47</v>
      </c>
      <c r="L75" s="14" t="s">
        <v>47</v>
      </c>
      <c r="M75" s="14" t="s">
        <v>2341</v>
      </c>
      <c r="N75" s="14" t="s">
        <v>69</v>
      </c>
      <c r="O75" s="50" t="s">
        <v>2346</v>
      </c>
      <c r="P75" s="14" t="s">
        <v>2348</v>
      </c>
      <c r="Q75" s="14" t="s">
        <v>2349</v>
      </c>
      <c r="R75" s="14">
        <v>9.62291652E8</v>
      </c>
      <c r="S75" s="50" t="s">
        <v>2351</v>
      </c>
      <c r="T75" s="14">
        <v>1.0</v>
      </c>
      <c r="U75" s="14">
        <v>0.0</v>
      </c>
      <c r="V75" s="14">
        <v>4.0</v>
      </c>
      <c r="W75" s="14">
        <v>0.0</v>
      </c>
      <c r="X75" s="14" t="s">
        <v>2354</v>
      </c>
      <c r="Y75" s="14" t="s">
        <v>61</v>
      </c>
      <c r="Z75" s="16"/>
      <c r="AA75" s="16"/>
      <c r="AB75" s="16"/>
      <c r="AC75" s="16"/>
      <c r="AD75" s="16"/>
    </row>
    <row r="76" ht="15.75" customHeight="1">
      <c r="A76" s="14">
        <v>71.0</v>
      </c>
      <c r="B76" s="14" t="s">
        <v>2361</v>
      </c>
      <c r="C76" s="14" t="s">
        <v>2362</v>
      </c>
      <c r="D76" s="141">
        <v>45772.0</v>
      </c>
      <c r="E76" s="131">
        <v>45686.0</v>
      </c>
      <c r="F76" s="14">
        <v>10251.0</v>
      </c>
      <c r="G76" s="14" t="s">
        <v>63</v>
      </c>
      <c r="H76" s="14" t="s">
        <v>172</v>
      </c>
      <c r="I76" s="80" t="s">
        <v>2366</v>
      </c>
      <c r="J76" s="14" t="s">
        <v>1939</v>
      </c>
      <c r="K76" s="14" t="s">
        <v>717</v>
      </c>
      <c r="L76" s="14" t="s">
        <v>47</v>
      </c>
      <c r="M76" s="14" t="s">
        <v>2368</v>
      </c>
      <c r="N76" s="14" t="s">
        <v>32</v>
      </c>
      <c r="O76" s="50" t="s">
        <v>2370</v>
      </c>
      <c r="P76" s="14" t="s">
        <v>2373</v>
      </c>
      <c r="Q76" s="14" t="s">
        <v>2376</v>
      </c>
      <c r="R76" s="14">
        <v>9.92997551E8</v>
      </c>
      <c r="S76" s="50" t="s">
        <v>2378</v>
      </c>
      <c r="T76" s="14">
        <v>1.0</v>
      </c>
      <c r="U76" s="14">
        <v>0.0</v>
      </c>
      <c r="V76" s="14">
        <v>5.0</v>
      </c>
      <c r="W76" s="14">
        <v>0.0</v>
      </c>
      <c r="X76" s="14" t="s">
        <v>2381</v>
      </c>
      <c r="Y76" s="14" t="s">
        <v>61</v>
      </c>
      <c r="Z76" s="16"/>
      <c r="AA76" s="16"/>
      <c r="AB76" s="16"/>
      <c r="AC76" s="16"/>
      <c r="AD76" s="16"/>
    </row>
    <row r="77" ht="15.75" customHeight="1">
      <c r="A77" s="75">
        <v>72.0</v>
      </c>
      <c r="B77" s="75" t="s">
        <v>2385</v>
      </c>
      <c r="C77" s="75" t="s">
        <v>2388</v>
      </c>
      <c r="D77" s="237">
        <v>45803.0</v>
      </c>
      <c r="E77" s="167">
        <v>45810.0</v>
      </c>
      <c r="F77" s="75">
        <v>13910.0</v>
      </c>
      <c r="G77" s="75" t="s">
        <v>84</v>
      </c>
      <c r="H77" s="75" t="s">
        <v>205</v>
      </c>
      <c r="I77" s="73" t="s">
        <v>2392</v>
      </c>
      <c r="J77" s="75" t="s">
        <v>207</v>
      </c>
      <c r="K77" s="75" t="s">
        <v>2396</v>
      </c>
      <c r="L77" s="75" t="s">
        <v>210</v>
      </c>
      <c r="M77" s="75" t="s">
        <v>2399</v>
      </c>
      <c r="N77" s="75" t="s">
        <v>69</v>
      </c>
      <c r="O77" s="57" t="s">
        <v>2402</v>
      </c>
      <c r="P77" s="75"/>
      <c r="Q77" s="238" t="s">
        <v>2405</v>
      </c>
      <c r="R77" s="75">
        <v>9.43481904E8</v>
      </c>
      <c r="S77" s="57" t="s">
        <v>2409</v>
      </c>
      <c r="T77" s="75">
        <v>1.0</v>
      </c>
      <c r="U77" s="75">
        <v>0.0</v>
      </c>
      <c r="V77" s="75">
        <v>8.0</v>
      </c>
      <c r="W77" s="75">
        <v>0.0</v>
      </c>
      <c r="X77" s="75" t="s">
        <v>2411</v>
      </c>
      <c r="Y77" s="75" t="s">
        <v>61</v>
      </c>
      <c r="Z77" s="119"/>
      <c r="AA77" s="119"/>
      <c r="AB77" s="119"/>
      <c r="AC77" s="119"/>
      <c r="AD77" s="119"/>
    </row>
    <row r="78" ht="15.75" customHeight="1">
      <c r="A78" s="14">
        <v>73.0</v>
      </c>
      <c r="B78" s="14" t="s">
        <v>2419</v>
      </c>
      <c r="C78" s="75" t="s">
        <v>2420</v>
      </c>
      <c r="D78" s="141">
        <v>45902.0</v>
      </c>
      <c r="E78" s="131">
        <v>45903.0</v>
      </c>
      <c r="F78" s="14">
        <v>15118.0</v>
      </c>
      <c r="G78" s="14" t="s">
        <v>63</v>
      </c>
      <c r="H78" s="14" t="s">
        <v>172</v>
      </c>
      <c r="I78" s="80" t="s">
        <v>2427</v>
      </c>
      <c r="J78" s="14" t="s">
        <v>2428</v>
      </c>
      <c r="K78" s="14" t="s">
        <v>47</v>
      </c>
      <c r="L78" s="14" t="s">
        <v>47</v>
      </c>
      <c r="M78" s="14" t="s">
        <v>2431</v>
      </c>
      <c r="N78" s="14" t="s">
        <v>32</v>
      </c>
      <c r="O78" s="50" t="s">
        <v>2432</v>
      </c>
      <c r="P78" s="14"/>
      <c r="Q78" s="14" t="s">
        <v>2435</v>
      </c>
      <c r="R78" s="14">
        <v>9.97461322E8</v>
      </c>
      <c r="S78" s="50" t="s">
        <v>2436</v>
      </c>
      <c r="T78" s="14">
        <v>1.0</v>
      </c>
      <c r="U78" s="14">
        <v>0.0</v>
      </c>
      <c r="V78" s="14">
        <v>5.0</v>
      </c>
      <c r="W78" s="14">
        <v>0.0</v>
      </c>
      <c r="X78" s="14" t="s">
        <v>2440</v>
      </c>
      <c r="Y78" s="14"/>
      <c r="Z78" s="16"/>
      <c r="AA78" s="16"/>
      <c r="AB78" s="16"/>
      <c r="AC78" s="16"/>
      <c r="AD78" s="16"/>
    </row>
    <row r="79" ht="15.75" customHeight="1">
      <c r="A79" s="14">
        <v>74.0</v>
      </c>
      <c r="B79" s="14" t="s">
        <v>2444</v>
      </c>
      <c r="C79" s="75" t="s">
        <v>2445</v>
      </c>
      <c r="D79" s="141">
        <v>45902.0</v>
      </c>
      <c r="E79" s="131">
        <v>45902.0</v>
      </c>
      <c r="F79" s="14">
        <v>6219.0</v>
      </c>
      <c r="G79" s="14" t="s">
        <v>63</v>
      </c>
      <c r="H79" s="14" t="s">
        <v>235</v>
      </c>
      <c r="I79" s="80" t="s">
        <v>2452</v>
      </c>
      <c r="J79" s="14" t="s">
        <v>2455</v>
      </c>
      <c r="K79" s="14" t="s">
        <v>240</v>
      </c>
      <c r="L79" s="14" t="s">
        <v>240</v>
      </c>
      <c r="M79" s="14" t="s">
        <v>2458</v>
      </c>
      <c r="N79" s="14" t="s">
        <v>50</v>
      </c>
      <c r="O79" s="50" t="s">
        <v>669</v>
      </c>
      <c r="P79" s="14" t="s">
        <v>2461</v>
      </c>
      <c r="Q79" s="14" t="s">
        <v>2462</v>
      </c>
      <c r="R79" s="14">
        <v>9.41585608E8</v>
      </c>
      <c r="S79" s="50" t="s">
        <v>2467</v>
      </c>
      <c r="T79" s="14">
        <v>1.0</v>
      </c>
      <c r="U79" s="14">
        <v>0.0</v>
      </c>
      <c r="V79" s="14">
        <v>6.0</v>
      </c>
      <c r="W79" s="14">
        <v>0.0</v>
      </c>
      <c r="X79" s="14" t="s">
        <v>2469</v>
      </c>
      <c r="Y79" s="14" t="s">
        <v>61</v>
      </c>
      <c r="Z79" s="16"/>
      <c r="AA79" s="16"/>
      <c r="AB79" s="16"/>
      <c r="AC79" s="16"/>
      <c r="AD79" s="16"/>
    </row>
    <row r="80" ht="15.75" customHeight="1">
      <c r="A80" s="14">
        <v>75.0</v>
      </c>
      <c r="B80" s="14" t="s">
        <v>2476</v>
      </c>
      <c r="C80" s="14" t="s">
        <v>2478</v>
      </c>
      <c r="D80" s="141">
        <v>45909.0</v>
      </c>
      <c r="E80" s="131">
        <v>45910.0</v>
      </c>
      <c r="F80" s="14">
        <v>10723.0</v>
      </c>
      <c r="G80" s="14" t="s">
        <v>84</v>
      </c>
      <c r="H80" s="14" t="s">
        <v>603</v>
      </c>
      <c r="I80" s="80" t="s">
        <v>2485</v>
      </c>
      <c r="J80" s="14" t="s">
        <v>2486</v>
      </c>
      <c r="K80" s="14" t="s">
        <v>610</v>
      </c>
      <c r="L80" s="14" t="s">
        <v>610</v>
      </c>
      <c r="M80" s="14" t="s">
        <v>2488</v>
      </c>
      <c r="N80" s="14" t="s">
        <v>32</v>
      </c>
      <c r="O80" s="50" t="s">
        <v>2491</v>
      </c>
      <c r="P80" s="14" t="s">
        <v>2493</v>
      </c>
      <c r="Q80" s="14" t="s">
        <v>2494</v>
      </c>
      <c r="R80" s="14">
        <v>9.6957861E8</v>
      </c>
      <c r="S80" s="50" t="s">
        <v>2495</v>
      </c>
      <c r="T80" s="14">
        <v>1.0</v>
      </c>
      <c r="U80" s="14">
        <v>0.0</v>
      </c>
      <c r="V80" s="14">
        <v>5.0</v>
      </c>
      <c r="W80" s="14">
        <v>0.0</v>
      </c>
      <c r="X80" s="14" t="s">
        <v>2499</v>
      </c>
      <c r="Y80" s="14" t="s">
        <v>61</v>
      </c>
      <c r="Z80" s="16"/>
      <c r="AA80" s="16"/>
      <c r="AB80" s="16"/>
      <c r="AC80" s="16"/>
      <c r="AD80" s="16"/>
    </row>
    <row r="81" ht="15.75" customHeight="1">
      <c r="A81" s="14">
        <v>76.0</v>
      </c>
      <c r="B81" s="14" t="s">
        <v>2504</v>
      </c>
      <c r="C81" s="14" t="s">
        <v>2505</v>
      </c>
      <c r="D81" s="141">
        <v>45915.0</v>
      </c>
      <c r="E81" s="131">
        <v>45916.0</v>
      </c>
      <c r="F81" s="14">
        <v>4655.0</v>
      </c>
      <c r="G81" s="14" t="s">
        <v>170</v>
      </c>
      <c r="H81" s="14" t="s">
        <v>506</v>
      </c>
      <c r="I81" s="241" t="s">
        <v>2509</v>
      </c>
      <c r="J81" s="14" t="s">
        <v>496</v>
      </c>
      <c r="K81" s="14" t="s">
        <v>496</v>
      </c>
      <c r="L81" s="14" t="s">
        <v>496</v>
      </c>
      <c r="M81" s="171" t="s">
        <v>2516</v>
      </c>
      <c r="N81" s="14" t="s">
        <v>50</v>
      </c>
      <c r="O81" s="50" t="s">
        <v>2518</v>
      </c>
      <c r="P81" s="14" t="s">
        <v>2519</v>
      </c>
      <c r="Q81" s="14" t="s">
        <v>2521</v>
      </c>
      <c r="R81" s="14">
        <v>9.49400959E8</v>
      </c>
      <c r="S81" s="50" t="s">
        <v>2522</v>
      </c>
      <c r="T81" s="14">
        <v>0.0</v>
      </c>
      <c r="U81" s="14">
        <v>1.0</v>
      </c>
      <c r="V81" s="14">
        <v>2.0</v>
      </c>
      <c r="W81" s="14">
        <v>3.0</v>
      </c>
      <c r="X81" s="171" t="s">
        <v>2526</v>
      </c>
      <c r="Y81" s="14" t="s">
        <v>61</v>
      </c>
      <c r="Z81" s="16"/>
      <c r="AA81" s="16"/>
      <c r="AB81" s="16"/>
      <c r="AC81" s="16"/>
      <c r="AD81" s="16"/>
    </row>
    <row r="82" ht="15.75" customHeight="1">
      <c r="A82" s="14">
        <v>77.0</v>
      </c>
      <c r="B82" s="14" t="s">
        <v>2529</v>
      </c>
      <c r="C82" s="14" t="s">
        <v>2531</v>
      </c>
      <c r="D82" s="175">
        <v>45926.0</v>
      </c>
      <c r="E82" s="244">
        <v>45931.0</v>
      </c>
      <c r="F82" s="171">
        <v>13722.0</v>
      </c>
      <c r="G82" s="14" t="s">
        <v>170</v>
      </c>
      <c r="H82" s="14" t="s">
        <v>140</v>
      </c>
      <c r="I82" s="80" t="s">
        <v>2541</v>
      </c>
      <c r="J82" s="14" t="s">
        <v>142</v>
      </c>
      <c r="K82" s="14" t="s">
        <v>142</v>
      </c>
      <c r="L82" s="14" t="s">
        <v>142</v>
      </c>
      <c r="M82" s="198" t="s">
        <v>2543</v>
      </c>
      <c r="N82" s="14" t="s">
        <v>32</v>
      </c>
      <c r="O82" s="50" t="s">
        <v>2545</v>
      </c>
      <c r="P82" s="14" t="s">
        <v>2547</v>
      </c>
      <c r="Q82" s="171" t="s">
        <v>2548</v>
      </c>
      <c r="R82" s="171">
        <v>9.59934209E8</v>
      </c>
      <c r="S82" s="50" t="s">
        <v>2551</v>
      </c>
      <c r="T82" s="14">
        <v>1.0</v>
      </c>
      <c r="U82" s="14">
        <v>0.0</v>
      </c>
      <c r="V82" s="14">
        <v>1.0</v>
      </c>
      <c r="W82" s="14">
        <v>4.0</v>
      </c>
      <c r="X82" s="14" t="s">
        <v>2554</v>
      </c>
      <c r="Y82" s="14" t="s">
        <v>61</v>
      </c>
      <c r="Z82" s="16"/>
      <c r="AA82" s="16"/>
      <c r="AB82" s="16"/>
      <c r="AC82" s="16"/>
      <c r="AD82" s="16"/>
    </row>
    <row r="83" ht="15.75" customHeight="1">
      <c r="A83" s="14">
        <v>78.0</v>
      </c>
      <c r="B83" s="14" t="s">
        <v>2558</v>
      </c>
      <c r="C83" s="14" t="s">
        <v>2560</v>
      </c>
      <c r="D83" s="66">
        <v>46014.0</v>
      </c>
      <c r="E83" s="68">
        <v>46022.0</v>
      </c>
      <c r="F83" s="14">
        <v>14147.0</v>
      </c>
      <c r="G83" s="14" t="s">
        <v>84</v>
      </c>
      <c r="H83" s="14" t="s">
        <v>205</v>
      </c>
      <c r="I83" s="80" t="s">
        <v>2570</v>
      </c>
      <c r="J83" s="14" t="s">
        <v>2572</v>
      </c>
      <c r="K83" s="14" t="s">
        <v>2572</v>
      </c>
      <c r="L83" s="14" t="s">
        <v>210</v>
      </c>
      <c r="M83" s="14" t="s">
        <v>2574</v>
      </c>
      <c r="N83" s="14" t="s">
        <v>69</v>
      </c>
      <c r="O83" s="50" t="s">
        <v>2576</v>
      </c>
      <c r="P83" s="14" t="s">
        <v>2577</v>
      </c>
      <c r="Q83" s="14" t="s">
        <v>2578</v>
      </c>
      <c r="R83" s="14"/>
      <c r="S83" s="50" t="s">
        <v>2580</v>
      </c>
      <c r="T83" s="14"/>
      <c r="U83" s="14">
        <v>1.0</v>
      </c>
      <c r="V83" s="14">
        <v>7.0</v>
      </c>
      <c r="W83" s="14">
        <v>0.0</v>
      </c>
      <c r="X83" s="14" t="s">
        <v>2584</v>
      </c>
      <c r="Y83" s="14" t="s">
        <v>61</v>
      </c>
      <c r="Z83" s="16"/>
      <c r="AA83" s="16"/>
      <c r="AB83" s="16"/>
      <c r="AC83" s="16"/>
      <c r="AD83" s="16"/>
    </row>
    <row r="84" ht="15.75" customHeight="1">
      <c r="A84" s="14">
        <v>79.0</v>
      </c>
      <c r="B84" s="14" t="s">
        <v>2590</v>
      </c>
      <c r="C84" s="14" t="s">
        <v>2592</v>
      </c>
      <c r="D84" s="175">
        <v>46035.0</v>
      </c>
      <c r="E84" s="131">
        <v>46037.0</v>
      </c>
      <c r="F84" s="14">
        <v>7126.0</v>
      </c>
      <c r="G84" s="14" t="s">
        <v>2599</v>
      </c>
      <c r="H84" s="14" t="s">
        <v>235</v>
      </c>
      <c r="I84" s="80" t="s">
        <v>2603</v>
      </c>
      <c r="J84" s="14" t="s">
        <v>2604</v>
      </c>
      <c r="K84" s="14" t="s">
        <v>240</v>
      </c>
      <c r="L84" s="14" t="s">
        <v>240</v>
      </c>
      <c r="M84" s="198" t="s">
        <v>2606</v>
      </c>
      <c r="N84" s="14" t="s">
        <v>50</v>
      </c>
      <c r="O84" s="197" t="s">
        <v>2608</v>
      </c>
      <c r="P84" s="14"/>
      <c r="Q84" s="217" t="s">
        <v>2609</v>
      </c>
      <c r="R84" s="14"/>
      <c r="S84" s="224" t="s">
        <v>2611</v>
      </c>
      <c r="T84" s="14">
        <v>1.0</v>
      </c>
      <c r="U84" s="14">
        <v>0.0</v>
      </c>
      <c r="V84" s="14">
        <v>14.0</v>
      </c>
      <c r="W84" s="14">
        <v>1.0</v>
      </c>
      <c r="X84" s="14" t="s">
        <v>2615</v>
      </c>
      <c r="Y84" s="14" t="s">
        <v>61</v>
      </c>
      <c r="Z84" s="16"/>
      <c r="AA84" s="16"/>
      <c r="AB84" s="16"/>
      <c r="AC84" s="16"/>
      <c r="AD84" s="16"/>
    </row>
    <row r="85" ht="15.75" customHeight="1">
      <c r="A85" s="136">
        <v>80.0</v>
      </c>
      <c r="B85" s="136" t="s">
        <v>2619</v>
      </c>
      <c r="C85" s="136" t="s">
        <v>2621</v>
      </c>
      <c r="D85" s="131">
        <v>46192.0</v>
      </c>
      <c r="E85" s="131">
        <v>46195.0</v>
      </c>
      <c r="F85" s="136">
        <v>6580.0</v>
      </c>
      <c r="G85" s="136" t="s">
        <v>84</v>
      </c>
      <c r="H85" s="136" t="s">
        <v>315</v>
      </c>
      <c r="I85" s="178" t="s">
        <v>2630</v>
      </c>
      <c r="J85" s="136" t="s">
        <v>2632</v>
      </c>
      <c r="K85" s="136" t="s">
        <v>2632</v>
      </c>
      <c r="L85" s="136" t="s">
        <v>322</v>
      </c>
      <c r="M85" s="136" t="s">
        <v>2634</v>
      </c>
      <c r="N85" s="136" t="s">
        <v>50</v>
      </c>
      <c r="O85" s="246" t="s">
        <v>2635</v>
      </c>
      <c r="P85" s="136">
        <v>9.72862206E8</v>
      </c>
      <c r="Q85" s="136" t="s">
        <v>2638</v>
      </c>
      <c r="R85" s="136">
        <v>9.8369433E8</v>
      </c>
      <c r="S85" s="247" t="s">
        <v>2640</v>
      </c>
      <c r="T85" s="136">
        <v>1.0</v>
      </c>
      <c r="U85" s="136">
        <v>0.0</v>
      </c>
      <c r="V85" s="136">
        <v>5.0</v>
      </c>
      <c r="W85" s="136">
        <v>0.0</v>
      </c>
      <c r="X85" s="179" t="s">
        <v>2643</v>
      </c>
      <c r="Y85" s="14" t="s">
        <v>61</v>
      </c>
      <c r="Z85" s="16"/>
      <c r="AA85" s="16"/>
      <c r="AB85" s="16"/>
      <c r="AC85" s="16"/>
      <c r="AD85" s="16"/>
    </row>
    <row r="86" ht="24.0" customHeight="1">
      <c r="A86" s="136">
        <v>81.0</v>
      </c>
      <c r="B86" s="136" t="s">
        <v>2647</v>
      </c>
      <c r="C86" s="136" t="s">
        <v>2648</v>
      </c>
      <c r="D86" s="14"/>
      <c r="E86" s="136"/>
      <c r="F86" s="136">
        <v>2021.0</v>
      </c>
      <c r="G86" s="136" t="s">
        <v>84</v>
      </c>
      <c r="H86" s="136" t="s">
        <v>603</v>
      </c>
      <c r="I86" s="178" t="s">
        <v>2650</v>
      </c>
      <c r="J86" s="136" t="s">
        <v>2652</v>
      </c>
      <c r="K86" s="136" t="s">
        <v>2652</v>
      </c>
      <c r="L86" s="136" t="s">
        <v>610</v>
      </c>
      <c r="M86" s="136" t="s">
        <v>2656</v>
      </c>
      <c r="N86" s="136" t="s">
        <v>50</v>
      </c>
      <c r="O86" s="250" t="s">
        <v>2660</v>
      </c>
      <c r="P86" s="136" t="s">
        <v>2666</v>
      </c>
      <c r="Q86" s="136" t="s">
        <v>2667</v>
      </c>
      <c r="R86" s="136">
        <v>9.66198468E8</v>
      </c>
      <c r="S86" s="251" t="s">
        <v>2668</v>
      </c>
      <c r="T86" s="136">
        <v>0.0</v>
      </c>
      <c r="U86" s="136">
        <v>1.0</v>
      </c>
      <c r="V86" s="136">
        <v>5.0</v>
      </c>
      <c r="W86" s="136">
        <v>0.0</v>
      </c>
      <c r="X86" s="252" t="s">
        <v>2670</v>
      </c>
      <c r="Y86" s="14" t="s">
        <v>61</v>
      </c>
      <c r="Z86" s="16"/>
      <c r="AA86" s="16"/>
      <c r="AB86" s="16"/>
      <c r="AC86" s="16"/>
      <c r="AD86" s="16"/>
    </row>
    <row r="87" ht="15.75" customHeight="1">
      <c r="A87" s="136">
        <v>82.0</v>
      </c>
      <c r="B87" s="136" t="s">
        <v>2676</v>
      </c>
      <c r="C87" s="136" t="s">
        <v>2677</v>
      </c>
      <c r="D87" s="14"/>
      <c r="E87" s="14"/>
      <c r="F87" s="136">
        <v>13912.0</v>
      </c>
      <c r="G87" s="136" t="s">
        <v>84</v>
      </c>
      <c r="H87" s="136" t="s">
        <v>205</v>
      </c>
      <c r="I87" s="178" t="s">
        <v>2680</v>
      </c>
      <c r="J87" s="136" t="s">
        <v>210</v>
      </c>
      <c r="K87" s="136" t="s">
        <v>210</v>
      </c>
      <c r="L87" s="136" t="s">
        <v>210</v>
      </c>
      <c r="M87" s="136" t="s">
        <v>2685</v>
      </c>
      <c r="N87" s="136" t="s">
        <v>69</v>
      </c>
      <c r="O87" s="113" t="s">
        <v>2688</v>
      </c>
      <c r="P87" s="136" t="s">
        <v>2690</v>
      </c>
      <c r="Q87" s="136" t="s">
        <v>2692</v>
      </c>
      <c r="R87" s="136" t="s">
        <v>2694</v>
      </c>
      <c r="S87" s="253" t="s">
        <v>2696</v>
      </c>
      <c r="T87" s="136">
        <v>1.0</v>
      </c>
      <c r="U87" s="136">
        <v>0.0</v>
      </c>
      <c r="V87" s="136">
        <v>9.0</v>
      </c>
      <c r="W87" s="136">
        <v>0.0</v>
      </c>
      <c r="X87" s="252" t="s">
        <v>2702</v>
      </c>
      <c r="Y87" s="14"/>
      <c r="Z87" s="16"/>
      <c r="AA87" s="16"/>
      <c r="AB87" s="16"/>
      <c r="AC87" s="16"/>
      <c r="AD87" s="16"/>
    </row>
    <row r="88" ht="15.75" customHeight="1">
      <c r="A88" s="14"/>
      <c r="B88" s="14"/>
      <c r="C88" s="14"/>
      <c r="D88" s="14"/>
      <c r="E88" s="14"/>
      <c r="F88" s="14"/>
      <c r="G88" s="14"/>
      <c r="H88" s="14"/>
      <c r="I88" s="80"/>
      <c r="J88" s="14"/>
      <c r="K88" s="14"/>
      <c r="L88" s="14"/>
      <c r="M88" s="14"/>
      <c r="N88" s="14"/>
      <c r="O88" s="50"/>
      <c r="P88" s="14"/>
      <c r="Q88" s="14"/>
      <c r="R88" s="14"/>
      <c r="S88" s="255"/>
      <c r="T88" s="14"/>
      <c r="U88" s="14"/>
      <c r="V88" s="14"/>
      <c r="W88" s="14"/>
      <c r="X88" s="14"/>
      <c r="Y88" s="14"/>
      <c r="Z88" s="16"/>
      <c r="AA88" s="16"/>
      <c r="AB88" s="16"/>
      <c r="AC88" s="16"/>
      <c r="AD88" s="16"/>
    </row>
    <row r="89" ht="15.75" customHeight="1">
      <c r="A89" s="16"/>
      <c r="B89" s="16"/>
      <c r="C89" s="16"/>
      <c r="D89" s="16"/>
      <c r="E89" s="16"/>
      <c r="F89" s="16"/>
      <c r="G89" s="16"/>
      <c r="H89" s="16"/>
      <c r="I89" s="195"/>
      <c r="J89" s="16"/>
      <c r="K89" s="16"/>
      <c r="L89" s="16"/>
      <c r="M89" s="16"/>
      <c r="N89" s="16"/>
      <c r="O89" s="10"/>
      <c r="P89" s="16"/>
      <c r="Q89" s="16"/>
      <c r="R89" s="16"/>
      <c r="S89" s="247"/>
      <c r="T89" s="16"/>
      <c r="U89" s="16"/>
      <c r="V89" s="16"/>
      <c r="W89" s="16"/>
      <c r="X89" s="16"/>
      <c r="Y89" s="16"/>
      <c r="Z89" s="16"/>
      <c r="AA89" s="16"/>
      <c r="AB89" s="16"/>
      <c r="AC89" s="16"/>
      <c r="AD89" s="16"/>
    </row>
    <row r="90" ht="15.75" customHeight="1">
      <c r="A90" s="16"/>
      <c r="B90" s="16"/>
      <c r="C90" s="16"/>
      <c r="D90" s="16"/>
      <c r="E90" s="16"/>
      <c r="F90" s="16"/>
      <c r="G90" s="16"/>
      <c r="H90" s="16"/>
      <c r="I90" s="195"/>
      <c r="J90" s="16"/>
      <c r="K90" s="16"/>
      <c r="L90" s="16"/>
      <c r="M90" s="16"/>
      <c r="N90" s="16"/>
      <c r="O90" s="10"/>
      <c r="P90" s="16"/>
      <c r="Q90" s="16"/>
      <c r="R90" s="16"/>
      <c r="S90" s="256"/>
      <c r="T90" s="16"/>
      <c r="U90" s="16"/>
      <c r="V90" s="16"/>
      <c r="W90" s="16"/>
      <c r="X90" s="16"/>
      <c r="Y90" s="16"/>
      <c r="Z90" s="16"/>
      <c r="AA90" s="16"/>
      <c r="AB90" s="16"/>
      <c r="AC90" s="16"/>
      <c r="AD90" s="16"/>
    </row>
    <row r="91" ht="15.75" customHeight="1">
      <c r="A91" s="16"/>
      <c r="B91" s="16"/>
      <c r="D91" s="16"/>
      <c r="E91" s="16"/>
      <c r="F91" s="16"/>
      <c r="G91" s="16"/>
      <c r="H91" s="16"/>
      <c r="I91" s="195"/>
      <c r="J91" s="16"/>
      <c r="K91" s="16"/>
      <c r="L91" s="16"/>
      <c r="M91" s="16"/>
      <c r="N91" s="16"/>
      <c r="O91" s="10"/>
      <c r="P91" s="16"/>
      <c r="Q91" s="16"/>
      <c r="R91" s="16"/>
      <c r="S91" s="247"/>
      <c r="T91" s="16"/>
      <c r="U91" s="16"/>
      <c r="V91" s="16"/>
      <c r="W91" s="16"/>
      <c r="X91" s="16"/>
      <c r="Y91" s="16"/>
      <c r="Z91" s="16"/>
      <c r="AA91" s="16"/>
      <c r="AB91" s="16"/>
      <c r="AC91" s="16"/>
      <c r="AD91" s="16"/>
    </row>
    <row r="92" ht="15.75" customHeight="1">
      <c r="A92" s="16"/>
      <c r="B92" s="16"/>
      <c r="C92" s="16"/>
      <c r="D92" s="16"/>
      <c r="E92" s="16"/>
      <c r="F92" s="16"/>
      <c r="G92" s="16"/>
      <c r="H92" s="16"/>
      <c r="I92" s="195"/>
      <c r="J92" s="16"/>
      <c r="K92" s="16"/>
      <c r="L92" s="16"/>
      <c r="M92" s="16"/>
      <c r="N92" s="16"/>
      <c r="O92" s="10"/>
      <c r="P92" s="16"/>
      <c r="Q92" s="16"/>
      <c r="R92" s="16"/>
      <c r="S92" s="256"/>
      <c r="T92" s="16"/>
      <c r="U92" s="16"/>
      <c r="V92" s="16"/>
      <c r="W92" s="16"/>
      <c r="X92" s="16"/>
      <c r="Y92" s="16"/>
      <c r="Z92" s="16"/>
      <c r="AA92" s="16"/>
      <c r="AB92" s="16"/>
      <c r="AC92" s="16"/>
      <c r="AD92" s="16"/>
    </row>
    <row r="93" ht="15.75" customHeight="1">
      <c r="A93" s="16"/>
      <c r="B93" s="16"/>
      <c r="C93" s="16"/>
      <c r="D93" s="16"/>
      <c r="E93" s="16"/>
      <c r="F93" s="16"/>
      <c r="G93" s="16"/>
      <c r="H93" s="16"/>
      <c r="I93" s="195"/>
      <c r="J93" s="16"/>
      <c r="K93" s="16"/>
      <c r="L93" s="16"/>
      <c r="M93" s="16"/>
      <c r="N93" s="16"/>
      <c r="O93" s="10"/>
      <c r="P93" s="16"/>
      <c r="Q93" s="16"/>
      <c r="R93" s="16"/>
      <c r="S93" s="247"/>
      <c r="T93" s="16"/>
      <c r="U93" s="16"/>
      <c r="V93" s="16"/>
      <c r="W93" s="16"/>
      <c r="X93" s="16"/>
      <c r="Y93" s="16"/>
      <c r="Z93" s="16"/>
      <c r="AA93" s="16"/>
      <c r="AB93" s="16"/>
      <c r="AC93" s="16"/>
      <c r="AD93" s="16"/>
    </row>
    <row r="94" ht="15.75" customHeight="1">
      <c r="A94" s="16"/>
      <c r="B94" s="16"/>
      <c r="C94" s="16"/>
      <c r="D94" s="16"/>
      <c r="E94" s="16"/>
      <c r="F94" s="16"/>
      <c r="G94" s="16"/>
      <c r="H94" s="16"/>
      <c r="I94" s="195"/>
      <c r="J94" s="16"/>
      <c r="K94" s="16"/>
      <c r="L94" s="16"/>
      <c r="M94" s="16"/>
      <c r="N94" s="16"/>
      <c r="O94" s="10"/>
      <c r="P94" s="16"/>
      <c r="Q94" s="16"/>
      <c r="R94" s="16"/>
      <c r="S94" s="10"/>
      <c r="T94" s="16"/>
      <c r="U94" s="16"/>
      <c r="V94" s="16"/>
      <c r="W94" s="16"/>
      <c r="X94" s="16"/>
      <c r="Y94" s="16"/>
      <c r="Z94" s="16"/>
      <c r="AA94" s="16"/>
      <c r="AB94" s="16"/>
      <c r="AC94" s="16"/>
      <c r="AD94" s="16"/>
    </row>
    <row r="95" ht="15.75" customHeight="1">
      <c r="A95" s="16"/>
      <c r="B95" s="16"/>
      <c r="C95" s="16"/>
      <c r="D95" s="16"/>
      <c r="E95" s="16"/>
      <c r="F95" s="16"/>
      <c r="G95" s="16"/>
      <c r="H95" s="16"/>
      <c r="I95" s="195"/>
      <c r="J95" s="16"/>
      <c r="K95" s="16"/>
      <c r="L95" s="16"/>
      <c r="M95" s="16"/>
      <c r="N95" s="16"/>
      <c r="O95" s="10"/>
      <c r="P95" s="16"/>
      <c r="Q95" s="16"/>
      <c r="R95" s="16"/>
      <c r="S95" s="10"/>
      <c r="T95" s="16"/>
      <c r="U95" s="16"/>
      <c r="V95" s="16"/>
      <c r="W95" s="16"/>
      <c r="X95" s="16"/>
      <c r="Y95" s="16"/>
      <c r="Z95" s="16"/>
      <c r="AA95" s="16"/>
      <c r="AB95" s="16"/>
      <c r="AC95" s="16"/>
      <c r="AD95" s="16"/>
    </row>
    <row r="96" ht="15.75" customHeight="1">
      <c r="A96" s="16"/>
      <c r="B96" s="16"/>
      <c r="C96" s="16"/>
      <c r="D96" s="16"/>
      <c r="E96" s="16"/>
      <c r="F96" s="16"/>
      <c r="G96" s="16"/>
      <c r="H96" s="16"/>
      <c r="I96" s="195"/>
      <c r="J96" s="16"/>
      <c r="K96" s="16"/>
      <c r="L96" s="16"/>
      <c r="M96" s="16"/>
      <c r="N96" s="16"/>
      <c r="O96" s="10"/>
      <c r="P96" s="16"/>
      <c r="Q96" s="16"/>
      <c r="R96" s="16"/>
      <c r="S96" s="10"/>
      <c r="T96" s="16"/>
      <c r="U96" s="16"/>
      <c r="V96" s="16"/>
      <c r="W96" s="16"/>
      <c r="X96" s="16"/>
      <c r="Y96" s="16"/>
      <c r="Z96" s="16"/>
      <c r="AA96" s="16"/>
      <c r="AB96" s="16"/>
      <c r="AC96" s="16"/>
      <c r="AD96" s="16"/>
    </row>
    <row r="97" ht="15.75" customHeight="1">
      <c r="A97" s="16"/>
      <c r="B97" s="16"/>
      <c r="C97" s="16"/>
      <c r="D97" s="16"/>
      <c r="E97" s="16"/>
      <c r="F97" s="16"/>
      <c r="G97" s="16"/>
      <c r="H97" s="16"/>
      <c r="I97" s="195"/>
      <c r="J97" s="16"/>
      <c r="K97" s="16"/>
      <c r="L97" s="16"/>
      <c r="M97" s="16"/>
      <c r="N97" s="16"/>
      <c r="O97" s="10"/>
      <c r="P97" s="16"/>
      <c r="Q97" s="16"/>
      <c r="R97" s="16"/>
      <c r="S97" s="10"/>
      <c r="T97" s="16"/>
      <c r="U97" s="16"/>
      <c r="V97" s="16"/>
      <c r="W97" s="16"/>
      <c r="X97" s="16"/>
      <c r="Y97" s="16"/>
      <c r="Z97" s="16"/>
      <c r="AA97" s="16"/>
      <c r="AB97" s="16"/>
      <c r="AC97" s="16"/>
      <c r="AD97" s="16"/>
    </row>
    <row r="98" ht="15.75" customHeight="1">
      <c r="A98" s="16"/>
      <c r="B98" s="16"/>
      <c r="C98" s="16"/>
      <c r="D98" s="16"/>
      <c r="E98" s="16"/>
      <c r="F98" s="16"/>
      <c r="G98" s="16"/>
      <c r="H98" s="16"/>
      <c r="I98" s="195"/>
      <c r="J98" s="16"/>
      <c r="K98" s="16"/>
      <c r="L98" s="16"/>
      <c r="M98" s="16"/>
      <c r="N98" s="16"/>
      <c r="O98" s="10"/>
      <c r="P98" s="16"/>
      <c r="Q98" s="16"/>
      <c r="R98" s="16"/>
      <c r="S98" s="10"/>
      <c r="T98" s="16"/>
      <c r="U98" s="16"/>
      <c r="V98" s="16"/>
      <c r="W98" s="16"/>
      <c r="X98" s="16"/>
      <c r="Y98" s="16"/>
      <c r="Z98" s="16"/>
      <c r="AA98" s="16"/>
      <c r="AB98" s="16"/>
      <c r="AC98" s="16"/>
      <c r="AD98" s="16"/>
    </row>
    <row r="99" ht="15.75" customHeight="1">
      <c r="A99" s="16"/>
      <c r="B99" s="16"/>
      <c r="C99" s="16"/>
      <c r="D99" s="16"/>
      <c r="E99" s="16"/>
      <c r="F99" s="16"/>
      <c r="G99" s="16"/>
      <c r="H99" s="16"/>
      <c r="I99" s="195"/>
      <c r="J99" s="16"/>
      <c r="K99" s="16"/>
      <c r="L99" s="16"/>
      <c r="M99" s="16"/>
      <c r="N99" s="16"/>
      <c r="O99" s="10"/>
      <c r="P99" s="16"/>
      <c r="Q99" s="16"/>
      <c r="R99" s="16"/>
      <c r="S99" s="10"/>
      <c r="T99" s="16"/>
      <c r="U99" s="16"/>
      <c r="V99" s="16"/>
      <c r="W99" s="16"/>
      <c r="X99" s="16"/>
      <c r="Y99" s="16"/>
      <c r="Z99" s="16"/>
      <c r="AA99" s="16"/>
      <c r="AB99" s="16"/>
      <c r="AC99" s="16"/>
      <c r="AD99" s="16"/>
    </row>
    <row r="100" ht="15.75" customHeight="1">
      <c r="A100" s="16"/>
      <c r="B100" s="16"/>
      <c r="C100" s="16"/>
      <c r="D100" s="16"/>
      <c r="E100" s="16"/>
      <c r="F100" s="16"/>
      <c r="G100" s="16"/>
      <c r="H100" s="16"/>
      <c r="I100" s="195"/>
      <c r="J100" s="16"/>
      <c r="K100" s="16"/>
      <c r="L100" s="16"/>
      <c r="M100" s="16"/>
      <c r="N100" s="16"/>
      <c r="O100" s="10"/>
      <c r="P100" s="16"/>
      <c r="Q100" s="16"/>
      <c r="R100" s="16"/>
      <c r="S100" s="10"/>
      <c r="T100" s="16"/>
      <c r="U100" s="16"/>
      <c r="V100" s="16"/>
      <c r="W100" s="16"/>
      <c r="X100" s="16"/>
      <c r="Y100" s="16"/>
      <c r="Z100" s="16"/>
      <c r="AA100" s="16"/>
      <c r="AB100" s="16"/>
      <c r="AC100" s="16"/>
      <c r="AD100" s="16"/>
    </row>
    <row r="101" ht="15.75" customHeight="1">
      <c r="A101" s="16"/>
      <c r="B101" s="16"/>
      <c r="C101" s="16"/>
      <c r="D101" s="16"/>
      <c r="E101" s="16"/>
      <c r="F101" s="16"/>
      <c r="G101" s="16"/>
      <c r="H101" s="16"/>
      <c r="I101" s="195"/>
      <c r="J101" s="16"/>
      <c r="K101" s="16"/>
      <c r="L101" s="16"/>
      <c r="M101" s="16"/>
      <c r="N101" s="16"/>
      <c r="O101" s="10"/>
      <c r="P101" s="16"/>
      <c r="Q101" s="16"/>
      <c r="R101" s="16"/>
      <c r="S101" s="10"/>
      <c r="T101" s="16"/>
      <c r="U101" s="16"/>
      <c r="V101" s="16"/>
      <c r="W101" s="16"/>
      <c r="X101" s="16"/>
      <c r="Y101" s="16"/>
      <c r="Z101" s="16"/>
      <c r="AA101" s="16"/>
      <c r="AB101" s="16"/>
      <c r="AC101" s="16"/>
      <c r="AD101" s="16"/>
    </row>
    <row r="102" ht="15.75" customHeight="1">
      <c r="A102" s="16"/>
      <c r="B102" s="16"/>
      <c r="C102" s="16"/>
      <c r="D102" s="16"/>
      <c r="E102" s="16"/>
      <c r="F102" s="16"/>
      <c r="G102" s="16"/>
      <c r="H102" s="16"/>
      <c r="I102" s="195"/>
      <c r="J102" s="16"/>
      <c r="K102" s="16"/>
      <c r="L102" s="16"/>
      <c r="M102" s="16"/>
      <c r="N102" s="16"/>
      <c r="O102" s="10"/>
      <c r="P102" s="16"/>
      <c r="Q102" s="16"/>
      <c r="R102" s="16"/>
      <c r="S102" s="10"/>
      <c r="T102" s="16"/>
      <c r="U102" s="16"/>
      <c r="V102" s="16"/>
      <c r="W102" s="16"/>
      <c r="X102" s="16"/>
      <c r="Y102" s="16"/>
      <c r="Z102" s="16"/>
      <c r="AA102" s="16"/>
      <c r="AB102" s="16"/>
      <c r="AC102" s="16"/>
      <c r="AD102" s="16"/>
    </row>
    <row r="103" ht="15.75" customHeight="1">
      <c r="A103" s="16"/>
      <c r="B103" s="16"/>
      <c r="C103" s="16"/>
      <c r="D103" s="16"/>
      <c r="E103" s="16"/>
      <c r="F103" s="16"/>
      <c r="G103" s="16"/>
      <c r="H103" s="16"/>
      <c r="I103" s="195"/>
      <c r="J103" s="16"/>
      <c r="K103" s="16"/>
      <c r="L103" s="16"/>
      <c r="M103" s="16"/>
      <c r="N103" s="16"/>
      <c r="O103" s="10"/>
      <c r="P103" s="16"/>
      <c r="Q103" s="16"/>
      <c r="R103" s="16"/>
      <c r="S103" s="10"/>
      <c r="T103" s="16"/>
      <c r="U103" s="16"/>
      <c r="V103" s="16"/>
      <c r="W103" s="16"/>
      <c r="X103" s="16"/>
      <c r="Y103" s="16"/>
      <c r="Z103" s="16"/>
      <c r="AA103" s="16"/>
      <c r="AB103" s="16"/>
      <c r="AC103" s="16"/>
      <c r="AD103" s="16"/>
    </row>
    <row r="104" ht="15.75" customHeight="1">
      <c r="A104" s="16"/>
      <c r="B104" s="16"/>
      <c r="C104" s="16"/>
      <c r="D104" s="16"/>
      <c r="E104" s="16"/>
      <c r="F104" s="16"/>
      <c r="G104" s="16"/>
      <c r="H104" s="16"/>
      <c r="I104" s="195"/>
      <c r="J104" s="16"/>
      <c r="K104" s="16"/>
      <c r="L104" s="16"/>
      <c r="M104" s="16"/>
      <c r="N104" s="16"/>
      <c r="O104" s="10"/>
      <c r="P104" s="16"/>
      <c r="Q104" s="16"/>
      <c r="R104" s="16"/>
      <c r="S104" s="10"/>
      <c r="T104" s="16"/>
      <c r="U104" s="16"/>
      <c r="V104" s="16"/>
      <c r="W104" s="16"/>
      <c r="X104" s="16"/>
      <c r="Y104" s="16"/>
      <c r="Z104" s="16"/>
      <c r="AA104" s="16"/>
      <c r="AB104" s="16"/>
      <c r="AC104" s="16"/>
      <c r="AD104" s="16"/>
    </row>
    <row r="105" ht="15.75" customHeight="1">
      <c r="A105" s="16"/>
      <c r="B105" s="16"/>
      <c r="C105" s="16"/>
      <c r="D105" s="16"/>
      <c r="E105" s="16"/>
      <c r="F105" s="16"/>
      <c r="G105" s="16"/>
      <c r="H105" s="16"/>
      <c r="I105" s="195"/>
      <c r="J105" s="16"/>
      <c r="K105" s="16"/>
      <c r="L105" s="16"/>
      <c r="M105" s="16"/>
      <c r="N105" s="16"/>
      <c r="O105" s="10"/>
      <c r="P105" s="16"/>
      <c r="Q105" s="16"/>
      <c r="R105" s="16"/>
      <c r="S105" s="10"/>
      <c r="T105" s="16"/>
      <c r="U105" s="16"/>
      <c r="V105" s="16"/>
      <c r="W105" s="16"/>
      <c r="X105" s="16"/>
      <c r="Y105" s="16"/>
      <c r="Z105" s="16"/>
      <c r="AA105" s="16"/>
      <c r="AB105" s="16"/>
      <c r="AC105" s="16"/>
      <c r="AD105" s="16"/>
    </row>
    <row r="106" ht="15.75" customHeight="1">
      <c r="A106" s="16"/>
      <c r="B106" s="16"/>
      <c r="C106" s="16"/>
      <c r="D106" s="16"/>
      <c r="E106" s="16"/>
      <c r="F106" s="16"/>
      <c r="G106" s="16"/>
      <c r="H106" s="16"/>
      <c r="I106" s="195"/>
      <c r="J106" s="16"/>
      <c r="K106" s="16"/>
      <c r="L106" s="16"/>
      <c r="M106" s="16"/>
      <c r="N106" s="16"/>
      <c r="O106" s="10"/>
      <c r="P106" s="16"/>
      <c r="Q106" s="16"/>
      <c r="R106" s="16"/>
      <c r="S106" s="10"/>
      <c r="T106" s="16"/>
      <c r="U106" s="16"/>
      <c r="V106" s="16"/>
      <c r="W106" s="16"/>
      <c r="X106" s="16"/>
      <c r="Y106" s="16"/>
      <c r="Z106" s="16"/>
      <c r="AA106" s="16"/>
      <c r="AB106" s="16"/>
      <c r="AC106" s="16"/>
      <c r="AD106" s="16"/>
    </row>
    <row r="107" ht="15.75" customHeight="1">
      <c r="A107" s="16"/>
      <c r="B107" s="16"/>
      <c r="C107" s="16"/>
      <c r="D107" s="16"/>
      <c r="E107" s="16"/>
      <c r="F107" s="16"/>
      <c r="G107" s="16"/>
      <c r="H107" s="16"/>
      <c r="I107" s="195"/>
      <c r="J107" s="16"/>
      <c r="K107" s="16"/>
      <c r="L107" s="16"/>
      <c r="M107" s="16"/>
      <c r="N107" s="16"/>
      <c r="O107" s="10"/>
      <c r="P107" s="16"/>
      <c r="Q107" s="16"/>
      <c r="R107" s="16"/>
      <c r="S107" s="10"/>
      <c r="T107" s="16"/>
      <c r="U107" s="16"/>
      <c r="V107" s="16"/>
      <c r="W107" s="16"/>
      <c r="X107" s="16"/>
      <c r="Y107" s="16"/>
      <c r="Z107" s="16"/>
      <c r="AA107" s="16"/>
      <c r="AB107" s="16"/>
      <c r="AC107" s="16"/>
      <c r="AD107" s="16"/>
    </row>
    <row r="108" ht="15.75" customHeight="1">
      <c r="A108" s="16"/>
      <c r="B108" s="16"/>
      <c r="C108" s="16"/>
      <c r="D108" s="16"/>
      <c r="E108" s="16"/>
      <c r="F108" s="16"/>
      <c r="G108" s="16"/>
      <c r="H108" s="16"/>
      <c r="I108" s="195"/>
      <c r="J108" s="16"/>
      <c r="K108" s="16"/>
      <c r="L108" s="16"/>
      <c r="M108" s="16"/>
      <c r="N108" s="16"/>
      <c r="O108" s="10"/>
      <c r="P108" s="16"/>
      <c r="Q108" s="16"/>
      <c r="R108" s="16"/>
      <c r="S108" s="10"/>
      <c r="T108" s="16"/>
      <c r="U108" s="16"/>
      <c r="V108" s="16"/>
      <c r="W108" s="16"/>
      <c r="X108" s="16"/>
      <c r="Y108" s="16"/>
      <c r="Z108" s="16"/>
      <c r="AA108" s="16"/>
      <c r="AB108" s="16"/>
      <c r="AC108" s="16"/>
      <c r="AD108" s="16"/>
    </row>
    <row r="109" ht="15.75" customHeight="1">
      <c r="A109" s="16"/>
      <c r="B109" s="16"/>
      <c r="C109" s="16"/>
      <c r="D109" s="16"/>
      <c r="E109" s="16"/>
      <c r="F109" s="16"/>
      <c r="G109" s="16"/>
      <c r="H109" s="16"/>
      <c r="I109" s="195"/>
      <c r="J109" s="16"/>
      <c r="K109" s="16"/>
      <c r="L109" s="16"/>
      <c r="M109" s="16"/>
      <c r="N109" s="16"/>
      <c r="O109" s="10"/>
      <c r="P109" s="16"/>
      <c r="Q109" s="16"/>
      <c r="R109" s="16"/>
      <c r="S109" s="10"/>
      <c r="T109" s="16"/>
      <c r="U109" s="16"/>
      <c r="V109" s="16"/>
      <c r="W109" s="16"/>
      <c r="X109" s="16"/>
      <c r="Y109" s="16"/>
      <c r="Z109" s="16"/>
      <c r="AA109" s="16"/>
      <c r="AB109" s="16"/>
      <c r="AC109" s="16"/>
      <c r="AD109" s="16"/>
    </row>
    <row r="110" ht="15.75" customHeight="1">
      <c r="A110" s="16"/>
      <c r="B110" s="16"/>
      <c r="C110" s="16"/>
      <c r="D110" s="16"/>
      <c r="E110" s="16"/>
      <c r="F110" s="16"/>
      <c r="G110" s="16"/>
      <c r="H110" s="16"/>
      <c r="I110" s="195"/>
      <c r="J110" s="16"/>
      <c r="K110" s="16"/>
      <c r="L110" s="16"/>
      <c r="M110" s="16"/>
      <c r="N110" s="16"/>
      <c r="O110" s="10"/>
      <c r="P110" s="16"/>
      <c r="Q110" s="16"/>
      <c r="R110" s="16"/>
      <c r="S110" s="10"/>
      <c r="T110" s="16"/>
      <c r="U110" s="16"/>
      <c r="V110" s="16"/>
      <c r="W110" s="16"/>
      <c r="X110" s="16"/>
      <c r="Y110" s="16"/>
      <c r="Z110" s="16"/>
      <c r="AA110" s="16"/>
      <c r="AB110" s="16"/>
      <c r="AC110" s="16"/>
      <c r="AD110" s="16"/>
    </row>
    <row r="111" ht="15.75" customHeight="1">
      <c r="A111" s="16"/>
      <c r="B111" s="16"/>
      <c r="C111" s="16"/>
      <c r="D111" s="16"/>
      <c r="E111" s="16"/>
      <c r="F111" s="16"/>
      <c r="G111" s="16"/>
      <c r="H111" s="16"/>
      <c r="I111" s="195"/>
      <c r="J111" s="16"/>
      <c r="K111" s="16"/>
      <c r="L111" s="16"/>
      <c r="M111" s="16"/>
      <c r="N111" s="16"/>
      <c r="O111" s="10"/>
      <c r="P111" s="16"/>
      <c r="Q111" s="16"/>
      <c r="R111" s="16"/>
      <c r="S111" s="10"/>
      <c r="T111" s="16"/>
      <c r="U111" s="16"/>
      <c r="V111" s="16"/>
      <c r="W111" s="16"/>
      <c r="X111" s="16"/>
      <c r="Y111" s="16"/>
      <c r="Z111" s="16"/>
      <c r="AA111" s="16"/>
      <c r="AB111" s="16"/>
      <c r="AC111" s="16"/>
      <c r="AD111" s="16"/>
    </row>
    <row r="112" ht="15.75" customHeight="1">
      <c r="A112" s="16"/>
      <c r="B112" s="16"/>
      <c r="C112" s="16"/>
      <c r="D112" s="16"/>
      <c r="E112" s="16"/>
      <c r="F112" s="16"/>
      <c r="G112" s="16"/>
      <c r="H112" s="16"/>
      <c r="I112" s="195"/>
      <c r="J112" s="16"/>
      <c r="K112" s="16"/>
      <c r="L112" s="16"/>
      <c r="M112" s="16"/>
      <c r="N112" s="16"/>
      <c r="O112" s="10"/>
      <c r="P112" s="16"/>
      <c r="Q112" s="16"/>
      <c r="R112" s="16"/>
      <c r="S112" s="10"/>
      <c r="T112" s="16"/>
      <c r="U112" s="16"/>
      <c r="V112" s="16"/>
      <c r="W112" s="16"/>
      <c r="X112" s="16"/>
      <c r="Y112" s="16"/>
      <c r="Z112" s="16"/>
      <c r="AA112" s="16"/>
      <c r="AB112" s="16"/>
      <c r="AC112" s="16"/>
      <c r="AD112" s="16"/>
    </row>
    <row r="113" ht="15.75" customHeight="1">
      <c r="A113" s="16"/>
      <c r="B113" s="16"/>
      <c r="C113" s="16"/>
      <c r="D113" s="16"/>
      <c r="E113" s="16"/>
      <c r="F113" s="16"/>
      <c r="G113" s="16"/>
      <c r="H113" s="16"/>
      <c r="I113" s="195"/>
      <c r="J113" s="16"/>
      <c r="K113" s="16"/>
      <c r="L113" s="16"/>
      <c r="M113" s="16"/>
      <c r="N113" s="16"/>
      <c r="O113" s="10"/>
      <c r="P113" s="16"/>
      <c r="Q113" s="16"/>
      <c r="R113" s="16"/>
      <c r="S113" s="10"/>
      <c r="T113" s="16"/>
      <c r="U113" s="16"/>
      <c r="V113" s="16"/>
      <c r="W113" s="16"/>
      <c r="X113" s="16"/>
      <c r="Y113" s="16"/>
      <c r="Z113" s="16"/>
      <c r="AA113" s="16"/>
      <c r="AB113" s="16"/>
      <c r="AC113" s="16"/>
      <c r="AD113" s="16"/>
    </row>
    <row r="114" ht="15.75" customHeight="1">
      <c r="A114" s="16"/>
      <c r="B114" s="16"/>
      <c r="C114" s="16"/>
      <c r="D114" s="16"/>
      <c r="E114" s="16"/>
      <c r="F114" s="16"/>
      <c r="G114" s="16"/>
      <c r="H114" s="16"/>
      <c r="I114" s="195"/>
      <c r="J114" s="16"/>
      <c r="K114" s="16"/>
      <c r="L114" s="16"/>
      <c r="M114" s="16"/>
      <c r="N114" s="16"/>
      <c r="O114" s="10"/>
      <c r="P114" s="16"/>
      <c r="Q114" s="16"/>
      <c r="R114" s="16"/>
      <c r="S114" s="10"/>
      <c r="T114" s="16"/>
      <c r="U114" s="16"/>
      <c r="V114" s="16"/>
      <c r="W114" s="16"/>
      <c r="X114" s="16"/>
      <c r="Y114" s="16"/>
      <c r="Z114" s="16"/>
      <c r="AA114" s="16"/>
      <c r="AB114" s="16"/>
      <c r="AC114" s="16"/>
      <c r="AD114" s="16"/>
    </row>
    <row r="115" ht="15.75" customHeight="1">
      <c r="A115" s="16"/>
      <c r="B115" s="16"/>
      <c r="C115" s="16"/>
      <c r="D115" s="16"/>
      <c r="E115" s="16"/>
      <c r="F115" s="16"/>
      <c r="G115" s="16"/>
      <c r="H115" s="16"/>
      <c r="I115" s="195"/>
      <c r="J115" s="16"/>
      <c r="K115" s="16"/>
      <c r="L115" s="16"/>
      <c r="M115" s="16"/>
      <c r="N115" s="16"/>
      <c r="O115" s="10"/>
      <c r="P115" s="16"/>
      <c r="Q115" s="16"/>
      <c r="R115" s="16"/>
      <c r="S115" s="10"/>
      <c r="T115" s="16"/>
      <c r="U115" s="16"/>
      <c r="V115" s="16"/>
      <c r="W115" s="16"/>
      <c r="X115" s="16"/>
      <c r="Y115" s="16"/>
      <c r="Z115" s="16"/>
      <c r="AA115" s="16"/>
      <c r="AB115" s="16"/>
      <c r="AC115" s="16"/>
      <c r="AD115" s="16"/>
    </row>
    <row r="116" ht="15.75" customHeight="1">
      <c r="A116" s="16"/>
      <c r="B116" s="16"/>
      <c r="C116" s="16"/>
      <c r="D116" s="16"/>
      <c r="E116" s="16"/>
      <c r="F116" s="16"/>
      <c r="G116" s="16"/>
      <c r="H116" s="16"/>
      <c r="I116" s="195"/>
      <c r="J116" s="16"/>
      <c r="K116" s="16"/>
      <c r="L116" s="16"/>
      <c r="M116" s="16"/>
      <c r="N116" s="16"/>
      <c r="O116" s="10"/>
      <c r="P116" s="16"/>
      <c r="Q116" s="16"/>
      <c r="R116" s="16"/>
      <c r="S116" s="10"/>
      <c r="T116" s="16"/>
      <c r="U116" s="16"/>
      <c r="V116" s="16"/>
      <c r="W116" s="16"/>
      <c r="X116" s="16"/>
      <c r="Y116" s="16"/>
      <c r="Z116" s="16"/>
      <c r="AA116" s="16"/>
      <c r="AB116" s="16"/>
      <c r="AC116" s="16"/>
      <c r="AD116" s="16"/>
    </row>
    <row r="117" ht="15.75" customHeight="1">
      <c r="A117" s="16"/>
      <c r="B117" s="16"/>
      <c r="C117" s="16"/>
      <c r="D117" s="16"/>
      <c r="E117" s="16"/>
      <c r="F117" s="16"/>
      <c r="G117" s="16"/>
      <c r="H117" s="16"/>
      <c r="I117" s="195"/>
      <c r="J117" s="16"/>
      <c r="K117" s="16"/>
      <c r="L117" s="16"/>
      <c r="M117" s="16"/>
      <c r="N117" s="16"/>
      <c r="O117" s="10"/>
      <c r="P117" s="16"/>
      <c r="Q117" s="16"/>
      <c r="R117" s="16"/>
      <c r="S117" s="10"/>
      <c r="T117" s="16"/>
      <c r="U117" s="16"/>
      <c r="V117" s="16"/>
      <c r="W117" s="16"/>
      <c r="X117" s="16"/>
      <c r="Y117" s="16"/>
      <c r="Z117" s="16"/>
      <c r="AA117" s="16"/>
      <c r="AB117" s="16"/>
      <c r="AC117" s="16"/>
      <c r="AD117" s="16"/>
    </row>
    <row r="118" ht="15.75" customHeight="1">
      <c r="A118" s="16"/>
      <c r="B118" s="16"/>
      <c r="C118" s="16"/>
      <c r="D118" s="16"/>
      <c r="E118" s="16"/>
      <c r="F118" s="16"/>
      <c r="G118" s="16"/>
      <c r="H118" s="16"/>
      <c r="I118" s="195"/>
      <c r="J118" s="16"/>
      <c r="K118" s="16"/>
      <c r="L118" s="16"/>
      <c r="M118" s="16"/>
      <c r="N118" s="16"/>
      <c r="O118" s="10"/>
      <c r="P118" s="16"/>
      <c r="Q118" s="16"/>
      <c r="R118" s="16"/>
      <c r="S118" s="10"/>
      <c r="T118" s="16"/>
      <c r="U118" s="16"/>
      <c r="V118" s="16"/>
      <c r="W118" s="16"/>
      <c r="X118" s="16"/>
      <c r="Y118" s="16"/>
      <c r="Z118" s="16"/>
      <c r="AA118" s="16"/>
      <c r="AB118" s="16"/>
      <c r="AC118" s="16"/>
      <c r="AD118" s="16"/>
    </row>
    <row r="119" ht="15.75" customHeight="1">
      <c r="A119" s="16"/>
      <c r="B119" s="16"/>
      <c r="C119" s="16"/>
      <c r="D119" s="16"/>
      <c r="E119" s="16"/>
      <c r="F119" s="16"/>
      <c r="G119" s="16"/>
      <c r="H119" s="16"/>
      <c r="I119" s="195"/>
      <c r="J119" s="16"/>
      <c r="K119" s="16"/>
      <c r="L119" s="16"/>
      <c r="M119" s="16"/>
      <c r="N119" s="16"/>
      <c r="O119" s="10"/>
      <c r="P119" s="16"/>
      <c r="Q119" s="16"/>
      <c r="R119" s="16"/>
      <c r="S119" s="10"/>
      <c r="T119" s="16"/>
      <c r="U119" s="16"/>
      <c r="V119" s="16"/>
      <c r="W119" s="16"/>
      <c r="X119" s="16"/>
      <c r="Y119" s="16"/>
      <c r="Z119" s="16"/>
      <c r="AA119" s="16"/>
      <c r="AB119" s="16"/>
      <c r="AC119" s="16"/>
      <c r="AD119" s="16"/>
    </row>
    <row r="120" ht="15.75" customHeight="1">
      <c r="A120" s="16"/>
      <c r="B120" s="16"/>
      <c r="C120" s="16"/>
      <c r="D120" s="16"/>
      <c r="E120" s="16"/>
      <c r="F120" s="16"/>
      <c r="G120" s="16"/>
      <c r="H120" s="16"/>
      <c r="I120" s="195"/>
      <c r="J120" s="16"/>
      <c r="K120" s="16"/>
      <c r="L120" s="16"/>
      <c r="M120" s="16"/>
      <c r="N120" s="16"/>
      <c r="O120" s="10"/>
      <c r="P120" s="16"/>
      <c r="Q120" s="16"/>
      <c r="R120" s="16"/>
      <c r="S120" s="10"/>
      <c r="T120" s="16"/>
      <c r="U120" s="16"/>
      <c r="V120" s="16"/>
      <c r="W120" s="16"/>
      <c r="X120" s="16"/>
      <c r="Y120" s="16"/>
      <c r="Z120" s="16"/>
      <c r="AA120" s="16"/>
      <c r="AB120" s="16"/>
      <c r="AC120" s="16"/>
      <c r="AD120" s="16"/>
    </row>
    <row r="121" ht="15.75" customHeight="1">
      <c r="A121" s="16"/>
      <c r="B121" s="16"/>
      <c r="C121" s="16"/>
      <c r="D121" s="16"/>
      <c r="E121" s="16"/>
      <c r="F121" s="16"/>
      <c r="G121" s="16"/>
      <c r="H121" s="16"/>
      <c r="I121" s="195"/>
      <c r="J121" s="16"/>
      <c r="K121" s="16"/>
      <c r="L121" s="16"/>
      <c r="M121" s="16"/>
      <c r="N121" s="16"/>
      <c r="O121" s="10"/>
      <c r="P121" s="16"/>
      <c r="Q121" s="16"/>
      <c r="R121" s="16"/>
      <c r="S121" s="10"/>
      <c r="T121" s="16"/>
      <c r="U121" s="16"/>
      <c r="V121" s="16"/>
      <c r="W121" s="16"/>
      <c r="X121" s="16"/>
      <c r="Y121" s="16"/>
      <c r="Z121" s="16"/>
      <c r="AA121" s="16"/>
      <c r="AB121" s="16"/>
      <c r="AC121" s="16"/>
      <c r="AD121" s="16"/>
    </row>
    <row r="122" ht="15.75" customHeight="1">
      <c r="A122" s="16"/>
      <c r="B122" s="16"/>
      <c r="C122" s="16"/>
      <c r="D122" s="16"/>
      <c r="E122" s="16"/>
      <c r="F122" s="16"/>
      <c r="G122" s="16"/>
      <c r="H122" s="16"/>
      <c r="I122" s="195"/>
      <c r="J122" s="16"/>
      <c r="K122" s="16"/>
      <c r="L122" s="16"/>
      <c r="M122" s="16"/>
      <c r="N122" s="16"/>
      <c r="O122" s="10"/>
      <c r="P122" s="16"/>
      <c r="Q122" s="16"/>
      <c r="R122" s="16"/>
      <c r="S122" s="10"/>
      <c r="T122" s="16"/>
      <c r="U122" s="16"/>
      <c r="V122" s="16"/>
      <c r="W122" s="16"/>
      <c r="X122" s="16"/>
      <c r="Y122" s="16"/>
      <c r="Z122" s="16"/>
      <c r="AA122" s="16"/>
      <c r="AB122" s="16"/>
      <c r="AC122" s="16"/>
      <c r="AD122" s="16"/>
    </row>
    <row r="123" ht="15.75" customHeight="1">
      <c r="A123" s="16"/>
      <c r="B123" s="16"/>
      <c r="C123" s="16"/>
      <c r="D123" s="16"/>
      <c r="E123" s="16"/>
      <c r="F123" s="16"/>
      <c r="G123" s="16"/>
      <c r="H123" s="16"/>
      <c r="I123" s="195"/>
      <c r="J123" s="16"/>
      <c r="K123" s="16"/>
      <c r="L123" s="16"/>
      <c r="M123" s="16"/>
      <c r="N123" s="16"/>
      <c r="O123" s="10"/>
      <c r="P123" s="16"/>
      <c r="Q123" s="16"/>
      <c r="R123" s="16"/>
      <c r="S123" s="10"/>
      <c r="T123" s="16"/>
      <c r="U123" s="16"/>
      <c r="V123" s="16"/>
      <c r="W123" s="16"/>
      <c r="X123" s="16"/>
      <c r="Y123" s="16"/>
      <c r="Z123" s="16"/>
      <c r="AA123" s="16"/>
      <c r="AB123" s="16"/>
      <c r="AC123" s="16"/>
      <c r="AD123" s="16"/>
    </row>
    <row r="124" ht="15.75" customHeight="1">
      <c r="A124" s="16"/>
      <c r="B124" s="16"/>
      <c r="C124" s="16"/>
      <c r="D124" s="16"/>
      <c r="E124" s="16"/>
      <c r="F124" s="16"/>
      <c r="G124" s="16"/>
      <c r="H124" s="16"/>
      <c r="I124" s="195"/>
      <c r="J124" s="16"/>
      <c r="K124" s="16"/>
      <c r="L124" s="16"/>
      <c r="M124" s="16"/>
      <c r="N124" s="16"/>
      <c r="O124" s="10"/>
      <c r="P124" s="16"/>
      <c r="Q124" s="16"/>
      <c r="R124" s="16"/>
      <c r="S124" s="10"/>
      <c r="T124" s="16"/>
      <c r="U124" s="16"/>
      <c r="V124" s="16"/>
      <c r="W124" s="16"/>
      <c r="X124" s="16"/>
      <c r="Y124" s="16"/>
      <c r="Z124" s="16"/>
      <c r="AA124" s="16"/>
      <c r="AB124" s="16"/>
      <c r="AC124" s="16"/>
      <c r="AD124" s="16"/>
    </row>
    <row r="125" ht="15.75" customHeight="1">
      <c r="A125" s="16"/>
      <c r="B125" s="16"/>
      <c r="C125" s="16"/>
      <c r="D125" s="16"/>
      <c r="E125" s="16"/>
      <c r="F125" s="16"/>
      <c r="G125" s="16"/>
      <c r="H125" s="16"/>
      <c r="I125" s="195"/>
      <c r="J125" s="16"/>
      <c r="K125" s="16"/>
      <c r="L125" s="16"/>
      <c r="M125" s="16"/>
      <c r="N125" s="16"/>
      <c r="O125" s="10"/>
      <c r="P125" s="16"/>
      <c r="Q125" s="16"/>
      <c r="R125" s="16"/>
      <c r="S125" s="10"/>
      <c r="T125" s="16"/>
      <c r="U125" s="16"/>
      <c r="V125" s="16"/>
      <c r="W125" s="16"/>
      <c r="X125" s="16"/>
      <c r="Y125" s="16"/>
      <c r="Z125" s="16"/>
      <c r="AA125" s="16"/>
      <c r="AB125" s="16"/>
      <c r="AC125" s="16"/>
      <c r="AD125" s="16"/>
    </row>
    <row r="126" ht="15.75" customHeight="1">
      <c r="A126" s="16"/>
      <c r="B126" s="16"/>
      <c r="C126" s="16"/>
      <c r="D126" s="16"/>
      <c r="E126" s="16"/>
      <c r="F126" s="16"/>
      <c r="G126" s="16"/>
      <c r="H126" s="16"/>
      <c r="I126" s="195"/>
      <c r="J126" s="16"/>
      <c r="K126" s="16"/>
      <c r="L126" s="16"/>
      <c r="M126" s="16"/>
      <c r="N126" s="16"/>
      <c r="O126" s="10"/>
      <c r="P126" s="16"/>
      <c r="Q126" s="16"/>
      <c r="R126" s="16"/>
      <c r="S126" s="10"/>
      <c r="T126" s="16"/>
      <c r="U126" s="16"/>
      <c r="V126" s="16"/>
      <c r="W126" s="16"/>
      <c r="X126" s="16"/>
      <c r="Y126" s="16"/>
      <c r="Z126" s="16"/>
      <c r="AA126" s="16"/>
      <c r="AB126" s="16"/>
      <c r="AC126" s="16"/>
      <c r="AD126" s="16"/>
    </row>
    <row r="127" ht="15.75" customHeight="1">
      <c r="A127" s="16"/>
      <c r="B127" s="16"/>
      <c r="C127" s="16"/>
      <c r="D127" s="16"/>
      <c r="E127" s="16"/>
      <c r="F127" s="16"/>
      <c r="G127" s="16"/>
      <c r="H127" s="16"/>
      <c r="I127" s="195"/>
      <c r="J127" s="16"/>
      <c r="K127" s="16"/>
      <c r="L127" s="16"/>
      <c r="M127" s="16"/>
      <c r="N127" s="16"/>
      <c r="O127" s="10"/>
      <c r="P127" s="16"/>
      <c r="Q127" s="16"/>
      <c r="R127" s="16"/>
      <c r="S127" s="10"/>
      <c r="T127" s="16"/>
      <c r="U127" s="16"/>
      <c r="V127" s="16"/>
      <c r="W127" s="16"/>
      <c r="X127" s="16"/>
      <c r="Y127" s="16"/>
      <c r="Z127" s="16"/>
      <c r="AA127" s="16"/>
      <c r="AB127" s="16"/>
      <c r="AC127" s="16"/>
      <c r="AD127" s="16"/>
    </row>
    <row r="128" ht="15.75" customHeight="1">
      <c r="A128" s="16"/>
      <c r="B128" s="16"/>
      <c r="C128" s="16"/>
      <c r="D128" s="16"/>
      <c r="E128" s="16"/>
      <c r="F128" s="16"/>
      <c r="G128" s="16"/>
      <c r="H128" s="16"/>
      <c r="I128" s="195"/>
      <c r="J128" s="16"/>
      <c r="K128" s="16"/>
      <c r="L128" s="16"/>
      <c r="M128" s="16"/>
      <c r="N128" s="16"/>
      <c r="O128" s="10"/>
      <c r="P128" s="16"/>
      <c r="Q128" s="16"/>
      <c r="R128" s="16"/>
      <c r="S128" s="10"/>
      <c r="T128" s="16"/>
      <c r="U128" s="16"/>
      <c r="V128" s="16"/>
      <c r="W128" s="16"/>
      <c r="X128" s="16"/>
      <c r="Y128" s="16"/>
      <c r="Z128" s="16"/>
      <c r="AA128" s="16"/>
      <c r="AB128" s="16"/>
      <c r="AC128" s="16"/>
      <c r="AD128" s="16"/>
    </row>
    <row r="129" ht="15.75" customHeight="1">
      <c r="A129" s="16"/>
      <c r="B129" s="16"/>
      <c r="C129" s="16"/>
      <c r="D129" s="16"/>
      <c r="E129" s="16"/>
      <c r="F129" s="16"/>
      <c r="G129" s="16"/>
      <c r="H129" s="16"/>
      <c r="I129" s="195"/>
      <c r="J129" s="16"/>
      <c r="K129" s="16"/>
      <c r="L129" s="16"/>
      <c r="M129" s="16"/>
      <c r="N129" s="16"/>
      <c r="O129" s="10"/>
      <c r="P129" s="16"/>
      <c r="Q129" s="16"/>
      <c r="R129" s="16"/>
      <c r="S129" s="10"/>
      <c r="T129" s="16"/>
      <c r="U129" s="16"/>
      <c r="V129" s="16"/>
      <c r="W129" s="16"/>
      <c r="X129" s="16"/>
      <c r="Y129" s="16"/>
      <c r="Z129" s="16"/>
      <c r="AA129" s="16"/>
      <c r="AB129" s="16"/>
      <c r="AC129" s="16"/>
      <c r="AD129" s="16"/>
    </row>
    <row r="130" ht="15.75" customHeight="1">
      <c r="A130" s="16"/>
      <c r="B130" s="16"/>
      <c r="C130" s="16"/>
      <c r="D130" s="16"/>
      <c r="E130" s="16"/>
      <c r="F130" s="16"/>
      <c r="G130" s="16"/>
      <c r="H130" s="16"/>
      <c r="I130" s="195"/>
      <c r="J130" s="16"/>
      <c r="K130" s="16"/>
      <c r="L130" s="16"/>
      <c r="M130" s="16"/>
      <c r="N130" s="16"/>
      <c r="O130" s="10"/>
      <c r="P130" s="16"/>
      <c r="Q130" s="16"/>
      <c r="R130" s="16"/>
      <c r="S130" s="10"/>
      <c r="T130" s="16"/>
      <c r="U130" s="16"/>
      <c r="V130" s="16"/>
      <c r="W130" s="16"/>
      <c r="X130" s="16"/>
      <c r="Y130" s="16"/>
      <c r="Z130" s="16"/>
      <c r="AA130" s="16"/>
      <c r="AB130" s="16"/>
      <c r="AC130" s="16"/>
      <c r="AD130" s="16"/>
    </row>
    <row r="131" ht="15.75" customHeight="1">
      <c r="A131" s="16"/>
      <c r="B131" s="16"/>
      <c r="C131" s="16"/>
      <c r="D131" s="16"/>
      <c r="E131" s="16"/>
      <c r="F131" s="16"/>
      <c r="G131" s="16"/>
      <c r="H131" s="16"/>
      <c r="I131" s="195"/>
      <c r="J131" s="16"/>
      <c r="K131" s="16"/>
      <c r="L131" s="16"/>
      <c r="M131" s="16"/>
      <c r="N131" s="16"/>
      <c r="O131" s="10"/>
      <c r="P131" s="16"/>
      <c r="Q131" s="16"/>
      <c r="R131" s="16"/>
      <c r="S131" s="10"/>
      <c r="T131" s="16"/>
      <c r="U131" s="16"/>
      <c r="V131" s="16"/>
      <c r="W131" s="16"/>
      <c r="X131" s="16"/>
      <c r="Y131" s="16"/>
      <c r="Z131" s="16"/>
      <c r="AA131" s="16"/>
      <c r="AB131" s="16"/>
      <c r="AC131" s="16"/>
      <c r="AD131" s="16"/>
    </row>
    <row r="132" ht="15.75" customHeight="1">
      <c r="A132" s="16"/>
      <c r="B132" s="16"/>
      <c r="C132" s="16"/>
      <c r="D132" s="16"/>
      <c r="E132" s="16"/>
      <c r="F132" s="16"/>
      <c r="G132" s="16"/>
      <c r="H132" s="16"/>
      <c r="I132" s="195"/>
      <c r="J132" s="16"/>
      <c r="K132" s="16"/>
      <c r="L132" s="16"/>
      <c r="M132" s="16"/>
      <c r="N132" s="16"/>
      <c r="O132" s="10"/>
      <c r="P132" s="16"/>
      <c r="Q132" s="16"/>
      <c r="R132" s="16"/>
      <c r="S132" s="10"/>
      <c r="T132" s="16"/>
      <c r="U132" s="16"/>
      <c r="V132" s="16"/>
      <c r="W132" s="16"/>
      <c r="X132" s="16"/>
      <c r="Y132" s="16"/>
      <c r="Z132" s="16"/>
      <c r="AA132" s="16"/>
      <c r="AB132" s="16"/>
      <c r="AC132" s="16"/>
      <c r="AD132" s="16"/>
    </row>
    <row r="133" ht="15.75" customHeight="1">
      <c r="A133" s="16"/>
      <c r="B133" s="16"/>
      <c r="C133" s="16"/>
      <c r="D133" s="16"/>
      <c r="E133" s="16"/>
      <c r="F133" s="16"/>
      <c r="G133" s="16"/>
      <c r="H133" s="16"/>
      <c r="I133" s="195"/>
      <c r="J133" s="16"/>
      <c r="K133" s="16"/>
      <c r="L133" s="16"/>
      <c r="M133" s="16"/>
      <c r="N133" s="16"/>
      <c r="O133" s="10"/>
      <c r="P133" s="16"/>
      <c r="Q133" s="16"/>
      <c r="R133" s="16"/>
      <c r="S133" s="10"/>
      <c r="T133" s="16"/>
      <c r="U133" s="16"/>
      <c r="V133" s="16"/>
      <c r="W133" s="16"/>
      <c r="X133" s="16"/>
      <c r="Y133" s="16"/>
      <c r="Z133" s="16"/>
      <c r="AA133" s="16"/>
      <c r="AB133" s="16"/>
      <c r="AC133" s="16"/>
      <c r="AD133" s="16"/>
    </row>
    <row r="134" ht="15.75" customHeight="1">
      <c r="A134" s="16"/>
      <c r="B134" s="16"/>
      <c r="C134" s="16"/>
      <c r="D134" s="16"/>
      <c r="E134" s="16"/>
      <c r="F134" s="16"/>
      <c r="G134" s="16"/>
      <c r="H134" s="16"/>
      <c r="I134" s="195"/>
      <c r="J134" s="16"/>
      <c r="K134" s="16"/>
      <c r="L134" s="16"/>
      <c r="M134" s="16"/>
      <c r="N134" s="16"/>
      <c r="O134" s="10"/>
      <c r="P134" s="16"/>
      <c r="Q134" s="16"/>
      <c r="R134" s="16"/>
      <c r="S134" s="10"/>
      <c r="T134" s="16"/>
      <c r="U134" s="16"/>
      <c r="V134" s="16"/>
      <c r="W134" s="16"/>
      <c r="X134" s="16"/>
      <c r="Y134" s="16"/>
      <c r="Z134" s="16"/>
      <c r="AA134" s="16"/>
      <c r="AB134" s="16"/>
      <c r="AC134" s="16"/>
      <c r="AD134" s="16"/>
    </row>
    <row r="135" ht="15.75" customHeight="1">
      <c r="A135" s="16"/>
      <c r="B135" s="16"/>
      <c r="C135" s="16"/>
      <c r="D135" s="16"/>
      <c r="E135" s="16"/>
      <c r="F135" s="16"/>
      <c r="G135" s="16"/>
      <c r="H135" s="16"/>
      <c r="I135" s="195"/>
      <c r="J135" s="16"/>
      <c r="K135" s="16"/>
      <c r="L135" s="16"/>
      <c r="M135" s="16"/>
      <c r="N135" s="16"/>
      <c r="O135" s="10"/>
      <c r="P135" s="16"/>
      <c r="Q135" s="16"/>
      <c r="R135" s="16"/>
      <c r="S135" s="10"/>
      <c r="T135" s="16"/>
      <c r="U135" s="16"/>
      <c r="V135" s="16"/>
      <c r="W135" s="16"/>
      <c r="X135" s="16"/>
      <c r="Y135" s="16"/>
      <c r="Z135" s="16"/>
      <c r="AA135" s="16"/>
      <c r="AB135" s="16"/>
      <c r="AC135" s="16"/>
      <c r="AD135" s="16"/>
    </row>
    <row r="136" ht="15.75" customHeight="1">
      <c r="A136" s="16"/>
      <c r="B136" s="16"/>
      <c r="C136" s="16"/>
      <c r="D136" s="16"/>
      <c r="E136" s="16"/>
      <c r="F136" s="16"/>
      <c r="G136" s="16"/>
      <c r="H136" s="16"/>
      <c r="I136" s="195"/>
      <c r="J136" s="16"/>
      <c r="K136" s="16"/>
      <c r="L136" s="16"/>
      <c r="M136" s="16"/>
      <c r="N136" s="16"/>
      <c r="O136" s="10"/>
      <c r="P136" s="16"/>
      <c r="Q136" s="16"/>
      <c r="R136" s="16"/>
      <c r="S136" s="10"/>
      <c r="T136" s="16"/>
      <c r="U136" s="16"/>
      <c r="V136" s="16"/>
      <c r="W136" s="16"/>
      <c r="X136" s="16"/>
      <c r="Y136" s="16"/>
      <c r="Z136" s="16"/>
      <c r="AA136" s="16"/>
      <c r="AB136" s="16"/>
      <c r="AC136" s="16"/>
      <c r="AD136" s="16"/>
    </row>
    <row r="137" ht="15.75" customHeight="1">
      <c r="A137" s="16"/>
      <c r="B137" s="16"/>
      <c r="C137" s="16"/>
      <c r="D137" s="16"/>
      <c r="E137" s="16"/>
      <c r="F137" s="16"/>
      <c r="G137" s="16"/>
      <c r="H137" s="16"/>
      <c r="I137" s="195"/>
      <c r="J137" s="16"/>
      <c r="K137" s="16"/>
      <c r="L137" s="16"/>
      <c r="M137" s="16"/>
      <c r="N137" s="16"/>
      <c r="O137" s="10"/>
      <c r="P137" s="16"/>
      <c r="Q137" s="16"/>
      <c r="R137" s="16"/>
      <c r="S137" s="10"/>
      <c r="T137" s="16"/>
      <c r="U137" s="16"/>
      <c r="V137" s="16"/>
      <c r="W137" s="16"/>
      <c r="X137" s="16"/>
      <c r="Y137" s="16"/>
      <c r="Z137" s="16"/>
      <c r="AA137" s="16"/>
      <c r="AB137" s="16"/>
      <c r="AC137" s="16"/>
      <c r="AD137" s="16"/>
    </row>
    <row r="138" ht="15.75" customHeight="1">
      <c r="A138" s="16"/>
      <c r="B138" s="16"/>
      <c r="C138" s="16"/>
      <c r="D138" s="16"/>
      <c r="E138" s="16"/>
      <c r="F138" s="16"/>
      <c r="G138" s="16"/>
      <c r="H138" s="16"/>
      <c r="I138" s="195"/>
      <c r="J138" s="16"/>
      <c r="K138" s="16"/>
      <c r="L138" s="16"/>
      <c r="M138" s="16"/>
      <c r="N138" s="16"/>
      <c r="O138" s="10"/>
      <c r="P138" s="16"/>
      <c r="Q138" s="16"/>
      <c r="R138" s="16"/>
      <c r="S138" s="10"/>
      <c r="T138" s="16"/>
      <c r="U138" s="16"/>
      <c r="V138" s="16"/>
      <c r="W138" s="16"/>
      <c r="X138" s="16"/>
      <c r="Y138" s="16"/>
      <c r="Z138" s="16"/>
      <c r="AA138" s="16"/>
      <c r="AB138" s="16"/>
      <c r="AC138" s="16"/>
      <c r="AD138" s="16"/>
    </row>
    <row r="139" ht="15.75" customHeight="1">
      <c r="A139" s="16"/>
      <c r="B139" s="16"/>
      <c r="C139" s="16"/>
      <c r="D139" s="16"/>
      <c r="E139" s="16"/>
      <c r="F139" s="16"/>
      <c r="G139" s="16"/>
      <c r="H139" s="16"/>
      <c r="I139" s="195"/>
      <c r="J139" s="16"/>
      <c r="K139" s="16"/>
      <c r="L139" s="16"/>
      <c r="M139" s="16"/>
      <c r="N139" s="16"/>
      <c r="O139" s="10"/>
      <c r="P139" s="16"/>
      <c r="Q139" s="16"/>
      <c r="R139" s="16"/>
      <c r="S139" s="10"/>
      <c r="T139" s="16"/>
      <c r="U139" s="16"/>
      <c r="V139" s="16"/>
      <c r="W139" s="16"/>
      <c r="X139" s="16"/>
      <c r="Y139" s="16"/>
      <c r="Z139" s="16"/>
      <c r="AA139" s="16"/>
      <c r="AB139" s="16"/>
      <c r="AC139" s="16"/>
      <c r="AD139" s="16"/>
    </row>
    <row r="140" ht="15.75" customHeight="1">
      <c r="A140" s="16"/>
      <c r="B140" s="16"/>
      <c r="C140" s="16"/>
      <c r="D140" s="16"/>
      <c r="E140" s="16"/>
      <c r="F140" s="16"/>
      <c r="G140" s="16"/>
      <c r="H140" s="16"/>
      <c r="I140" s="195"/>
      <c r="J140" s="16"/>
      <c r="K140" s="16"/>
      <c r="L140" s="16"/>
      <c r="M140" s="16"/>
      <c r="N140" s="16"/>
      <c r="O140" s="10"/>
      <c r="P140" s="16"/>
      <c r="Q140" s="16"/>
      <c r="R140" s="16"/>
      <c r="S140" s="10"/>
      <c r="T140" s="16"/>
      <c r="U140" s="16"/>
      <c r="V140" s="16"/>
      <c r="W140" s="16"/>
      <c r="X140" s="16"/>
      <c r="Y140" s="16"/>
      <c r="Z140" s="16"/>
      <c r="AA140" s="16"/>
      <c r="AB140" s="16"/>
      <c r="AC140" s="16"/>
      <c r="AD140" s="16"/>
    </row>
    <row r="141" ht="15.75" customHeight="1">
      <c r="A141" s="16"/>
      <c r="B141" s="16"/>
      <c r="C141" s="16"/>
      <c r="D141" s="16"/>
      <c r="E141" s="16"/>
      <c r="F141" s="16"/>
      <c r="G141" s="16"/>
      <c r="H141" s="16"/>
      <c r="I141" s="195"/>
      <c r="J141" s="16"/>
      <c r="K141" s="16"/>
      <c r="L141" s="16"/>
      <c r="M141" s="16"/>
      <c r="N141" s="16"/>
      <c r="O141" s="10"/>
      <c r="P141" s="16"/>
      <c r="Q141" s="16"/>
      <c r="R141" s="16"/>
      <c r="S141" s="10"/>
      <c r="T141" s="16"/>
      <c r="U141" s="16"/>
      <c r="V141" s="16"/>
      <c r="W141" s="16"/>
      <c r="X141" s="16"/>
      <c r="Y141" s="16"/>
      <c r="Z141" s="16"/>
      <c r="AA141" s="16"/>
      <c r="AB141" s="16"/>
      <c r="AC141" s="16"/>
      <c r="AD141" s="16"/>
    </row>
    <row r="142" ht="15.75" customHeight="1">
      <c r="A142" s="16"/>
      <c r="B142" s="16"/>
      <c r="C142" s="16"/>
      <c r="D142" s="16"/>
      <c r="E142" s="16"/>
      <c r="F142" s="16"/>
      <c r="G142" s="16"/>
      <c r="H142" s="16"/>
      <c r="I142" s="195"/>
      <c r="J142" s="16"/>
      <c r="K142" s="16"/>
      <c r="L142" s="16"/>
      <c r="M142" s="16"/>
      <c r="N142" s="16"/>
      <c r="O142" s="10"/>
      <c r="P142" s="16"/>
      <c r="Q142" s="16"/>
      <c r="R142" s="16"/>
      <c r="S142" s="10"/>
      <c r="T142" s="16"/>
      <c r="U142" s="16"/>
      <c r="V142" s="16"/>
      <c r="W142" s="16"/>
      <c r="X142" s="16"/>
      <c r="Y142" s="16"/>
      <c r="Z142" s="16"/>
      <c r="AA142" s="16"/>
      <c r="AB142" s="16"/>
      <c r="AC142" s="16"/>
      <c r="AD142" s="16"/>
    </row>
    <row r="143" ht="15.75" customHeight="1">
      <c r="A143" s="16"/>
      <c r="B143" s="16"/>
      <c r="C143" s="16"/>
      <c r="D143" s="16"/>
      <c r="E143" s="16"/>
      <c r="F143" s="16"/>
      <c r="G143" s="16"/>
      <c r="H143" s="16"/>
      <c r="I143" s="195"/>
      <c r="J143" s="16"/>
      <c r="K143" s="16"/>
      <c r="L143" s="16"/>
      <c r="M143" s="16"/>
      <c r="N143" s="16"/>
      <c r="O143" s="10"/>
      <c r="P143" s="16"/>
      <c r="Q143" s="16"/>
      <c r="R143" s="16"/>
      <c r="S143" s="10"/>
      <c r="T143" s="16"/>
      <c r="U143" s="16"/>
      <c r="V143" s="16"/>
      <c r="W143" s="16"/>
      <c r="X143" s="16"/>
      <c r="Y143" s="16"/>
      <c r="Z143" s="16"/>
      <c r="AA143" s="16"/>
      <c r="AB143" s="16"/>
      <c r="AC143" s="16"/>
      <c r="AD143" s="16"/>
    </row>
    <row r="144" ht="15.75" customHeight="1">
      <c r="A144" s="16"/>
      <c r="B144" s="16"/>
      <c r="C144" s="16"/>
      <c r="D144" s="16"/>
      <c r="E144" s="16"/>
      <c r="F144" s="16"/>
      <c r="G144" s="16"/>
      <c r="H144" s="16"/>
      <c r="I144" s="195"/>
      <c r="J144" s="16"/>
      <c r="K144" s="16"/>
      <c r="L144" s="16"/>
      <c r="M144" s="16"/>
      <c r="N144" s="16"/>
      <c r="O144" s="10"/>
      <c r="P144" s="16"/>
      <c r="Q144" s="16"/>
      <c r="R144" s="16"/>
      <c r="S144" s="10"/>
      <c r="T144" s="16"/>
      <c r="U144" s="16"/>
      <c r="V144" s="16"/>
      <c r="W144" s="16"/>
      <c r="X144" s="16"/>
      <c r="Y144" s="16"/>
      <c r="Z144" s="16"/>
      <c r="AA144" s="16"/>
      <c r="AB144" s="16"/>
      <c r="AC144" s="16"/>
      <c r="AD144" s="16"/>
    </row>
    <row r="145" ht="15.75" customHeight="1">
      <c r="A145" s="16"/>
      <c r="B145" s="16"/>
      <c r="C145" s="16"/>
      <c r="D145" s="16"/>
      <c r="E145" s="16"/>
      <c r="F145" s="16"/>
      <c r="G145" s="16"/>
      <c r="H145" s="16"/>
      <c r="I145" s="195"/>
      <c r="J145" s="16"/>
      <c r="K145" s="16"/>
      <c r="L145" s="16"/>
      <c r="M145" s="16"/>
      <c r="N145" s="16"/>
      <c r="O145" s="10"/>
      <c r="P145" s="16"/>
      <c r="Q145" s="16"/>
      <c r="R145" s="16"/>
      <c r="S145" s="10"/>
      <c r="T145" s="16"/>
      <c r="U145" s="16"/>
      <c r="V145" s="16"/>
      <c r="W145" s="16"/>
      <c r="X145" s="16"/>
      <c r="Y145" s="16"/>
      <c r="Z145" s="16"/>
      <c r="AA145" s="16"/>
      <c r="AB145" s="16"/>
      <c r="AC145" s="16"/>
      <c r="AD145" s="16"/>
    </row>
    <row r="146" ht="15.75" customHeight="1">
      <c r="A146" s="16"/>
      <c r="B146" s="16"/>
      <c r="C146" s="16"/>
      <c r="D146" s="16"/>
      <c r="E146" s="16"/>
      <c r="F146" s="16"/>
      <c r="G146" s="16"/>
      <c r="H146" s="16"/>
      <c r="I146" s="195"/>
      <c r="J146" s="16"/>
      <c r="K146" s="16"/>
      <c r="L146" s="16"/>
      <c r="M146" s="16"/>
      <c r="N146" s="16"/>
      <c r="O146" s="10"/>
      <c r="P146" s="16"/>
      <c r="Q146" s="16"/>
      <c r="R146" s="16"/>
      <c r="S146" s="10"/>
      <c r="T146" s="16"/>
      <c r="U146" s="16"/>
      <c r="V146" s="16"/>
      <c r="W146" s="16"/>
      <c r="X146" s="16"/>
      <c r="Y146" s="16"/>
      <c r="Z146" s="16"/>
      <c r="AA146" s="16"/>
      <c r="AB146" s="16"/>
      <c r="AC146" s="16"/>
      <c r="AD146" s="16"/>
    </row>
    <row r="147" ht="15.75" customHeight="1">
      <c r="A147" s="16"/>
      <c r="B147" s="16"/>
      <c r="C147" s="16"/>
      <c r="D147" s="16"/>
      <c r="E147" s="16"/>
      <c r="F147" s="16"/>
      <c r="G147" s="16"/>
      <c r="H147" s="16"/>
      <c r="I147" s="195"/>
      <c r="J147" s="16"/>
      <c r="K147" s="16"/>
      <c r="L147" s="16"/>
      <c r="M147" s="16"/>
      <c r="N147" s="16"/>
      <c r="O147" s="10"/>
      <c r="P147" s="16"/>
      <c r="Q147" s="16"/>
      <c r="R147" s="16"/>
      <c r="S147" s="10"/>
      <c r="T147" s="16"/>
      <c r="U147" s="16"/>
      <c r="V147" s="16"/>
      <c r="W147" s="16"/>
      <c r="X147" s="16"/>
      <c r="Y147" s="16"/>
      <c r="Z147" s="16"/>
      <c r="AA147" s="16"/>
      <c r="AB147" s="16"/>
      <c r="AC147" s="16"/>
      <c r="AD147" s="16"/>
    </row>
    <row r="148" ht="15.75" customHeight="1">
      <c r="A148" s="16"/>
      <c r="B148" s="16"/>
      <c r="C148" s="16"/>
      <c r="D148" s="16"/>
      <c r="E148" s="16"/>
      <c r="F148" s="16"/>
      <c r="G148" s="16"/>
      <c r="H148" s="16"/>
      <c r="I148" s="195"/>
      <c r="J148" s="16"/>
      <c r="K148" s="16"/>
      <c r="L148" s="16"/>
      <c r="M148" s="16"/>
      <c r="N148" s="16"/>
      <c r="O148" s="10"/>
      <c r="P148" s="16"/>
      <c r="Q148" s="16"/>
      <c r="R148" s="16"/>
      <c r="S148" s="10"/>
      <c r="T148" s="16"/>
      <c r="U148" s="16"/>
      <c r="V148" s="16"/>
      <c r="W148" s="16"/>
      <c r="X148" s="16"/>
      <c r="Y148" s="16"/>
      <c r="Z148" s="16"/>
      <c r="AA148" s="16"/>
      <c r="AB148" s="16"/>
      <c r="AC148" s="16"/>
      <c r="AD148" s="16"/>
    </row>
    <row r="149" ht="15.75" customHeight="1">
      <c r="A149" s="16"/>
      <c r="B149" s="16"/>
      <c r="C149" s="16"/>
      <c r="D149" s="16"/>
      <c r="E149" s="16"/>
      <c r="F149" s="16"/>
      <c r="G149" s="16"/>
      <c r="H149" s="16"/>
      <c r="I149" s="195"/>
      <c r="J149" s="16"/>
      <c r="K149" s="16"/>
      <c r="L149" s="16"/>
      <c r="M149" s="16"/>
      <c r="N149" s="16"/>
      <c r="O149" s="10"/>
      <c r="P149" s="16"/>
      <c r="Q149" s="16"/>
      <c r="R149" s="16"/>
      <c r="S149" s="10"/>
      <c r="T149" s="16"/>
      <c r="U149" s="16"/>
      <c r="V149" s="16"/>
      <c r="W149" s="16"/>
      <c r="X149" s="16"/>
      <c r="Y149" s="16"/>
      <c r="Z149" s="16"/>
      <c r="AA149" s="16"/>
      <c r="AB149" s="16"/>
      <c r="AC149" s="16"/>
      <c r="AD149" s="16"/>
    </row>
    <row r="150" ht="15.75" customHeight="1">
      <c r="A150" s="16"/>
      <c r="B150" s="16"/>
      <c r="C150" s="16"/>
      <c r="D150" s="16"/>
      <c r="E150" s="16"/>
      <c r="F150" s="16"/>
      <c r="G150" s="16"/>
      <c r="H150" s="16"/>
      <c r="I150" s="195"/>
      <c r="J150" s="16"/>
      <c r="K150" s="16"/>
      <c r="L150" s="16"/>
      <c r="M150" s="16"/>
      <c r="N150" s="16"/>
      <c r="O150" s="10"/>
      <c r="P150" s="16"/>
      <c r="Q150" s="16"/>
      <c r="R150" s="16"/>
      <c r="S150" s="10"/>
      <c r="T150" s="16"/>
      <c r="U150" s="16"/>
      <c r="V150" s="16"/>
      <c r="W150" s="16"/>
      <c r="X150" s="16"/>
      <c r="Y150" s="16"/>
      <c r="Z150" s="16"/>
      <c r="AA150" s="16"/>
      <c r="AB150" s="16"/>
      <c r="AC150" s="16"/>
      <c r="AD150" s="16"/>
    </row>
    <row r="151" ht="15.75" customHeight="1">
      <c r="A151" s="16"/>
      <c r="B151" s="16"/>
      <c r="C151" s="16"/>
      <c r="D151" s="16"/>
      <c r="E151" s="16"/>
      <c r="F151" s="16"/>
      <c r="G151" s="16"/>
      <c r="H151" s="16"/>
      <c r="I151" s="195"/>
      <c r="J151" s="16"/>
      <c r="K151" s="16"/>
      <c r="L151" s="16"/>
      <c r="M151" s="16"/>
      <c r="N151" s="16"/>
      <c r="O151" s="10"/>
      <c r="P151" s="16"/>
      <c r="Q151" s="16"/>
      <c r="R151" s="16"/>
      <c r="S151" s="10"/>
      <c r="T151" s="16"/>
      <c r="U151" s="16"/>
      <c r="V151" s="16"/>
      <c r="W151" s="16"/>
      <c r="X151" s="16"/>
      <c r="Y151" s="16"/>
      <c r="Z151" s="16"/>
      <c r="AA151" s="16"/>
      <c r="AB151" s="16"/>
      <c r="AC151" s="16"/>
      <c r="AD151" s="16"/>
    </row>
    <row r="152" ht="15.75" customHeight="1">
      <c r="A152" s="16"/>
      <c r="B152" s="16"/>
      <c r="C152" s="16"/>
      <c r="D152" s="16"/>
      <c r="E152" s="16"/>
      <c r="F152" s="16"/>
      <c r="G152" s="16"/>
      <c r="H152" s="16"/>
      <c r="I152" s="195"/>
      <c r="J152" s="16"/>
      <c r="K152" s="16"/>
      <c r="L152" s="16"/>
      <c r="M152" s="16"/>
      <c r="N152" s="16"/>
      <c r="O152" s="10"/>
      <c r="P152" s="16"/>
      <c r="Q152" s="16"/>
      <c r="R152" s="16"/>
      <c r="S152" s="10"/>
      <c r="T152" s="16"/>
      <c r="U152" s="16"/>
      <c r="V152" s="16"/>
      <c r="W152" s="16"/>
      <c r="X152" s="16"/>
      <c r="Y152" s="16"/>
      <c r="Z152" s="16"/>
      <c r="AA152" s="16"/>
      <c r="AB152" s="16"/>
      <c r="AC152" s="16"/>
      <c r="AD152" s="16"/>
    </row>
    <row r="153" ht="15.75" customHeight="1">
      <c r="A153" s="16"/>
      <c r="B153" s="16"/>
      <c r="C153" s="16"/>
      <c r="D153" s="16"/>
      <c r="E153" s="16"/>
      <c r="F153" s="16"/>
      <c r="G153" s="16"/>
      <c r="H153" s="16"/>
      <c r="I153" s="195"/>
      <c r="J153" s="16"/>
      <c r="K153" s="16"/>
      <c r="L153" s="16"/>
      <c r="M153" s="16"/>
      <c r="N153" s="16"/>
      <c r="O153" s="10"/>
      <c r="P153" s="16"/>
      <c r="Q153" s="16"/>
      <c r="R153" s="16"/>
      <c r="S153" s="10"/>
      <c r="T153" s="16"/>
      <c r="U153" s="16"/>
      <c r="V153" s="16"/>
      <c r="W153" s="16"/>
      <c r="X153" s="16"/>
      <c r="Y153" s="16"/>
      <c r="Z153" s="16"/>
      <c r="AA153" s="16"/>
      <c r="AB153" s="16"/>
      <c r="AC153" s="16"/>
      <c r="AD153" s="16"/>
    </row>
    <row r="154" ht="15.75" customHeight="1">
      <c r="A154" s="16"/>
      <c r="B154" s="16"/>
      <c r="C154" s="16"/>
      <c r="D154" s="16"/>
      <c r="E154" s="16"/>
      <c r="F154" s="16"/>
      <c r="G154" s="16"/>
      <c r="H154" s="16"/>
      <c r="I154" s="195"/>
      <c r="J154" s="16"/>
      <c r="K154" s="16"/>
      <c r="L154" s="16"/>
      <c r="M154" s="16"/>
      <c r="N154" s="16"/>
      <c r="O154" s="10"/>
      <c r="P154" s="16"/>
      <c r="Q154" s="16"/>
      <c r="R154" s="16"/>
      <c r="S154" s="10"/>
      <c r="T154" s="16"/>
      <c r="U154" s="16"/>
      <c r="V154" s="16"/>
      <c r="W154" s="16"/>
      <c r="X154" s="16"/>
      <c r="Y154" s="16"/>
      <c r="Z154" s="16"/>
      <c r="AA154" s="16"/>
      <c r="AB154" s="16"/>
      <c r="AC154" s="16"/>
      <c r="AD154" s="16"/>
    </row>
    <row r="155" ht="15.75" customHeight="1">
      <c r="A155" s="16"/>
      <c r="B155" s="16"/>
      <c r="C155" s="16"/>
      <c r="D155" s="16"/>
      <c r="E155" s="16"/>
      <c r="F155" s="16"/>
      <c r="G155" s="16"/>
      <c r="H155" s="16"/>
      <c r="I155" s="195"/>
      <c r="J155" s="16"/>
      <c r="K155" s="16"/>
      <c r="L155" s="16"/>
      <c r="M155" s="16"/>
      <c r="N155" s="16"/>
      <c r="O155" s="10"/>
      <c r="P155" s="16"/>
      <c r="Q155" s="16"/>
      <c r="R155" s="16"/>
      <c r="S155" s="10"/>
      <c r="T155" s="16"/>
      <c r="U155" s="16"/>
      <c r="V155" s="16"/>
      <c r="W155" s="16"/>
      <c r="X155" s="16"/>
      <c r="Y155" s="16"/>
      <c r="Z155" s="16"/>
      <c r="AA155" s="16"/>
      <c r="AB155" s="16"/>
      <c r="AC155" s="16"/>
      <c r="AD155" s="16"/>
    </row>
    <row r="156" ht="15.75" customHeight="1">
      <c r="A156" s="16"/>
      <c r="B156" s="16"/>
      <c r="C156" s="16"/>
      <c r="D156" s="16"/>
      <c r="E156" s="16"/>
      <c r="F156" s="16"/>
      <c r="G156" s="16"/>
      <c r="H156" s="16"/>
      <c r="I156" s="195"/>
      <c r="J156" s="16"/>
      <c r="K156" s="16"/>
      <c r="L156" s="16"/>
      <c r="M156" s="16"/>
      <c r="N156" s="16"/>
      <c r="O156" s="10"/>
      <c r="P156" s="16"/>
      <c r="Q156" s="16"/>
      <c r="R156" s="16"/>
      <c r="S156" s="10"/>
      <c r="T156" s="16"/>
      <c r="U156" s="16"/>
      <c r="V156" s="16"/>
      <c r="W156" s="16"/>
      <c r="X156" s="16"/>
      <c r="Y156" s="16"/>
      <c r="Z156" s="16"/>
      <c r="AA156" s="16"/>
      <c r="AB156" s="16"/>
      <c r="AC156" s="16"/>
      <c r="AD156" s="16"/>
    </row>
    <row r="157" ht="15.75" customHeight="1">
      <c r="A157" s="16"/>
      <c r="B157" s="16"/>
      <c r="C157" s="16"/>
      <c r="D157" s="16"/>
      <c r="E157" s="16"/>
      <c r="F157" s="16"/>
      <c r="G157" s="16"/>
      <c r="H157" s="16"/>
      <c r="I157" s="195"/>
      <c r="J157" s="16"/>
      <c r="K157" s="16"/>
      <c r="L157" s="16"/>
      <c r="M157" s="16"/>
      <c r="N157" s="16"/>
      <c r="O157" s="10"/>
      <c r="P157" s="16"/>
      <c r="Q157" s="16"/>
      <c r="R157" s="16"/>
      <c r="S157" s="10"/>
      <c r="T157" s="16"/>
      <c r="U157" s="16"/>
      <c r="V157" s="16"/>
      <c r="W157" s="16"/>
      <c r="X157" s="16"/>
      <c r="Y157" s="16"/>
      <c r="Z157" s="16"/>
      <c r="AA157" s="16"/>
      <c r="AB157" s="16"/>
      <c r="AC157" s="16"/>
      <c r="AD157" s="16"/>
    </row>
    <row r="158" ht="15.75" customHeight="1">
      <c r="A158" s="16"/>
      <c r="B158" s="16"/>
      <c r="C158" s="16"/>
      <c r="D158" s="16"/>
      <c r="E158" s="16"/>
      <c r="F158" s="16"/>
      <c r="G158" s="16"/>
      <c r="H158" s="16"/>
      <c r="I158" s="195"/>
      <c r="J158" s="16"/>
      <c r="K158" s="16"/>
      <c r="L158" s="16"/>
      <c r="M158" s="16"/>
      <c r="N158" s="16"/>
      <c r="O158" s="10"/>
      <c r="P158" s="16"/>
      <c r="Q158" s="16"/>
      <c r="R158" s="16"/>
      <c r="S158" s="10"/>
      <c r="T158" s="16"/>
      <c r="U158" s="16"/>
      <c r="V158" s="16"/>
      <c r="W158" s="16"/>
      <c r="X158" s="16"/>
      <c r="Y158" s="16"/>
      <c r="Z158" s="16"/>
      <c r="AA158" s="16"/>
      <c r="AB158" s="16"/>
      <c r="AC158" s="16"/>
      <c r="AD158" s="16"/>
    </row>
    <row r="159" ht="15.75" customHeight="1">
      <c r="A159" s="16"/>
      <c r="B159" s="16"/>
      <c r="C159" s="16"/>
      <c r="D159" s="16"/>
      <c r="E159" s="16"/>
      <c r="F159" s="16"/>
      <c r="G159" s="16"/>
      <c r="H159" s="16"/>
      <c r="I159" s="195"/>
      <c r="J159" s="16"/>
      <c r="K159" s="16"/>
      <c r="L159" s="16"/>
      <c r="M159" s="16"/>
      <c r="N159" s="16"/>
      <c r="O159" s="10"/>
      <c r="P159" s="16"/>
      <c r="Q159" s="16"/>
      <c r="R159" s="16"/>
      <c r="S159" s="10"/>
      <c r="T159" s="16"/>
      <c r="U159" s="16"/>
      <c r="V159" s="16"/>
      <c r="W159" s="16"/>
      <c r="X159" s="16"/>
      <c r="Y159" s="16"/>
      <c r="Z159" s="16"/>
      <c r="AA159" s="16"/>
      <c r="AB159" s="16"/>
      <c r="AC159" s="16"/>
      <c r="AD159" s="16"/>
    </row>
    <row r="160" ht="15.75" customHeight="1">
      <c r="A160" s="16"/>
      <c r="B160" s="16"/>
      <c r="C160" s="16"/>
      <c r="D160" s="16"/>
      <c r="E160" s="16"/>
      <c r="F160" s="16"/>
      <c r="G160" s="16"/>
      <c r="H160" s="16"/>
      <c r="I160" s="195"/>
      <c r="J160" s="16"/>
      <c r="K160" s="16"/>
      <c r="L160" s="16"/>
      <c r="M160" s="16"/>
      <c r="N160" s="16"/>
      <c r="O160" s="10"/>
      <c r="P160" s="16"/>
      <c r="Q160" s="16"/>
      <c r="R160" s="16"/>
      <c r="S160" s="10"/>
      <c r="T160" s="16"/>
      <c r="U160" s="16"/>
      <c r="V160" s="16"/>
      <c r="W160" s="16"/>
      <c r="X160" s="16"/>
      <c r="Y160" s="16"/>
      <c r="Z160" s="16"/>
      <c r="AA160" s="16"/>
      <c r="AB160" s="16"/>
      <c r="AC160" s="16"/>
      <c r="AD160" s="16"/>
    </row>
    <row r="161" ht="15.75" customHeight="1">
      <c r="A161" s="16"/>
      <c r="B161" s="16"/>
      <c r="C161" s="16"/>
      <c r="D161" s="16"/>
      <c r="E161" s="16"/>
      <c r="F161" s="16"/>
      <c r="G161" s="16"/>
      <c r="H161" s="16"/>
      <c r="I161" s="195"/>
      <c r="J161" s="16"/>
      <c r="K161" s="16"/>
      <c r="L161" s="16"/>
      <c r="M161" s="16"/>
      <c r="N161" s="16"/>
      <c r="O161" s="10"/>
      <c r="P161" s="16"/>
      <c r="Q161" s="16"/>
      <c r="R161" s="16"/>
      <c r="S161" s="10"/>
      <c r="T161" s="16"/>
      <c r="U161" s="16"/>
      <c r="V161" s="16"/>
      <c r="W161" s="16"/>
      <c r="X161" s="16"/>
      <c r="Y161" s="16"/>
      <c r="Z161" s="16"/>
      <c r="AA161" s="16"/>
      <c r="AB161" s="16"/>
      <c r="AC161" s="16"/>
      <c r="AD161" s="16"/>
    </row>
    <row r="162" ht="15.75" customHeight="1">
      <c r="A162" s="16"/>
      <c r="B162" s="16"/>
      <c r="C162" s="16"/>
      <c r="D162" s="16"/>
      <c r="E162" s="16"/>
      <c r="F162" s="16"/>
      <c r="G162" s="16"/>
      <c r="H162" s="16"/>
      <c r="I162" s="195"/>
      <c r="J162" s="16"/>
      <c r="K162" s="16"/>
      <c r="L162" s="16"/>
      <c r="M162" s="16"/>
      <c r="N162" s="16"/>
      <c r="O162" s="10"/>
      <c r="P162" s="16"/>
      <c r="Q162" s="16"/>
      <c r="R162" s="16"/>
      <c r="S162" s="10"/>
      <c r="T162" s="16"/>
      <c r="U162" s="16"/>
      <c r="V162" s="16"/>
      <c r="W162" s="16"/>
      <c r="X162" s="16"/>
      <c r="Y162" s="16"/>
      <c r="Z162" s="16"/>
      <c r="AA162" s="16"/>
      <c r="AB162" s="16"/>
      <c r="AC162" s="16"/>
      <c r="AD162" s="16"/>
    </row>
    <row r="163" ht="15.75" customHeight="1">
      <c r="A163" s="16"/>
      <c r="B163" s="16"/>
      <c r="C163" s="16"/>
      <c r="D163" s="16"/>
      <c r="E163" s="16"/>
      <c r="F163" s="16"/>
      <c r="G163" s="16"/>
      <c r="H163" s="16"/>
      <c r="I163" s="195"/>
      <c r="J163" s="16"/>
      <c r="K163" s="16"/>
      <c r="L163" s="16"/>
      <c r="M163" s="16"/>
      <c r="N163" s="16"/>
      <c r="O163" s="10"/>
      <c r="P163" s="16"/>
      <c r="Q163" s="16"/>
      <c r="R163" s="16"/>
      <c r="S163" s="10"/>
      <c r="T163" s="16"/>
      <c r="U163" s="16"/>
      <c r="V163" s="16"/>
      <c r="W163" s="16"/>
      <c r="X163" s="16"/>
      <c r="Y163" s="16"/>
      <c r="Z163" s="16"/>
      <c r="AA163" s="16"/>
      <c r="AB163" s="16"/>
      <c r="AC163" s="16"/>
      <c r="AD163" s="16"/>
    </row>
    <row r="164" ht="15.75" customHeight="1">
      <c r="A164" s="16"/>
      <c r="B164" s="16"/>
      <c r="C164" s="16"/>
      <c r="D164" s="16"/>
      <c r="E164" s="16"/>
      <c r="F164" s="16"/>
      <c r="G164" s="16"/>
      <c r="H164" s="16"/>
      <c r="I164" s="195"/>
      <c r="J164" s="16"/>
      <c r="K164" s="16"/>
      <c r="L164" s="16"/>
      <c r="M164" s="16"/>
      <c r="N164" s="16"/>
      <c r="O164" s="10"/>
      <c r="P164" s="16"/>
      <c r="Q164" s="16"/>
      <c r="R164" s="16"/>
      <c r="S164" s="10"/>
      <c r="T164" s="16"/>
      <c r="U164" s="16"/>
      <c r="V164" s="16"/>
      <c r="W164" s="16"/>
      <c r="X164" s="16"/>
      <c r="Y164" s="16"/>
      <c r="Z164" s="16"/>
      <c r="AA164" s="16"/>
      <c r="AB164" s="16"/>
      <c r="AC164" s="16"/>
      <c r="AD164" s="16"/>
    </row>
    <row r="165" ht="15.75" customHeight="1">
      <c r="A165" s="16"/>
      <c r="B165" s="16"/>
      <c r="C165" s="16"/>
      <c r="D165" s="16"/>
      <c r="E165" s="16"/>
      <c r="F165" s="16"/>
      <c r="G165" s="16"/>
      <c r="H165" s="16"/>
      <c r="I165" s="195"/>
      <c r="J165" s="16"/>
      <c r="K165" s="16"/>
      <c r="L165" s="16"/>
      <c r="M165" s="16"/>
      <c r="N165" s="16"/>
      <c r="O165" s="10"/>
      <c r="P165" s="16"/>
      <c r="Q165" s="16"/>
      <c r="R165" s="16"/>
      <c r="S165" s="10"/>
      <c r="T165" s="16"/>
      <c r="U165" s="16"/>
      <c r="V165" s="16"/>
      <c r="W165" s="16"/>
      <c r="X165" s="16"/>
      <c r="Y165" s="16"/>
      <c r="Z165" s="16"/>
      <c r="AA165" s="16"/>
      <c r="AB165" s="16"/>
      <c r="AC165" s="16"/>
      <c r="AD165" s="16"/>
    </row>
    <row r="166" ht="15.75" customHeight="1">
      <c r="A166" s="16"/>
      <c r="B166" s="16"/>
      <c r="C166" s="16"/>
      <c r="D166" s="16"/>
      <c r="E166" s="16"/>
      <c r="F166" s="16"/>
      <c r="G166" s="16"/>
      <c r="H166" s="16"/>
      <c r="I166" s="195"/>
      <c r="J166" s="16"/>
      <c r="K166" s="16"/>
      <c r="L166" s="16"/>
      <c r="M166" s="16"/>
      <c r="N166" s="16"/>
      <c r="O166" s="10"/>
      <c r="P166" s="16"/>
      <c r="Q166" s="16"/>
      <c r="R166" s="16"/>
      <c r="S166" s="10"/>
      <c r="T166" s="16"/>
      <c r="U166" s="16"/>
      <c r="V166" s="16"/>
      <c r="W166" s="16"/>
      <c r="X166" s="16"/>
      <c r="Y166" s="16"/>
      <c r="Z166" s="16"/>
      <c r="AA166" s="16"/>
      <c r="AB166" s="16"/>
      <c r="AC166" s="16"/>
      <c r="AD166" s="16"/>
    </row>
    <row r="167" ht="15.75" customHeight="1">
      <c r="A167" s="16"/>
      <c r="B167" s="16"/>
      <c r="C167" s="16"/>
      <c r="D167" s="16"/>
      <c r="E167" s="16"/>
      <c r="F167" s="16"/>
      <c r="G167" s="16"/>
      <c r="H167" s="16"/>
      <c r="I167" s="195"/>
      <c r="J167" s="16"/>
      <c r="K167" s="16"/>
      <c r="L167" s="16"/>
      <c r="M167" s="16"/>
      <c r="N167" s="16"/>
      <c r="O167" s="10"/>
      <c r="P167" s="16"/>
      <c r="Q167" s="16"/>
      <c r="R167" s="16"/>
      <c r="S167" s="10"/>
      <c r="T167" s="16"/>
      <c r="U167" s="16"/>
      <c r="V167" s="16"/>
      <c r="W167" s="16"/>
      <c r="X167" s="16"/>
      <c r="Y167" s="16"/>
      <c r="Z167" s="16"/>
      <c r="AA167" s="16"/>
      <c r="AB167" s="16"/>
      <c r="AC167" s="16"/>
      <c r="AD167" s="16"/>
    </row>
    <row r="168" ht="15.75" customHeight="1">
      <c r="A168" s="16"/>
      <c r="B168" s="16"/>
      <c r="C168" s="16"/>
      <c r="D168" s="16"/>
      <c r="E168" s="16"/>
      <c r="F168" s="16"/>
      <c r="G168" s="16"/>
      <c r="H168" s="16"/>
      <c r="I168" s="195"/>
      <c r="J168" s="16"/>
      <c r="K168" s="16"/>
      <c r="L168" s="16"/>
      <c r="M168" s="16"/>
      <c r="N168" s="16"/>
      <c r="O168" s="10"/>
      <c r="P168" s="16"/>
      <c r="Q168" s="16"/>
      <c r="R168" s="16"/>
      <c r="S168" s="10"/>
      <c r="T168" s="16"/>
      <c r="U168" s="16"/>
      <c r="V168" s="16"/>
      <c r="W168" s="16"/>
      <c r="X168" s="16"/>
      <c r="Y168" s="16"/>
      <c r="Z168" s="16"/>
      <c r="AA168" s="16"/>
      <c r="AB168" s="16"/>
      <c r="AC168" s="16"/>
      <c r="AD168" s="16"/>
    </row>
    <row r="169" ht="15.75" customHeight="1">
      <c r="A169" s="16"/>
      <c r="B169" s="16"/>
      <c r="C169" s="16"/>
      <c r="D169" s="16"/>
      <c r="E169" s="16"/>
      <c r="F169" s="16"/>
      <c r="G169" s="16"/>
      <c r="H169" s="16"/>
      <c r="I169" s="195"/>
      <c r="J169" s="16"/>
      <c r="K169" s="16"/>
      <c r="L169" s="16"/>
      <c r="M169" s="16"/>
      <c r="N169" s="16"/>
      <c r="O169" s="10"/>
      <c r="P169" s="16"/>
      <c r="Q169" s="16"/>
      <c r="R169" s="16"/>
      <c r="S169" s="10"/>
      <c r="T169" s="16"/>
      <c r="U169" s="16"/>
      <c r="V169" s="16"/>
      <c r="W169" s="16"/>
      <c r="X169" s="16"/>
      <c r="Y169" s="16"/>
      <c r="Z169" s="16"/>
      <c r="AA169" s="16"/>
      <c r="AB169" s="16"/>
      <c r="AC169" s="16"/>
      <c r="AD169" s="16"/>
    </row>
    <row r="170" ht="15.75" customHeight="1">
      <c r="A170" s="16"/>
      <c r="B170" s="16"/>
      <c r="C170" s="16"/>
      <c r="D170" s="16"/>
      <c r="E170" s="16"/>
      <c r="F170" s="16"/>
      <c r="G170" s="16"/>
      <c r="H170" s="16"/>
      <c r="I170" s="195"/>
      <c r="J170" s="16"/>
      <c r="K170" s="16"/>
      <c r="L170" s="16"/>
      <c r="M170" s="16"/>
      <c r="N170" s="16"/>
      <c r="O170" s="10"/>
      <c r="P170" s="16"/>
      <c r="Q170" s="16"/>
      <c r="R170" s="16"/>
      <c r="S170" s="10"/>
      <c r="T170" s="16"/>
      <c r="U170" s="16"/>
      <c r="V170" s="16"/>
      <c r="W170" s="16"/>
      <c r="X170" s="16"/>
      <c r="Y170" s="16"/>
      <c r="Z170" s="16"/>
      <c r="AA170" s="16"/>
      <c r="AB170" s="16"/>
      <c r="AC170" s="16"/>
      <c r="AD170" s="16"/>
    </row>
    <row r="171" ht="15.75" customHeight="1">
      <c r="A171" s="16"/>
      <c r="B171" s="16"/>
      <c r="C171" s="16"/>
      <c r="D171" s="16"/>
      <c r="E171" s="16"/>
      <c r="F171" s="16"/>
      <c r="G171" s="16"/>
      <c r="H171" s="16"/>
      <c r="I171" s="195"/>
      <c r="J171" s="16"/>
      <c r="K171" s="16"/>
      <c r="L171" s="16"/>
      <c r="M171" s="16"/>
      <c r="N171" s="16"/>
      <c r="O171" s="10"/>
      <c r="P171" s="16"/>
      <c r="Q171" s="16"/>
      <c r="R171" s="16"/>
      <c r="S171" s="10"/>
      <c r="T171" s="16"/>
      <c r="U171" s="16"/>
      <c r="V171" s="16"/>
      <c r="W171" s="16"/>
      <c r="X171" s="16"/>
      <c r="Y171" s="16"/>
      <c r="Z171" s="16"/>
      <c r="AA171" s="16"/>
      <c r="AB171" s="16"/>
      <c r="AC171" s="16"/>
      <c r="AD171" s="16"/>
    </row>
    <row r="172" ht="15.75" customHeight="1">
      <c r="A172" s="16"/>
      <c r="B172" s="16"/>
      <c r="C172" s="16"/>
      <c r="D172" s="16"/>
      <c r="E172" s="16"/>
      <c r="F172" s="16"/>
      <c r="G172" s="16"/>
      <c r="H172" s="16"/>
      <c r="I172" s="195"/>
      <c r="J172" s="16"/>
      <c r="K172" s="16"/>
      <c r="L172" s="16"/>
      <c r="M172" s="16"/>
      <c r="N172" s="16"/>
      <c r="O172" s="10"/>
      <c r="P172" s="16"/>
      <c r="Q172" s="16"/>
      <c r="R172" s="16"/>
      <c r="S172" s="10"/>
      <c r="T172" s="16"/>
      <c r="U172" s="16"/>
      <c r="V172" s="16"/>
      <c r="W172" s="16"/>
      <c r="X172" s="16"/>
      <c r="Y172" s="16"/>
      <c r="Z172" s="16"/>
      <c r="AA172" s="16"/>
      <c r="AB172" s="16"/>
      <c r="AC172" s="16"/>
      <c r="AD172" s="16"/>
    </row>
    <row r="173" ht="15.75" customHeight="1">
      <c r="A173" s="16"/>
      <c r="B173" s="16"/>
      <c r="C173" s="16"/>
      <c r="D173" s="16"/>
      <c r="E173" s="16"/>
      <c r="F173" s="16"/>
      <c r="G173" s="16"/>
      <c r="H173" s="16"/>
      <c r="I173" s="195"/>
      <c r="J173" s="16"/>
      <c r="K173" s="16"/>
      <c r="L173" s="16"/>
      <c r="M173" s="16"/>
      <c r="N173" s="16"/>
      <c r="O173" s="10"/>
      <c r="P173" s="16"/>
      <c r="Q173" s="16"/>
      <c r="R173" s="16"/>
      <c r="S173" s="10"/>
      <c r="T173" s="16"/>
      <c r="U173" s="16"/>
      <c r="V173" s="16"/>
      <c r="W173" s="16"/>
      <c r="X173" s="16"/>
      <c r="Y173" s="16"/>
      <c r="Z173" s="16"/>
      <c r="AA173" s="16"/>
      <c r="AB173" s="16"/>
      <c r="AC173" s="16"/>
      <c r="AD173" s="16"/>
    </row>
    <row r="174" ht="15.75" customHeight="1">
      <c r="A174" s="16"/>
      <c r="B174" s="16"/>
      <c r="C174" s="16"/>
      <c r="D174" s="16"/>
      <c r="E174" s="16"/>
      <c r="F174" s="16"/>
      <c r="G174" s="16"/>
      <c r="H174" s="16"/>
      <c r="I174" s="195"/>
      <c r="J174" s="16"/>
      <c r="K174" s="16"/>
      <c r="L174" s="16"/>
      <c r="M174" s="16"/>
      <c r="N174" s="16"/>
      <c r="O174" s="10"/>
      <c r="P174" s="16"/>
      <c r="Q174" s="16"/>
      <c r="R174" s="16"/>
      <c r="S174" s="10"/>
      <c r="T174" s="16"/>
      <c r="U174" s="16"/>
      <c r="V174" s="16"/>
      <c r="W174" s="16"/>
      <c r="X174" s="16"/>
      <c r="Y174" s="16"/>
      <c r="Z174" s="16"/>
      <c r="AA174" s="16"/>
      <c r="AB174" s="16"/>
      <c r="AC174" s="16"/>
      <c r="AD174" s="16"/>
    </row>
    <row r="175" ht="15.75" customHeight="1">
      <c r="A175" s="16"/>
      <c r="B175" s="16"/>
      <c r="C175" s="16"/>
      <c r="D175" s="16"/>
      <c r="E175" s="16"/>
      <c r="F175" s="16"/>
      <c r="G175" s="16"/>
      <c r="H175" s="16"/>
      <c r="I175" s="195"/>
      <c r="J175" s="16"/>
      <c r="K175" s="16"/>
      <c r="L175" s="16"/>
      <c r="M175" s="16"/>
      <c r="N175" s="16"/>
      <c r="O175" s="10"/>
      <c r="P175" s="16"/>
      <c r="Q175" s="16"/>
      <c r="R175" s="16"/>
      <c r="S175" s="10"/>
      <c r="T175" s="16"/>
      <c r="U175" s="16"/>
      <c r="V175" s="16"/>
      <c r="W175" s="16"/>
      <c r="X175" s="16"/>
      <c r="Y175" s="16"/>
      <c r="Z175" s="16"/>
      <c r="AA175" s="16"/>
      <c r="AB175" s="16"/>
      <c r="AC175" s="16"/>
      <c r="AD175" s="16"/>
    </row>
    <row r="176" ht="15.75" customHeight="1">
      <c r="A176" s="16"/>
      <c r="B176" s="16"/>
      <c r="C176" s="16"/>
      <c r="D176" s="16"/>
      <c r="E176" s="16"/>
      <c r="F176" s="16"/>
      <c r="G176" s="16"/>
      <c r="H176" s="16"/>
      <c r="I176" s="195"/>
      <c r="J176" s="16"/>
      <c r="K176" s="16"/>
      <c r="L176" s="16"/>
      <c r="M176" s="16"/>
      <c r="N176" s="16"/>
      <c r="O176" s="10"/>
      <c r="P176" s="16"/>
      <c r="Q176" s="16"/>
      <c r="R176" s="16"/>
      <c r="S176" s="10"/>
      <c r="T176" s="16"/>
      <c r="U176" s="16"/>
      <c r="V176" s="16"/>
      <c r="W176" s="16"/>
      <c r="X176" s="16"/>
      <c r="Y176" s="16"/>
      <c r="Z176" s="16"/>
      <c r="AA176" s="16"/>
      <c r="AB176" s="16"/>
      <c r="AC176" s="16"/>
      <c r="AD176" s="16"/>
    </row>
    <row r="177" ht="15.75" customHeight="1">
      <c r="A177" s="16"/>
      <c r="B177" s="16"/>
      <c r="C177" s="16"/>
      <c r="D177" s="16"/>
      <c r="E177" s="16"/>
      <c r="F177" s="16"/>
      <c r="G177" s="16"/>
      <c r="H177" s="16"/>
      <c r="I177" s="195"/>
      <c r="J177" s="16"/>
      <c r="K177" s="16"/>
      <c r="L177" s="16"/>
      <c r="M177" s="16"/>
      <c r="N177" s="16"/>
      <c r="O177" s="10"/>
      <c r="P177" s="16"/>
      <c r="Q177" s="16"/>
      <c r="R177" s="16"/>
      <c r="S177" s="10"/>
      <c r="T177" s="16"/>
      <c r="U177" s="16"/>
      <c r="V177" s="16"/>
      <c r="W177" s="16"/>
      <c r="X177" s="16"/>
      <c r="Y177" s="16"/>
      <c r="Z177" s="16"/>
      <c r="AA177" s="16"/>
      <c r="AB177" s="16"/>
      <c r="AC177" s="16"/>
      <c r="AD177" s="16"/>
    </row>
    <row r="178" ht="15.75" customHeight="1">
      <c r="A178" s="16"/>
      <c r="B178" s="16"/>
      <c r="C178" s="16"/>
      <c r="D178" s="16"/>
      <c r="E178" s="16"/>
      <c r="F178" s="16"/>
      <c r="G178" s="16"/>
      <c r="H178" s="16"/>
      <c r="I178" s="195"/>
      <c r="J178" s="16"/>
      <c r="K178" s="16"/>
      <c r="L178" s="16"/>
      <c r="M178" s="16"/>
      <c r="N178" s="16"/>
      <c r="O178" s="10"/>
      <c r="P178" s="16"/>
      <c r="Q178" s="16"/>
      <c r="R178" s="16"/>
      <c r="S178" s="10"/>
      <c r="T178" s="16"/>
      <c r="U178" s="16"/>
      <c r="V178" s="16"/>
      <c r="W178" s="16"/>
      <c r="X178" s="16"/>
      <c r="Y178" s="16"/>
      <c r="Z178" s="16"/>
      <c r="AA178" s="16"/>
      <c r="AB178" s="16"/>
      <c r="AC178" s="16"/>
      <c r="AD178" s="16"/>
    </row>
    <row r="179" ht="15.75" customHeight="1">
      <c r="A179" s="16"/>
      <c r="B179" s="16"/>
      <c r="C179" s="16"/>
      <c r="D179" s="16"/>
      <c r="E179" s="16"/>
      <c r="F179" s="16"/>
      <c r="G179" s="16"/>
      <c r="H179" s="16"/>
      <c r="I179" s="195"/>
      <c r="J179" s="16"/>
      <c r="K179" s="16"/>
      <c r="L179" s="16"/>
      <c r="M179" s="16"/>
      <c r="N179" s="16"/>
      <c r="O179" s="10"/>
      <c r="P179" s="16"/>
      <c r="Q179" s="16"/>
      <c r="R179" s="16"/>
      <c r="S179" s="10"/>
      <c r="T179" s="16"/>
      <c r="U179" s="16"/>
      <c r="V179" s="16"/>
      <c r="W179" s="16"/>
      <c r="X179" s="16"/>
      <c r="Y179" s="16"/>
      <c r="Z179" s="16"/>
      <c r="AA179" s="16"/>
      <c r="AB179" s="16"/>
      <c r="AC179" s="16"/>
      <c r="AD179" s="16"/>
    </row>
    <row r="180" ht="15.75" customHeight="1">
      <c r="A180" s="16"/>
      <c r="B180" s="16"/>
      <c r="C180" s="16"/>
      <c r="D180" s="16"/>
      <c r="E180" s="16"/>
      <c r="F180" s="16"/>
      <c r="G180" s="16"/>
      <c r="H180" s="16"/>
      <c r="I180" s="195"/>
      <c r="J180" s="16"/>
      <c r="K180" s="16"/>
      <c r="L180" s="16"/>
      <c r="M180" s="16"/>
      <c r="N180" s="16"/>
      <c r="O180" s="10"/>
      <c r="P180" s="16"/>
      <c r="Q180" s="16"/>
      <c r="R180" s="16"/>
      <c r="S180" s="10"/>
      <c r="T180" s="16"/>
      <c r="U180" s="16"/>
      <c r="V180" s="16"/>
      <c r="W180" s="16"/>
      <c r="X180" s="16"/>
      <c r="Y180" s="16"/>
      <c r="Z180" s="16"/>
      <c r="AA180" s="16"/>
      <c r="AB180" s="16"/>
      <c r="AC180" s="16"/>
      <c r="AD180" s="16"/>
    </row>
    <row r="181" ht="15.75" customHeight="1">
      <c r="A181" s="16"/>
      <c r="B181" s="16"/>
      <c r="C181" s="16"/>
      <c r="D181" s="16"/>
      <c r="E181" s="16"/>
      <c r="F181" s="16"/>
      <c r="G181" s="16"/>
      <c r="H181" s="16"/>
      <c r="I181" s="195"/>
      <c r="J181" s="16"/>
      <c r="K181" s="16"/>
      <c r="L181" s="16"/>
      <c r="M181" s="16"/>
      <c r="N181" s="16"/>
      <c r="O181" s="10"/>
      <c r="P181" s="16"/>
      <c r="Q181" s="16"/>
      <c r="R181" s="16"/>
      <c r="S181" s="10"/>
      <c r="T181" s="16"/>
      <c r="U181" s="16"/>
      <c r="V181" s="16"/>
      <c r="W181" s="16"/>
      <c r="X181" s="16"/>
      <c r="Y181" s="16"/>
      <c r="Z181" s="16"/>
      <c r="AA181" s="16"/>
      <c r="AB181" s="16"/>
      <c r="AC181" s="16"/>
      <c r="AD181" s="16"/>
    </row>
    <row r="182" ht="15.75" customHeight="1">
      <c r="A182" s="16"/>
      <c r="B182" s="16"/>
      <c r="C182" s="16"/>
      <c r="D182" s="16"/>
      <c r="E182" s="16"/>
      <c r="F182" s="16"/>
      <c r="G182" s="16"/>
      <c r="H182" s="16"/>
      <c r="I182" s="195"/>
      <c r="J182" s="16"/>
      <c r="K182" s="16"/>
      <c r="L182" s="16"/>
      <c r="M182" s="16"/>
      <c r="N182" s="16"/>
      <c r="O182" s="10"/>
      <c r="P182" s="16"/>
      <c r="Q182" s="16"/>
      <c r="R182" s="16"/>
      <c r="S182" s="10"/>
      <c r="T182" s="16"/>
      <c r="U182" s="16"/>
      <c r="V182" s="16"/>
      <c r="W182" s="16"/>
      <c r="X182" s="16"/>
      <c r="Y182" s="16"/>
      <c r="Z182" s="16"/>
      <c r="AA182" s="16"/>
      <c r="AB182" s="16"/>
      <c r="AC182" s="16"/>
      <c r="AD182" s="16"/>
    </row>
    <row r="183" ht="15.75" customHeight="1">
      <c r="A183" s="16"/>
      <c r="B183" s="16"/>
      <c r="C183" s="16"/>
      <c r="D183" s="16"/>
      <c r="E183" s="16"/>
      <c r="F183" s="16"/>
      <c r="G183" s="16"/>
      <c r="H183" s="16"/>
      <c r="I183" s="195"/>
      <c r="J183" s="16"/>
      <c r="K183" s="16"/>
      <c r="L183" s="16"/>
      <c r="M183" s="16"/>
      <c r="N183" s="16"/>
      <c r="O183" s="10"/>
      <c r="P183" s="16"/>
      <c r="Q183" s="16"/>
      <c r="R183" s="16"/>
      <c r="S183" s="10"/>
      <c r="T183" s="16"/>
      <c r="U183" s="16"/>
      <c r="V183" s="16"/>
      <c r="W183" s="16"/>
      <c r="X183" s="16"/>
      <c r="Y183" s="16"/>
      <c r="Z183" s="16"/>
      <c r="AA183" s="16"/>
      <c r="AB183" s="16"/>
      <c r="AC183" s="16"/>
      <c r="AD183" s="16"/>
    </row>
    <row r="184" ht="15.75" customHeight="1">
      <c r="A184" s="16"/>
      <c r="B184" s="16"/>
      <c r="C184" s="16"/>
      <c r="D184" s="16"/>
      <c r="E184" s="16"/>
      <c r="F184" s="16"/>
      <c r="G184" s="16"/>
      <c r="H184" s="16"/>
      <c r="I184" s="195"/>
      <c r="J184" s="16"/>
      <c r="K184" s="16"/>
      <c r="L184" s="16"/>
      <c r="M184" s="16"/>
      <c r="N184" s="16"/>
      <c r="O184" s="10"/>
      <c r="P184" s="16"/>
      <c r="Q184" s="16"/>
      <c r="R184" s="16"/>
      <c r="S184" s="10"/>
      <c r="T184" s="16"/>
      <c r="U184" s="16"/>
      <c r="V184" s="16"/>
      <c r="W184" s="16"/>
      <c r="X184" s="16"/>
      <c r="Y184" s="16"/>
      <c r="Z184" s="16"/>
      <c r="AA184" s="16"/>
      <c r="AB184" s="16"/>
      <c r="AC184" s="16"/>
      <c r="AD184" s="16"/>
    </row>
    <row r="185" ht="15.75" customHeight="1">
      <c r="A185" s="16"/>
      <c r="B185" s="16"/>
      <c r="C185" s="16"/>
      <c r="D185" s="16"/>
      <c r="E185" s="16"/>
      <c r="F185" s="16"/>
      <c r="G185" s="16"/>
      <c r="H185" s="16"/>
      <c r="I185" s="195"/>
      <c r="J185" s="16"/>
      <c r="K185" s="16"/>
      <c r="L185" s="16"/>
      <c r="M185" s="16"/>
      <c r="N185" s="16"/>
      <c r="O185" s="10"/>
      <c r="P185" s="16"/>
      <c r="Q185" s="16"/>
      <c r="R185" s="16"/>
      <c r="S185" s="10"/>
      <c r="T185" s="16"/>
      <c r="U185" s="16"/>
      <c r="V185" s="16"/>
      <c r="W185" s="16"/>
      <c r="X185" s="16"/>
      <c r="Y185" s="16"/>
      <c r="Z185" s="16"/>
      <c r="AA185" s="16"/>
      <c r="AB185" s="16"/>
      <c r="AC185" s="16"/>
      <c r="AD185" s="16"/>
    </row>
    <row r="186" ht="15.75" customHeight="1">
      <c r="A186" s="16"/>
      <c r="B186" s="16"/>
      <c r="C186" s="16"/>
      <c r="D186" s="16"/>
      <c r="E186" s="16"/>
      <c r="F186" s="16"/>
      <c r="G186" s="16"/>
      <c r="H186" s="16"/>
      <c r="I186" s="195"/>
      <c r="J186" s="16"/>
      <c r="K186" s="16"/>
      <c r="L186" s="16"/>
      <c r="M186" s="16"/>
      <c r="N186" s="16"/>
      <c r="O186" s="10"/>
      <c r="P186" s="16"/>
      <c r="Q186" s="16"/>
      <c r="R186" s="16"/>
      <c r="S186" s="10"/>
      <c r="T186" s="16"/>
      <c r="U186" s="16"/>
      <c r="V186" s="16"/>
      <c r="W186" s="16"/>
      <c r="X186" s="16"/>
      <c r="Y186" s="16"/>
      <c r="Z186" s="16"/>
      <c r="AA186" s="16"/>
      <c r="AB186" s="16"/>
      <c r="AC186" s="16"/>
      <c r="AD186" s="16"/>
    </row>
    <row r="187" ht="15.75" customHeight="1">
      <c r="A187" s="16"/>
      <c r="B187" s="16"/>
      <c r="C187" s="16"/>
      <c r="D187" s="16"/>
      <c r="E187" s="16"/>
      <c r="F187" s="16"/>
      <c r="G187" s="16"/>
      <c r="H187" s="16"/>
      <c r="I187" s="195"/>
      <c r="J187" s="16"/>
      <c r="K187" s="16"/>
      <c r="L187" s="16"/>
      <c r="M187" s="16"/>
      <c r="N187" s="16"/>
      <c r="O187" s="10"/>
      <c r="P187" s="16"/>
      <c r="Q187" s="16"/>
      <c r="R187" s="16"/>
      <c r="S187" s="10"/>
      <c r="T187" s="16"/>
      <c r="U187" s="16"/>
      <c r="V187" s="16"/>
      <c r="W187" s="16"/>
      <c r="X187" s="16"/>
      <c r="Y187" s="16"/>
      <c r="Z187" s="16"/>
      <c r="AA187" s="16"/>
      <c r="AB187" s="16"/>
      <c r="AC187" s="16"/>
      <c r="AD187" s="16"/>
    </row>
    <row r="188" ht="15.75" customHeight="1">
      <c r="A188" s="16"/>
      <c r="B188" s="16"/>
      <c r="C188" s="16"/>
      <c r="D188" s="16"/>
      <c r="E188" s="16"/>
      <c r="F188" s="16"/>
      <c r="G188" s="16"/>
      <c r="H188" s="16"/>
      <c r="I188" s="195"/>
      <c r="J188" s="16"/>
      <c r="K188" s="16"/>
      <c r="L188" s="16"/>
      <c r="M188" s="16"/>
      <c r="N188" s="16"/>
      <c r="O188" s="10"/>
      <c r="P188" s="16"/>
      <c r="Q188" s="16"/>
      <c r="R188" s="16"/>
      <c r="S188" s="10"/>
      <c r="T188" s="16"/>
      <c r="U188" s="16"/>
      <c r="V188" s="16"/>
      <c r="W188" s="16"/>
      <c r="X188" s="16"/>
      <c r="Y188" s="16"/>
      <c r="Z188" s="16"/>
      <c r="AA188" s="16"/>
      <c r="AB188" s="16"/>
      <c r="AC188" s="16"/>
      <c r="AD188" s="16"/>
    </row>
    <row r="189" ht="15.75" customHeight="1">
      <c r="A189" s="16"/>
      <c r="B189" s="16"/>
      <c r="C189" s="16"/>
      <c r="D189" s="16"/>
      <c r="E189" s="16"/>
      <c r="F189" s="16"/>
      <c r="G189" s="16"/>
      <c r="H189" s="16"/>
      <c r="I189" s="195"/>
      <c r="J189" s="16"/>
      <c r="K189" s="16"/>
      <c r="L189" s="16"/>
      <c r="M189" s="16"/>
      <c r="N189" s="16"/>
      <c r="O189" s="10"/>
      <c r="P189" s="16"/>
      <c r="Q189" s="16"/>
      <c r="R189" s="16"/>
      <c r="S189" s="10"/>
      <c r="T189" s="16"/>
      <c r="U189" s="16"/>
      <c r="V189" s="16"/>
      <c r="W189" s="16"/>
      <c r="X189" s="16"/>
      <c r="Y189" s="16"/>
      <c r="Z189" s="16"/>
      <c r="AA189" s="16"/>
      <c r="AB189" s="16"/>
      <c r="AC189" s="16"/>
      <c r="AD189" s="16"/>
    </row>
    <row r="190" ht="15.75" customHeight="1">
      <c r="A190" s="16"/>
      <c r="B190" s="16"/>
      <c r="C190" s="16"/>
      <c r="D190" s="16"/>
      <c r="E190" s="16"/>
      <c r="F190" s="16"/>
      <c r="G190" s="16"/>
      <c r="H190" s="16"/>
      <c r="I190" s="195"/>
      <c r="J190" s="16"/>
      <c r="K190" s="16"/>
      <c r="L190" s="16"/>
      <c r="M190" s="16"/>
      <c r="N190" s="16"/>
      <c r="O190" s="10"/>
      <c r="P190" s="16"/>
      <c r="Q190" s="16"/>
      <c r="R190" s="16"/>
      <c r="S190" s="10"/>
      <c r="T190" s="16"/>
      <c r="U190" s="16"/>
      <c r="V190" s="16"/>
      <c r="W190" s="16"/>
      <c r="X190" s="16"/>
      <c r="Y190" s="16"/>
      <c r="Z190" s="16"/>
      <c r="AA190" s="16"/>
      <c r="AB190" s="16"/>
      <c r="AC190" s="16"/>
      <c r="AD190" s="16"/>
    </row>
    <row r="191" ht="15.75" customHeight="1">
      <c r="A191" s="16"/>
      <c r="B191" s="16"/>
      <c r="C191" s="16"/>
      <c r="D191" s="16"/>
      <c r="E191" s="16"/>
      <c r="F191" s="16"/>
      <c r="G191" s="16"/>
      <c r="H191" s="16"/>
      <c r="I191" s="195"/>
      <c r="J191" s="16"/>
      <c r="K191" s="16"/>
      <c r="L191" s="16"/>
      <c r="M191" s="16"/>
      <c r="N191" s="16"/>
      <c r="O191" s="10"/>
      <c r="P191" s="16"/>
      <c r="Q191" s="16"/>
      <c r="R191" s="16"/>
      <c r="S191" s="10"/>
      <c r="T191" s="16"/>
      <c r="U191" s="16"/>
      <c r="V191" s="16"/>
      <c r="W191" s="16"/>
      <c r="X191" s="16"/>
      <c r="Y191" s="16"/>
      <c r="Z191" s="16"/>
      <c r="AA191" s="16"/>
      <c r="AB191" s="16"/>
      <c r="AC191" s="16"/>
      <c r="AD191" s="16"/>
    </row>
    <row r="192" ht="15.75" customHeight="1">
      <c r="A192" s="16"/>
      <c r="B192" s="16"/>
      <c r="C192" s="16"/>
      <c r="D192" s="16"/>
      <c r="E192" s="16"/>
      <c r="F192" s="16"/>
      <c r="G192" s="16"/>
      <c r="H192" s="16"/>
      <c r="I192" s="195"/>
      <c r="J192" s="16"/>
      <c r="K192" s="16"/>
      <c r="L192" s="16"/>
      <c r="M192" s="16"/>
      <c r="N192" s="16"/>
      <c r="O192" s="10"/>
      <c r="P192" s="16"/>
      <c r="Q192" s="16"/>
      <c r="R192" s="16"/>
      <c r="S192" s="10"/>
      <c r="T192" s="16"/>
      <c r="U192" s="16"/>
      <c r="V192" s="16"/>
      <c r="W192" s="16"/>
      <c r="X192" s="16"/>
      <c r="Y192" s="16"/>
      <c r="Z192" s="16"/>
      <c r="AA192" s="16"/>
      <c r="AB192" s="16"/>
      <c r="AC192" s="16"/>
      <c r="AD192" s="16"/>
    </row>
    <row r="193" ht="15.75" customHeight="1">
      <c r="A193" s="16"/>
      <c r="B193" s="16"/>
      <c r="C193" s="16"/>
      <c r="D193" s="16"/>
      <c r="E193" s="16"/>
      <c r="F193" s="16"/>
      <c r="G193" s="16"/>
      <c r="H193" s="16"/>
      <c r="I193" s="195"/>
      <c r="J193" s="16"/>
      <c r="K193" s="16"/>
      <c r="L193" s="16"/>
      <c r="M193" s="16"/>
      <c r="N193" s="16"/>
      <c r="O193" s="10"/>
      <c r="P193" s="16"/>
      <c r="Q193" s="16"/>
      <c r="R193" s="16"/>
      <c r="S193" s="10"/>
      <c r="T193" s="16"/>
      <c r="U193" s="16"/>
      <c r="V193" s="16"/>
      <c r="W193" s="16"/>
      <c r="X193" s="16"/>
      <c r="Y193" s="16"/>
      <c r="Z193" s="16"/>
      <c r="AA193" s="16"/>
      <c r="AB193" s="16"/>
      <c r="AC193" s="16"/>
      <c r="AD193" s="16"/>
    </row>
    <row r="194" ht="15.75" customHeight="1">
      <c r="A194" s="16"/>
      <c r="B194" s="16"/>
      <c r="C194" s="16"/>
      <c r="D194" s="16"/>
      <c r="E194" s="16"/>
      <c r="F194" s="16"/>
      <c r="G194" s="16"/>
      <c r="H194" s="16"/>
      <c r="I194" s="195"/>
      <c r="J194" s="16"/>
      <c r="K194" s="16"/>
      <c r="L194" s="16"/>
      <c r="M194" s="16"/>
      <c r="N194" s="16"/>
      <c r="O194" s="10"/>
      <c r="P194" s="16"/>
      <c r="Q194" s="16"/>
      <c r="R194" s="16"/>
      <c r="S194" s="10"/>
      <c r="T194" s="16"/>
      <c r="U194" s="16"/>
      <c r="V194" s="16"/>
      <c r="W194" s="16"/>
      <c r="X194" s="16"/>
      <c r="Y194" s="16"/>
      <c r="Z194" s="16"/>
      <c r="AA194" s="16"/>
      <c r="AB194" s="16"/>
      <c r="AC194" s="16"/>
      <c r="AD194" s="16"/>
    </row>
    <row r="195" ht="15.75" customHeight="1">
      <c r="A195" s="16"/>
      <c r="B195" s="16"/>
      <c r="C195" s="16"/>
      <c r="D195" s="16"/>
      <c r="E195" s="16"/>
      <c r="F195" s="16"/>
      <c r="G195" s="16"/>
      <c r="H195" s="16"/>
      <c r="I195" s="195"/>
      <c r="J195" s="16"/>
      <c r="K195" s="16"/>
      <c r="L195" s="16"/>
      <c r="M195" s="16"/>
      <c r="N195" s="16"/>
      <c r="O195" s="10"/>
      <c r="P195" s="16"/>
      <c r="Q195" s="16"/>
      <c r="R195" s="16"/>
      <c r="S195" s="10"/>
      <c r="T195" s="16"/>
      <c r="U195" s="16"/>
      <c r="V195" s="16"/>
      <c r="W195" s="16"/>
      <c r="X195" s="16"/>
      <c r="Y195" s="16"/>
      <c r="Z195" s="16"/>
      <c r="AA195" s="16"/>
      <c r="AB195" s="16"/>
      <c r="AC195" s="16"/>
      <c r="AD195" s="16"/>
    </row>
    <row r="196" ht="15.75" customHeight="1">
      <c r="A196" s="16"/>
      <c r="B196" s="16"/>
      <c r="C196" s="16"/>
      <c r="D196" s="16"/>
      <c r="E196" s="16"/>
      <c r="F196" s="16"/>
      <c r="G196" s="16"/>
      <c r="H196" s="16"/>
      <c r="I196" s="195"/>
      <c r="J196" s="16"/>
      <c r="K196" s="16"/>
      <c r="L196" s="16"/>
      <c r="M196" s="16"/>
      <c r="N196" s="16"/>
      <c r="O196" s="10"/>
      <c r="P196" s="16"/>
      <c r="Q196" s="16"/>
      <c r="R196" s="16"/>
      <c r="S196" s="10"/>
      <c r="T196" s="16"/>
      <c r="U196" s="16"/>
      <c r="V196" s="16"/>
      <c r="W196" s="16"/>
      <c r="X196" s="16"/>
      <c r="Y196" s="16"/>
      <c r="Z196" s="16"/>
      <c r="AA196" s="16"/>
      <c r="AB196" s="16"/>
      <c r="AC196" s="16"/>
      <c r="AD196" s="16"/>
    </row>
    <row r="197" ht="15.75" customHeight="1">
      <c r="A197" s="16"/>
      <c r="B197" s="16"/>
      <c r="C197" s="16"/>
      <c r="D197" s="16"/>
      <c r="E197" s="16"/>
      <c r="F197" s="16"/>
      <c r="G197" s="16"/>
      <c r="H197" s="16"/>
      <c r="I197" s="195"/>
      <c r="J197" s="16"/>
      <c r="K197" s="16"/>
      <c r="L197" s="16"/>
      <c r="M197" s="16"/>
      <c r="N197" s="16"/>
      <c r="O197" s="10"/>
      <c r="P197" s="16"/>
      <c r="Q197" s="16"/>
      <c r="R197" s="16"/>
      <c r="S197" s="10"/>
      <c r="T197" s="16"/>
      <c r="U197" s="16"/>
      <c r="V197" s="16"/>
      <c r="W197" s="16"/>
      <c r="X197" s="16"/>
      <c r="Y197" s="16"/>
      <c r="Z197" s="16"/>
      <c r="AA197" s="16"/>
      <c r="AB197" s="16"/>
      <c r="AC197" s="16"/>
      <c r="AD197" s="16"/>
    </row>
    <row r="198" ht="15.75" customHeight="1">
      <c r="A198" s="16"/>
      <c r="B198" s="16"/>
      <c r="C198" s="16"/>
      <c r="D198" s="16"/>
      <c r="E198" s="16"/>
      <c r="F198" s="16"/>
      <c r="G198" s="16"/>
      <c r="H198" s="16"/>
      <c r="I198" s="195"/>
      <c r="J198" s="16"/>
      <c r="K198" s="16"/>
      <c r="L198" s="16"/>
      <c r="M198" s="16"/>
      <c r="N198" s="16"/>
      <c r="O198" s="10"/>
      <c r="P198" s="16"/>
      <c r="Q198" s="16"/>
      <c r="R198" s="16"/>
      <c r="S198" s="10"/>
      <c r="T198" s="16"/>
      <c r="U198" s="16"/>
      <c r="V198" s="16"/>
      <c r="W198" s="16"/>
      <c r="X198" s="16"/>
      <c r="Y198" s="16"/>
      <c r="Z198" s="16"/>
      <c r="AA198" s="16"/>
      <c r="AB198" s="16"/>
      <c r="AC198" s="16"/>
      <c r="AD198" s="16"/>
    </row>
    <row r="199" ht="15.75" customHeight="1">
      <c r="A199" s="16"/>
      <c r="B199" s="16"/>
      <c r="C199" s="16"/>
      <c r="D199" s="16"/>
      <c r="E199" s="16"/>
      <c r="F199" s="16"/>
      <c r="G199" s="16"/>
      <c r="H199" s="16"/>
      <c r="I199" s="195"/>
      <c r="J199" s="16"/>
      <c r="K199" s="16"/>
      <c r="L199" s="16"/>
      <c r="M199" s="16"/>
      <c r="N199" s="16"/>
      <c r="O199" s="10"/>
      <c r="P199" s="16"/>
      <c r="Q199" s="16"/>
      <c r="R199" s="16"/>
      <c r="S199" s="10"/>
      <c r="T199" s="16"/>
      <c r="U199" s="16"/>
      <c r="V199" s="16"/>
      <c r="W199" s="16"/>
      <c r="X199" s="16"/>
      <c r="Y199" s="16"/>
      <c r="Z199" s="16"/>
      <c r="AA199" s="16"/>
      <c r="AB199" s="16"/>
      <c r="AC199" s="16"/>
      <c r="AD199" s="16"/>
    </row>
    <row r="200" ht="15.75" customHeight="1">
      <c r="A200" s="16"/>
      <c r="B200" s="16"/>
      <c r="C200" s="16"/>
      <c r="D200" s="16"/>
      <c r="E200" s="16"/>
      <c r="F200" s="16"/>
      <c r="G200" s="16"/>
      <c r="H200" s="16"/>
      <c r="I200" s="195"/>
      <c r="J200" s="16"/>
      <c r="K200" s="16"/>
      <c r="L200" s="16"/>
      <c r="M200" s="16"/>
      <c r="N200" s="16"/>
      <c r="O200" s="10"/>
      <c r="P200" s="16"/>
      <c r="Q200" s="16"/>
      <c r="R200" s="16"/>
      <c r="S200" s="10"/>
      <c r="T200" s="16"/>
      <c r="U200" s="16"/>
      <c r="V200" s="16"/>
      <c r="W200" s="16"/>
      <c r="X200" s="16"/>
      <c r="Y200" s="16"/>
      <c r="Z200" s="16"/>
      <c r="AA200" s="16"/>
      <c r="AB200" s="16"/>
      <c r="AC200" s="16"/>
      <c r="AD200" s="16"/>
    </row>
    <row r="201" ht="15.75" customHeight="1">
      <c r="A201" s="16"/>
      <c r="B201" s="16"/>
      <c r="C201" s="16"/>
      <c r="D201" s="16"/>
      <c r="E201" s="16"/>
      <c r="F201" s="16"/>
      <c r="G201" s="16"/>
      <c r="H201" s="16"/>
      <c r="I201" s="195"/>
      <c r="J201" s="16"/>
      <c r="K201" s="16"/>
      <c r="L201" s="16"/>
      <c r="M201" s="16"/>
      <c r="N201" s="16"/>
      <c r="O201" s="10"/>
      <c r="P201" s="16"/>
      <c r="Q201" s="16"/>
      <c r="R201" s="16"/>
      <c r="S201" s="10"/>
      <c r="T201" s="16"/>
      <c r="U201" s="16"/>
      <c r="V201" s="16"/>
      <c r="W201" s="16"/>
      <c r="X201" s="16"/>
      <c r="Y201" s="16"/>
      <c r="Z201" s="16"/>
      <c r="AA201" s="16"/>
      <c r="AB201" s="16"/>
      <c r="AC201" s="16"/>
      <c r="AD201" s="16"/>
    </row>
    <row r="202" ht="15.75" customHeight="1">
      <c r="A202" s="16"/>
      <c r="B202" s="16"/>
      <c r="C202" s="16"/>
      <c r="D202" s="16"/>
      <c r="E202" s="16"/>
      <c r="F202" s="16"/>
      <c r="G202" s="16"/>
      <c r="H202" s="16"/>
      <c r="I202" s="195"/>
      <c r="J202" s="16"/>
      <c r="K202" s="16"/>
      <c r="L202" s="16"/>
      <c r="M202" s="16"/>
      <c r="N202" s="16"/>
      <c r="O202" s="10"/>
      <c r="P202" s="16"/>
      <c r="Q202" s="16"/>
      <c r="R202" s="16"/>
      <c r="S202" s="10"/>
      <c r="T202" s="16"/>
      <c r="U202" s="16"/>
      <c r="V202" s="16"/>
      <c r="W202" s="16"/>
      <c r="X202" s="16"/>
      <c r="Y202" s="16"/>
      <c r="Z202" s="16"/>
      <c r="AA202" s="16"/>
      <c r="AB202" s="16"/>
      <c r="AC202" s="16"/>
      <c r="AD202" s="16"/>
    </row>
    <row r="203" ht="15.75" customHeight="1">
      <c r="A203" s="16"/>
      <c r="B203" s="16"/>
      <c r="C203" s="16"/>
      <c r="D203" s="16"/>
      <c r="E203" s="16"/>
      <c r="F203" s="16"/>
      <c r="G203" s="16"/>
      <c r="H203" s="16"/>
      <c r="I203" s="195"/>
      <c r="J203" s="16"/>
      <c r="K203" s="16"/>
      <c r="L203" s="16"/>
      <c r="M203" s="16"/>
      <c r="N203" s="16"/>
      <c r="O203" s="10"/>
      <c r="P203" s="16"/>
      <c r="Q203" s="16"/>
      <c r="R203" s="16"/>
      <c r="S203" s="10"/>
      <c r="T203" s="16"/>
      <c r="U203" s="16"/>
      <c r="V203" s="16"/>
      <c r="W203" s="16"/>
      <c r="X203" s="16"/>
      <c r="Y203" s="16"/>
      <c r="Z203" s="16"/>
      <c r="AA203" s="16"/>
      <c r="AB203" s="16"/>
      <c r="AC203" s="16"/>
      <c r="AD203" s="16"/>
    </row>
    <row r="204" ht="15.75" customHeight="1">
      <c r="A204" s="16"/>
      <c r="B204" s="16"/>
      <c r="C204" s="16"/>
      <c r="D204" s="16"/>
      <c r="E204" s="16"/>
      <c r="F204" s="16"/>
      <c r="G204" s="16"/>
      <c r="H204" s="16"/>
      <c r="I204" s="195"/>
      <c r="J204" s="16"/>
      <c r="K204" s="16"/>
      <c r="L204" s="16"/>
      <c r="M204" s="16"/>
      <c r="N204" s="16"/>
      <c r="O204" s="10"/>
      <c r="P204" s="16"/>
      <c r="Q204" s="16"/>
      <c r="R204" s="16"/>
      <c r="S204" s="10"/>
      <c r="T204" s="16"/>
      <c r="U204" s="16"/>
      <c r="V204" s="16"/>
      <c r="W204" s="16"/>
      <c r="X204" s="16"/>
      <c r="Y204" s="16"/>
      <c r="Z204" s="16"/>
      <c r="AA204" s="16"/>
      <c r="AB204" s="16"/>
      <c r="AC204" s="16"/>
      <c r="AD204" s="16"/>
    </row>
    <row r="205" ht="15.75" customHeight="1">
      <c r="A205" s="16"/>
      <c r="B205" s="16"/>
      <c r="C205" s="16"/>
      <c r="D205" s="16"/>
      <c r="E205" s="16"/>
      <c r="F205" s="16"/>
      <c r="G205" s="16"/>
      <c r="H205" s="16"/>
      <c r="I205" s="195"/>
      <c r="J205" s="16"/>
      <c r="K205" s="16"/>
      <c r="L205" s="16"/>
      <c r="M205" s="16"/>
      <c r="N205" s="16"/>
      <c r="O205" s="10"/>
      <c r="P205" s="16"/>
      <c r="Q205" s="16"/>
      <c r="R205" s="16"/>
      <c r="S205" s="10"/>
      <c r="T205" s="16"/>
      <c r="U205" s="16"/>
      <c r="V205" s="16"/>
      <c r="W205" s="16"/>
      <c r="X205" s="16"/>
      <c r="Y205" s="16"/>
      <c r="Z205" s="16"/>
      <c r="AA205" s="16"/>
      <c r="AB205" s="16"/>
      <c r="AC205" s="16"/>
      <c r="AD205" s="16"/>
    </row>
    <row r="206" ht="15.75" customHeight="1">
      <c r="A206" s="16"/>
      <c r="B206" s="16"/>
      <c r="C206" s="16"/>
      <c r="D206" s="16"/>
      <c r="E206" s="16"/>
      <c r="F206" s="16"/>
      <c r="G206" s="16"/>
      <c r="H206" s="16"/>
      <c r="I206" s="195"/>
      <c r="J206" s="16"/>
      <c r="K206" s="16"/>
      <c r="L206" s="16"/>
      <c r="M206" s="16"/>
      <c r="N206" s="16"/>
      <c r="O206" s="10"/>
      <c r="P206" s="16"/>
      <c r="Q206" s="16"/>
      <c r="R206" s="16"/>
      <c r="S206" s="10"/>
      <c r="T206" s="16"/>
      <c r="U206" s="16"/>
      <c r="V206" s="16"/>
      <c r="W206" s="16"/>
      <c r="X206" s="16"/>
      <c r="Y206" s="16"/>
      <c r="Z206" s="16"/>
      <c r="AA206" s="16"/>
      <c r="AB206" s="16"/>
      <c r="AC206" s="16"/>
      <c r="AD206" s="16"/>
    </row>
    <row r="207" ht="15.75" customHeight="1">
      <c r="A207" s="16"/>
      <c r="B207" s="16"/>
      <c r="C207" s="16"/>
      <c r="D207" s="16"/>
      <c r="E207" s="16"/>
      <c r="F207" s="16"/>
      <c r="G207" s="16"/>
      <c r="H207" s="16"/>
      <c r="I207" s="195"/>
      <c r="J207" s="16"/>
      <c r="K207" s="16"/>
      <c r="L207" s="16"/>
      <c r="M207" s="16"/>
      <c r="N207" s="16"/>
      <c r="O207" s="10"/>
      <c r="P207" s="16"/>
      <c r="Q207" s="16"/>
      <c r="R207" s="16"/>
      <c r="S207" s="10"/>
      <c r="T207" s="16"/>
      <c r="U207" s="16"/>
      <c r="V207" s="16"/>
      <c r="W207" s="16"/>
      <c r="X207" s="16"/>
      <c r="Y207" s="16"/>
      <c r="Z207" s="16"/>
      <c r="AA207" s="16"/>
      <c r="AB207" s="16"/>
      <c r="AC207" s="16"/>
      <c r="AD207" s="16"/>
    </row>
    <row r="208" ht="15.75" customHeight="1">
      <c r="A208" s="16"/>
      <c r="B208" s="16"/>
      <c r="C208" s="16"/>
      <c r="D208" s="16"/>
      <c r="E208" s="16"/>
      <c r="F208" s="16"/>
      <c r="G208" s="16"/>
      <c r="H208" s="16"/>
      <c r="I208" s="195"/>
      <c r="J208" s="16"/>
      <c r="K208" s="16"/>
      <c r="L208" s="16"/>
      <c r="M208" s="16"/>
      <c r="N208" s="16"/>
      <c r="O208" s="10"/>
      <c r="P208" s="16"/>
      <c r="Q208" s="16"/>
      <c r="R208" s="16"/>
      <c r="S208" s="10"/>
      <c r="T208" s="16"/>
      <c r="U208" s="16"/>
      <c r="V208" s="16"/>
      <c r="W208" s="16"/>
      <c r="X208" s="16"/>
      <c r="Y208" s="16"/>
      <c r="Z208" s="16"/>
      <c r="AA208" s="16"/>
      <c r="AB208" s="16"/>
      <c r="AC208" s="16"/>
      <c r="AD208" s="16"/>
    </row>
    <row r="209" ht="15.75" customHeight="1">
      <c r="A209" s="16"/>
      <c r="B209" s="16"/>
      <c r="C209" s="16"/>
      <c r="D209" s="16"/>
      <c r="E209" s="16"/>
      <c r="F209" s="16"/>
      <c r="G209" s="16"/>
      <c r="H209" s="16"/>
      <c r="I209" s="195"/>
      <c r="J209" s="16"/>
      <c r="K209" s="16"/>
      <c r="L209" s="16"/>
      <c r="M209" s="16"/>
      <c r="N209" s="16"/>
      <c r="O209" s="10"/>
      <c r="P209" s="16"/>
      <c r="Q209" s="16"/>
      <c r="R209" s="16"/>
      <c r="S209" s="10"/>
      <c r="T209" s="16"/>
      <c r="U209" s="16"/>
      <c r="V209" s="16"/>
      <c r="W209" s="16"/>
      <c r="X209" s="16"/>
      <c r="Y209" s="16"/>
      <c r="Z209" s="16"/>
      <c r="AA209" s="16"/>
      <c r="AB209" s="16"/>
      <c r="AC209" s="16"/>
      <c r="AD209" s="16"/>
    </row>
    <row r="210" ht="15.75" customHeight="1">
      <c r="A210" s="16"/>
      <c r="B210" s="16"/>
      <c r="C210" s="16"/>
      <c r="D210" s="16"/>
      <c r="E210" s="16"/>
      <c r="F210" s="16"/>
      <c r="G210" s="16"/>
      <c r="H210" s="16"/>
      <c r="I210" s="195"/>
      <c r="J210" s="16"/>
      <c r="K210" s="16"/>
      <c r="L210" s="16"/>
      <c r="M210" s="16"/>
      <c r="N210" s="16"/>
      <c r="O210" s="10"/>
      <c r="P210" s="16"/>
      <c r="Q210" s="16"/>
      <c r="R210" s="16"/>
      <c r="S210" s="10"/>
      <c r="T210" s="16"/>
      <c r="U210" s="16"/>
      <c r="V210" s="16"/>
      <c r="W210" s="16"/>
      <c r="X210" s="16"/>
      <c r="Y210" s="16"/>
      <c r="Z210" s="16"/>
      <c r="AA210" s="16"/>
      <c r="AB210" s="16"/>
      <c r="AC210" s="16"/>
      <c r="AD210" s="16"/>
    </row>
    <row r="211" ht="15.75" customHeight="1">
      <c r="A211" s="16"/>
      <c r="B211" s="16"/>
      <c r="C211" s="16"/>
      <c r="D211" s="16"/>
      <c r="E211" s="16"/>
      <c r="F211" s="16"/>
      <c r="G211" s="16"/>
      <c r="H211" s="16"/>
      <c r="I211" s="195"/>
      <c r="J211" s="16"/>
      <c r="K211" s="16"/>
      <c r="L211" s="16"/>
      <c r="M211" s="16"/>
      <c r="N211" s="16"/>
      <c r="O211" s="10"/>
      <c r="P211" s="16"/>
      <c r="Q211" s="16"/>
      <c r="R211" s="16"/>
      <c r="S211" s="10"/>
      <c r="T211" s="16"/>
      <c r="U211" s="16"/>
      <c r="V211" s="16"/>
      <c r="W211" s="16"/>
      <c r="X211" s="16"/>
      <c r="Y211" s="16"/>
      <c r="Z211" s="16"/>
      <c r="AA211" s="16"/>
      <c r="AB211" s="16"/>
      <c r="AC211" s="16"/>
      <c r="AD211" s="16"/>
    </row>
    <row r="212" ht="15.75" customHeight="1">
      <c r="A212" s="16"/>
      <c r="B212" s="16"/>
      <c r="C212" s="16"/>
      <c r="D212" s="16"/>
      <c r="E212" s="16"/>
      <c r="F212" s="16"/>
      <c r="G212" s="16"/>
      <c r="H212" s="16"/>
      <c r="I212" s="195"/>
      <c r="J212" s="16"/>
      <c r="K212" s="16"/>
      <c r="L212" s="16"/>
      <c r="M212" s="16"/>
      <c r="N212" s="16"/>
      <c r="O212" s="10"/>
      <c r="P212" s="16"/>
      <c r="Q212" s="16"/>
      <c r="R212" s="16"/>
      <c r="S212" s="10"/>
      <c r="T212" s="16"/>
      <c r="U212" s="16"/>
      <c r="V212" s="16"/>
      <c r="W212" s="16"/>
      <c r="X212" s="16"/>
      <c r="Y212" s="16"/>
      <c r="Z212" s="16"/>
      <c r="AA212" s="16"/>
      <c r="AB212" s="16"/>
      <c r="AC212" s="16"/>
      <c r="AD212" s="16"/>
    </row>
    <row r="213" ht="15.75" customHeight="1">
      <c r="A213" s="16"/>
      <c r="B213" s="16"/>
      <c r="C213" s="16"/>
      <c r="D213" s="16"/>
      <c r="E213" s="16"/>
      <c r="F213" s="16"/>
      <c r="G213" s="16"/>
      <c r="H213" s="16"/>
      <c r="I213" s="195"/>
      <c r="J213" s="16"/>
      <c r="K213" s="16"/>
      <c r="L213" s="16"/>
      <c r="M213" s="16"/>
      <c r="N213" s="16"/>
      <c r="O213" s="10"/>
      <c r="P213" s="16"/>
      <c r="Q213" s="16"/>
      <c r="R213" s="16"/>
      <c r="S213" s="10"/>
      <c r="T213" s="16"/>
      <c r="U213" s="16"/>
      <c r="V213" s="16"/>
      <c r="W213" s="16"/>
      <c r="X213" s="16"/>
      <c r="Y213" s="16"/>
      <c r="Z213" s="16"/>
      <c r="AA213" s="16"/>
      <c r="AB213" s="16"/>
      <c r="AC213" s="16"/>
      <c r="AD213" s="16"/>
    </row>
    <row r="214" ht="15.75" customHeight="1">
      <c r="A214" s="16"/>
      <c r="B214" s="16"/>
      <c r="C214" s="16"/>
      <c r="D214" s="16"/>
      <c r="E214" s="16"/>
      <c r="F214" s="16"/>
      <c r="G214" s="16"/>
      <c r="H214" s="16"/>
      <c r="I214" s="195"/>
      <c r="J214" s="16"/>
      <c r="K214" s="16"/>
      <c r="L214" s="16"/>
      <c r="M214" s="16"/>
      <c r="N214" s="16"/>
      <c r="O214" s="10"/>
      <c r="P214" s="16"/>
      <c r="Q214" s="16"/>
      <c r="R214" s="16"/>
      <c r="S214" s="10"/>
      <c r="T214" s="16"/>
      <c r="U214" s="16"/>
      <c r="V214" s="16"/>
      <c r="W214" s="16"/>
      <c r="X214" s="16"/>
      <c r="Y214" s="16"/>
      <c r="Z214" s="16"/>
      <c r="AA214" s="16"/>
      <c r="AB214" s="16"/>
      <c r="AC214" s="16"/>
      <c r="AD214" s="16"/>
    </row>
    <row r="215" ht="15.75" customHeight="1">
      <c r="A215" s="16"/>
      <c r="B215" s="16"/>
      <c r="C215" s="16"/>
      <c r="D215" s="16"/>
      <c r="E215" s="16"/>
      <c r="F215" s="16"/>
      <c r="G215" s="16"/>
      <c r="H215" s="16"/>
      <c r="I215" s="195"/>
      <c r="J215" s="16"/>
      <c r="K215" s="16"/>
      <c r="L215" s="16"/>
      <c r="M215" s="16"/>
      <c r="N215" s="16"/>
      <c r="O215" s="10"/>
      <c r="P215" s="16"/>
      <c r="Q215" s="16"/>
      <c r="R215" s="16"/>
      <c r="S215" s="10"/>
      <c r="T215" s="16"/>
      <c r="U215" s="16"/>
      <c r="V215" s="16"/>
      <c r="W215" s="16"/>
      <c r="X215" s="16"/>
      <c r="Y215" s="16"/>
      <c r="Z215" s="16"/>
      <c r="AA215" s="16"/>
      <c r="AB215" s="16"/>
      <c r="AC215" s="16"/>
      <c r="AD215" s="16"/>
    </row>
    <row r="216" ht="15.75" customHeight="1">
      <c r="A216" s="16"/>
      <c r="B216" s="16"/>
      <c r="C216" s="16"/>
      <c r="D216" s="16"/>
      <c r="E216" s="16"/>
      <c r="F216" s="16"/>
      <c r="G216" s="16"/>
      <c r="H216" s="16"/>
      <c r="I216" s="195"/>
      <c r="J216" s="16"/>
      <c r="K216" s="16"/>
      <c r="L216" s="16"/>
      <c r="M216" s="16"/>
      <c r="N216" s="16"/>
      <c r="O216" s="10"/>
      <c r="P216" s="16"/>
      <c r="Q216" s="16"/>
      <c r="R216" s="16"/>
      <c r="S216" s="10"/>
      <c r="T216" s="16"/>
      <c r="U216" s="16"/>
      <c r="V216" s="16"/>
      <c r="W216" s="16"/>
      <c r="X216" s="16"/>
      <c r="Y216" s="16"/>
      <c r="Z216" s="16"/>
      <c r="AA216" s="16"/>
      <c r="AB216" s="16"/>
      <c r="AC216" s="16"/>
      <c r="AD216" s="16"/>
    </row>
    <row r="217" ht="15.75" customHeight="1">
      <c r="A217" s="16"/>
      <c r="B217" s="16"/>
      <c r="C217" s="16"/>
      <c r="D217" s="16"/>
      <c r="E217" s="16"/>
      <c r="F217" s="16"/>
      <c r="G217" s="16"/>
      <c r="H217" s="16"/>
      <c r="I217" s="195"/>
      <c r="J217" s="16"/>
      <c r="K217" s="16"/>
      <c r="L217" s="16"/>
      <c r="M217" s="16"/>
      <c r="N217" s="16"/>
      <c r="O217" s="10"/>
      <c r="P217" s="16"/>
      <c r="Q217" s="16"/>
      <c r="R217" s="16"/>
      <c r="S217" s="10"/>
      <c r="T217" s="16"/>
      <c r="U217" s="16"/>
      <c r="V217" s="16"/>
      <c r="W217" s="16"/>
      <c r="X217" s="16"/>
      <c r="Y217" s="16"/>
      <c r="Z217" s="16"/>
      <c r="AA217" s="16"/>
      <c r="AB217" s="16"/>
      <c r="AC217" s="16"/>
      <c r="AD217" s="16"/>
    </row>
    <row r="218" ht="15.75" customHeight="1">
      <c r="A218" s="16"/>
      <c r="B218" s="16"/>
      <c r="C218" s="16"/>
      <c r="D218" s="16"/>
      <c r="E218" s="16"/>
      <c r="F218" s="16"/>
      <c r="G218" s="16"/>
      <c r="H218" s="16"/>
      <c r="I218" s="195"/>
      <c r="J218" s="16"/>
      <c r="K218" s="16"/>
      <c r="L218" s="16"/>
      <c r="M218" s="16"/>
      <c r="N218" s="16"/>
      <c r="O218" s="10"/>
      <c r="P218" s="16"/>
      <c r="Q218" s="16"/>
      <c r="R218" s="16"/>
      <c r="S218" s="10"/>
      <c r="T218" s="16"/>
      <c r="U218" s="16"/>
      <c r="V218" s="16"/>
      <c r="W218" s="16"/>
      <c r="X218" s="16"/>
      <c r="Y218" s="16"/>
      <c r="Z218" s="16"/>
      <c r="AA218" s="16"/>
      <c r="AB218" s="16"/>
      <c r="AC218" s="16"/>
      <c r="AD218" s="16"/>
    </row>
    <row r="219" ht="15.75" customHeight="1">
      <c r="A219" s="16"/>
      <c r="B219" s="16"/>
      <c r="C219" s="16"/>
      <c r="D219" s="16"/>
      <c r="E219" s="16"/>
      <c r="F219" s="16"/>
      <c r="G219" s="16"/>
      <c r="H219" s="16"/>
      <c r="I219" s="195"/>
      <c r="J219" s="16"/>
      <c r="K219" s="16"/>
      <c r="L219" s="16"/>
      <c r="M219" s="16"/>
      <c r="N219" s="16"/>
      <c r="O219" s="10"/>
      <c r="P219" s="16"/>
      <c r="Q219" s="16"/>
      <c r="R219" s="16"/>
      <c r="S219" s="10"/>
      <c r="T219" s="16"/>
      <c r="U219" s="16"/>
      <c r="V219" s="16"/>
      <c r="W219" s="16"/>
      <c r="X219" s="16"/>
      <c r="Y219" s="16"/>
      <c r="Z219" s="16"/>
      <c r="AA219" s="16"/>
      <c r="AB219" s="16"/>
      <c r="AC219" s="16"/>
      <c r="AD219" s="16"/>
    </row>
    <row r="220" ht="15.75" customHeight="1">
      <c r="A220" s="16"/>
      <c r="B220" s="16"/>
      <c r="C220" s="16"/>
      <c r="D220" s="16"/>
      <c r="E220" s="16"/>
      <c r="F220" s="16"/>
      <c r="G220" s="16"/>
      <c r="H220" s="16"/>
      <c r="I220" s="195"/>
      <c r="J220" s="16"/>
      <c r="K220" s="16"/>
      <c r="L220" s="16"/>
      <c r="M220" s="16"/>
      <c r="N220" s="16"/>
      <c r="O220" s="10"/>
      <c r="P220" s="16"/>
      <c r="Q220" s="16"/>
      <c r="R220" s="16"/>
      <c r="S220" s="10"/>
      <c r="T220" s="16"/>
      <c r="U220" s="16"/>
      <c r="V220" s="16"/>
      <c r="W220" s="16"/>
      <c r="X220" s="16"/>
      <c r="Y220" s="16"/>
      <c r="Z220" s="16"/>
      <c r="AA220" s="16"/>
      <c r="AB220" s="16"/>
      <c r="AC220" s="16"/>
      <c r="AD220" s="16"/>
    </row>
    <row r="221" ht="15.75" customHeight="1">
      <c r="A221" s="16"/>
      <c r="B221" s="16"/>
      <c r="C221" s="16"/>
      <c r="D221" s="16"/>
      <c r="E221" s="16"/>
      <c r="F221" s="16"/>
      <c r="G221" s="16"/>
      <c r="H221" s="16"/>
      <c r="I221" s="195"/>
      <c r="J221" s="16"/>
      <c r="K221" s="16"/>
      <c r="L221" s="16"/>
      <c r="M221" s="16"/>
      <c r="N221" s="16"/>
      <c r="O221" s="10"/>
      <c r="P221" s="16"/>
      <c r="Q221" s="16"/>
      <c r="R221" s="16"/>
      <c r="S221" s="10"/>
      <c r="T221" s="16"/>
      <c r="U221" s="16"/>
      <c r="V221" s="16"/>
      <c r="W221" s="16"/>
      <c r="X221" s="16"/>
      <c r="Y221" s="16"/>
      <c r="Z221" s="16"/>
      <c r="AA221" s="16"/>
      <c r="AB221" s="16"/>
      <c r="AC221" s="16"/>
      <c r="AD221" s="16"/>
    </row>
    <row r="222" ht="15.75" customHeight="1">
      <c r="A222" s="16"/>
      <c r="B222" s="16"/>
      <c r="C222" s="16"/>
      <c r="D222" s="16"/>
      <c r="E222" s="16"/>
      <c r="F222" s="16"/>
      <c r="G222" s="16"/>
      <c r="H222" s="16"/>
      <c r="I222" s="195"/>
      <c r="J222" s="16"/>
      <c r="K222" s="16"/>
      <c r="L222" s="16"/>
      <c r="M222" s="16"/>
      <c r="N222" s="16"/>
      <c r="O222" s="10"/>
      <c r="P222" s="16"/>
      <c r="Q222" s="16"/>
      <c r="R222" s="16"/>
      <c r="S222" s="10"/>
      <c r="T222" s="16"/>
      <c r="U222" s="16"/>
      <c r="V222" s="16"/>
      <c r="W222" s="16"/>
      <c r="X222" s="16"/>
      <c r="Y222" s="16"/>
      <c r="Z222" s="16"/>
      <c r="AA222" s="16"/>
      <c r="AB222" s="16"/>
      <c r="AC222" s="16"/>
      <c r="AD222" s="16"/>
    </row>
    <row r="223" ht="15.75" customHeight="1">
      <c r="A223" s="16"/>
      <c r="B223" s="16"/>
      <c r="C223" s="16"/>
      <c r="D223" s="16"/>
      <c r="E223" s="16"/>
      <c r="F223" s="16"/>
      <c r="G223" s="16"/>
      <c r="H223" s="16"/>
      <c r="I223" s="195"/>
      <c r="J223" s="16"/>
      <c r="K223" s="16"/>
      <c r="L223" s="16"/>
      <c r="M223" s="16"/>
      <c r="N223" s="16"/>
      <c r="O223" s="10"/>
      <c r="P223" s="16"/>
      <c r="Q223" s="16"/>
      <c r="R223" s="16"/>
      <c r="S223" s="10"/>
      <c r="T223" s="16"/>
      <c r="U223" s="16"/>
      <c r="V223" s="16"/>
      <c r="W223" s="16"/>
      <c r="X223" s="16"/>
      <c r="Y223" s="16"/>
      <c r="Z223" s="16"/>
      <c r="AA223" s="16"/>
      <c r="AB223" s="16"/>
      <c r="AC223" s="16"/>
      <c r="AD223" s="16"/>
    </row>
    <row r="224" ht="15.75" customHeight="1">
      <c r="A224" s="16"/>
      <c r="B224" s="16"/>
      <c r="C224" s="16"/>
      <c r="D224" s="16"/>
      <c r="E224" s="16"/>
      <c r="F224" s="16"/>
      <c r="G224" s="16"/>
      <c r="H224" s="16"/>
      <c r="I224" s="195"/>
      <c r="J224" s="16"/>
      <c r="K224" s="16"/>
      <c r="L224" s="16"/>
      <c r="M224" s="16"/>
      <c r="N224" s="16"/>
      <c r="O224" s="10"/>
      <c r="P224" s="16"/>
      <c r="Q224" s="16"/>
      <c r="R224" s="16"/>
      <c r="S224" s="10"/>
      <c r="T224" s="16"/>
      <c r="U224" s="16"/>
      <c r="V224" s="16"/>
      <c r="W224" s="16"/>
      <c r="X224" s="16"/>
      <c r="Y224" s="16"/>
      <c r="Z224" s="16"/>
      <c r="AA224" s="16"/>
      <c r="AB224" s="16"/>
      <c r="AC224" s="16"/>
      <c r="AD224" s="16"/>
    </row>
    <row r="225" ht="15.75" customHeight="1">
      <c r="A225" s="16"/>
      <c r="B225" s="16"/>
      <c r="C225" s="16"/>
      <c r="D225" s="16"/>
      <c r="E225" s="16"/>
      <c r="F225" s="16"/>
      <c r="G225" s="16"/>
      <c r="H225" s="16"/>
      <c r="I225" s="195"/>
      <c r="J225" s="16"/>
      <c r="K225" s="16"/>
      <c r="L225" s="16"/>
      <c r="M225" s="16"/>
      <c r="N225" s="16"/>
      <c r="O225" s="10"/>
      <c r="P225" s="16"/>
      <c r="Q225" s="16"/>
      <c r="R225" s="16"/>
      <c r="S225" s="10"/>
      <c r="T225" s="16"/>
      <c r="U225" s="16"/>
      <c r="V225" s="16"/>
      <c r="W225" s="16"/>
      <c r="X225" s="16"/>
      <c r="Y225" s="16"/>
      <c r="Z225" s="16"/>
      <c r="AA225" s="16"/>
      <c r="AB225" s="16"/>
      <c r="AC225" s="16"/>
      <c r="AD225" s="16"/>
    </row>
    <row r="226" ht="15.75" customHeight="1">
      <c r="A226" s="16"/>
      <c r="B226" s="16"/>
      <c r="C226" s="16"/>
      <c r="D226" s="16"/>
      <c r="E226" s="16"/>
      <c r="F226" s="16"/>
      <c r="G226" s="16"/>
      <c r="H226" s="16"/>
      <c r="I226" s="195"/>
      <c r="J226" s="16"/>
      <c r="K226" s="16"/>
      <c r="L226" s="16"/>
      <c r="M226" s="16"/>
      <c r="N226" s="16"/>
      <c r="O226" s="10"/>
      <c r="P226" s="16"/>
      <c r="Q226" s="16"/>
      <c r="R226" s="16"/>
      <c r="S226" s="10"/>
      <c r="T226" s="16"/>
      <c r="U226" s="16"/>
      <c r="V226" s="16"/>
      <c r="W226" s="16"/>
      <c r="X226" s="16"/>
      <c r="Y226" s="16"/>
      <c r="Z226" s="16"/>
      <c r="AA226" s="16"/>
      <c r="AB226" s="16"/>
      <c r="AC226" s="16"/>
      <c r="AD226" s="16"/>
    </row>
    <row r="227" ht="15.75" customHeight="1">
      <c r="A227" s="16"/>
      <c r="B227" s="16"/>
      <c r="C227" s="16"/>
      <c r="D227" s="16"/>
      <c r="E227" s="16"/>
      <c r="F227" s="16"/>
      <c r="G227" s="16"/>
      <c r="H227" s="16"/>
      <c r="I227" s="195"/>
      <c r="J227" s="16"/>
      <c r="K227" s="16"/>
      <c r="L227" s="16"/>
      <c r="M227" s="16"/>
      <c r="N227" s="16"/>
      <c r="O227" s="10"/>
      <c r="P227" s="16"/>
      <c r="Q227" s="16"/>
      <c r="R227" s="16"/>
      <c r="S227" s="10"/>
      <c r="T227" s="16"/>
      <c r="U227" s="16"/>
      <c r="V227" s="16"/>
      <c r="W227" s="16"/>
      <c r="X227" s="16"/>
      <c r="Y227" s="16"/>
      <c r="Z227" s="16"/>
      <c r="AA227" s="16"/>
      <c r="AB227" s="16"/>
      <c r="AC227" s="16"/>
      <c r="AD227" s="16"/>
    </row>
    <row r="228" ht="15.75" customHeight="1">
      <c r="A228" s="16"/>
      <c r="B228" s="16"/>
      <c r="C228" s="16"/>
      <c r="D228" s="16"/>
      <c r="E228" s="16"/>
      <c r="F228" s="16"/>
      <c r="G228" s="16"/>
      <c r="H228" s="16"/>
      <c r="I228" s="195"/>
      <c r="J228" s="16"/>
      <c r="K228" s="16"/>
      <c r="L228" s="16"/>
      <c r="M228" s="16"/>
      <c r="N228" s="16"/>
      <c r="O228" s="10"/>
      <c r="P228" s="16"/>
      <c r="Q228" s="16"/>
      <c r="R228" s="16"/>
      <c r="S228" s="10"/>
      <c r="T228" s="16"/>
      <c r="U228" s="16"/>
      <c r="V228" s="16"/>
      <c r="W228" s="16"/>
      <c r="X228" s="16"/>
      <c r="Y228" s="16"/>
      <c r="Z228" s="16"/>
      <c r="AA228" s="16"/>
      <c r="AB228" s="16"/>
      <c r="AC228" s="16"/>
      <c r="AD228" s="16"/>
    </row>
    <row r="229" ht="15.75" customHeight="1">
      <c r="A229" s="16"/>
      <c r="B229" s="16"/>
      <c r="C229" s="16"/>
      <c r="D229" s="16"/>
      <c r="E229" s="16"/>
      <c r="F229" s="16"/>
      <c r="G229" s="16"/>
      <c r="H229" s="16"/>
      <c r="I229" s="195"/>
      <c r="J229" s="16"/>
      <c r="K229" s="16"/>
      <c r="L229" s="16"/>
      <c r="M229" s="16"/>
      <c r="N229" s="16"/>
      <c r="O229" s="10"/>
      <c r="P229" s="16"/>
      <c r="Q229" s="16"/>
      <c r="R229" s="16"/>
      <c r="S229" s="10"/>
      <c r="T229" s="16"/>
      <c r="U229" s="16"/>
      <c r="V229" s="16"/>
      <c r="W229" s="16"/>
      <c r="X229" s="16"/>
      <c r="Y229" s="16"/>
      <c r="Z229" s="16"/>
      <c r="AA229" s="16"/>
      <c r="AB229" s="16"/>
      <c r="AC229" s="16"/>
      <c r="AD229" s="16"/>
    </row>
    <row r="230" ht="15.75" customHeight="1">
      <c r="A230" s="16"/>
      <c r="B230" s="16"/>
      <c r="C230" s="16"/>
      <c r="D230" s="16"/>
      <c r="E230" s="16"/>
      <c r="F230" s="16"/>
      <c r="G230" s="16"/>
      <c r="H230" s="16"/>
      <c r="I230" s="195"/>
      <c r="J230" s="16"/>
      <c r="K230" s="16"/>
      <c r="L230" s="16"/>
      <c r="M230" s="16"/>
      <c r="N230" s="16"/>
      <c r="O230" s="10"/>
      <c r="P230" s="16"/>
      <c r="Q230" s="16"/>
      <c r="R230" s="16"/>
      <c r="S230" s="10"/>
      <c r="T230" s="16"/>
      <c r="U230" s="16"/>
      <c r="V230" s="16"/>
      <c r="W230" s="16"/>
      <c r="X230" s="16"/>
      <c r="Y230" s="16"/>
      <c r="Z230" s="16"/>
      <c r="AA230" s="16"/>
      <c r="AB230" s="16"/>
      <c r="AC230" s="16"/>
      <c r="AD230" s="16"/>
    </row>
    <row r="231" ht="15.75" customHeight="1">
      <c r="A231" s="16"/>
      <c r="B231" s="16"/>
      <c r="C231" s="16"/>
      <c r="D231" s="16"/>
      <c r="E231" s="16"/>
      <c r="F231" s="16"/>
      <c r="G231" s="16"/>
      <c r="H231" s="16"/>
      <c r="I231" s="195"/>
      <c r="J231" s="16"/>
      <c r="K231" s="16"/>
      <c r="L231" s="16"/>
      <c r="M231" s="16"/>
      <c r="N231" s="16"/>
      <c r="O231" s="10"/>
      <c r="P231" s="16"/>
      <c r="Q231" s="16"/>
      <c r="R231" s="16"/>
      <c r="S231" s="10"/>
      <c r="T231" s="16"/>
      <c r="U231" s="16"/>
      <c r="V231" s="16"/>
      <c r="W231" s="16"/>
      <c r="X231" s="16"/>
      <c r="Y231" s="16"/>
      <c r="Z231" s="16"/>
      <c r="AA231" s="16"/>
      <c r="AB231" s="16"/>
      <c r="AC231" s="16"/>
      <c r="AD231" s="16"/>
    </row>
    <row r="232" ht="15.75" customHeight="1">
      <c r="A232" s="16"/>
      <c r="B232" s="16"/>
      <c r="C232" s="16"/>
      <c r="D232" s="16"/>
      <c r="E232" s="16"/>
      <c r="F232" s="16"/>
      <c r="G232" s="16"/>
      <c r="H232" s="16"/>
      <c r="I232" s="195"/>
      <c r="J232" s="16"/>
      <c r="K232" s="16"/>
      <c r="L232" s="16"/>
      <c r="M232" s="16"/>
      <c r="N232" s="16"/>
      <c r="O232" s="10"/>
      <c r="P232" s="16"/>
      <c r="Q232" s="16"/>
      <c r="R232" s="16"/>
      <c r="S232" s="10"/>
      <c r="T232" s="16"/>
      <c r="U232" s="16"/>
      <c r="V232" s="16"/>
      <c r="W232" s="16"/>
      <c r="X232" s="16"/>
      <c r="Y232" s="16"/>
      <c r="Z232" s="16"/>
      <c r="AA232" s="16"/>
      <c r="AB232" s="16"/>
      <c r="AC232" s="16"/>
      <c r="AD232" s="16"/>
    </row>
    <row r="233" ht="15.75" customHeight="1">
      <c r="A233" s="16"/>
      <c r="B233" s="16"/>
      <c r="C233" s="16"/>
      <c r="D233" s="16"/>
      <c r="E233" s="16"/>
      <c r="F233" s="16"/>
      <c r="G233" s="16"/>
      <c r="H233" s="16"/>
      <c r="I233" s="195"/>
      <c r="J233" s="16"/>
      <c r="K233" s="16"/>
      <c r="L233" s="16"/>
      <c r="M233" s="16"/>
      <c r="N233" s="16"/>
      <c r="O233" s="10"/>
      <c r="P233" s="16"/>
      <c r="Q233" s="16"/>
      <c r="R233" s="16"/>
      <c r="S233" s="10"/>
      <c r="T233" s="16"/>
      <c r="U233" s="16"/>
      <c r="V233" s="16"/>
      <c r="W233" s="16"/>
      <c r="X233" s="16"/>
      <c r="Y233" s="16"/>
      <c r="Z233" s="16"/>
      <c r="AA233" s="16"/>
      <c r="AB233" s="16"/>
      <c r="AC233" s="16"/>
      <c r="AD233" s="16"/>
    </row>
    <row r="234" ht="15.75" customHeight="1">
      <c r="A234" s="16"/>
      <c r="B234" s="16"/>
      <c r="C234" s="16"/>
      <c r="D234" s="16"/>
      <c r="E234" s="16"/>
      <c r="F234" s="16"/>
      <c r="G234" s="16"/>
      <c r="H234" s="16"/>
      <c r="I234" s="195"/>
      <c r="J234" s="16"/>
      <c r="K234" s="16"/>
      <c r="L234" s="16"/>
      <c r="M234" s="16"/>
      <c r="N234" s="16"/>
      <c r="O234" s="10"/>
      <c r="P234" s="16"/>
      <c r="Q234" s="16"/>
      <c r="R234" s="16"/>
      <c r="S234" s="10"/>
      <c r="T234" s="16"/>
      <c r="U234" s="16"/>
      <c r="V234" s="16"/>
      <c r="W234" s="16"/>
      <c r="X234" s="16"/>
      <c r="Y234" s="16"/>
      <c r="Z234" s="16"/>
      <c r="AA234" s="16"/>
      <c r="AB234" s="16"/>
      <c r="AC234" s="16"/>
      <c r="AD234" s="16"/>
    </row>
    <row r="235" ht="15.75" customHeight="1">
      <c r="A235" s="16"/>
      <c r="B235" s="16"/>
      <c r="C235" s="16"/>
      <c r="D235" s="16"/>
      <c r="E235" s="16"/>
      <c r="F235" s="16"/>
      <c r="G235" s="16"/>
      <c r="H235" s="16"/>
      <c r="I235" s="195"/>
      <c r="J235" s="16"/>
      <c r="K235" s="16"/>
      <c r="L235" s="16"/>
      <c r="M235" s="16"/>
      <c r="N235" s="16"/>
      <c r="O235" s="10"/>
      <c r="P235" s="16"/>
      <c r="Q235" s="16"/>
      <c r="R235" s="16"/>
      <c r="S235" s="10"/>
      <c r="T235" s="16"/>
      <c r="U235" s="16"/>
      <c r="V235" s="16"/>
      <c r="W235" s="16"/>
      <c r="X235" s="16"/>
      <c r="Y235" s="16"/>
      <c r="Z235" s="16"/>
      <c r="AA235" s="16"/>
      <c r="AB235" s="16"/>
      <c r="AC235" s="16"/>
      <c r="AD235" s="16"/>
    </row>
    <row r="236" ht="15.75" customHeight="1">
      <c r="A236" s="16"/>
      <c r="B236" s="16"/>
      <c r="C236" s="16"/>
      <c r="D236" s="16"/>
      <c r="E236" s="16"/>
      <c r="F236" s="16"/>
      <c r="G236" s="16"/>
      <c r="H236" s="16"/>
      <c r="I236" s="195"/>
      <c r="J236" s="16"/>
      <c r="K236" s="16"/>
      <c r="L236" s="16"/>
      <c r="M236" s="16"/>
      <c r="N236" s="16"/>
      <c r="O236" s="10"/>
      <c r="P236" s="16"/>
      <c r="Q236" s="16"/>
      <c r="R236" s="16"/>
      <c r="S236" s="10"/>
      <c r="T236" s="16"/>
      <c r="U236" s="16"/>
      <c r="V236" s="16"/>
      <c r="W236" s="16"/>
      <c r="X236" s="16"/>
      <c r="Y236" s="16"/>
      <c r="Z236" s="16"/>
      <c r="AA236" s="16"/>
      <c r="AB236" s="16"/>
      <c r="AC236" s="16"/>
      <c r="AD236" s="16"/>
    </row>
    <row r="237" ht="15.75" customHeight="1">
      <c r="A237" s="16"/>
      <c r="B237" s="16"/>
      <c r="C237" s="16"/>
      <c r="D237" s="16"/>
      <c r="E237" s="16"/>
      <c r="F237" s="16"/>
      <c r="G237" s="16"/>
      <c r="H237" s="16"/>
      <c r="I237" s="195"/>
      <c r="J237" s="16"/>
      <c r="K237" s="16"/>
      <c r="L237" s="16"/>
      <c r="M237" s="16"/>
      <c r="N237" s="16"/>
      <c r="O237" s="10"/>
      <c r="P237" s="16"/>
      <c r="Q237" s="16"/>
      <c r="R237" s="16"/>
      <c r="S237" s="10"/>
      <c r="T237" s="16"/>
      <c r="U237" s="16"/>
      <c r="V237" s="16"/>
      <c r="W237" s="16"/>
      <c r="X237" s="16"/>
      <c r="Y237" s="16"/>
      <c r="Z237" s="16"/>
      <c r="AA237" s="16"/>
      <c r="AB237" s="16"/>
      <c r="AC237" s="16"/>
      <c r="AD237" s="16"/>
    </row>
    <row r="238" ht="15.75" customHeight="1">
      <c r="A238" s="16"/>
      <c r="B238" s="16"/>
      <c r="C238" s="16"/>
      <c r="D238" s="16"/>
      <c r="E238" s="16"/>
      <c r="F238" s="16"/>
      <c r="G238" s="16"/>
      <c r="H238" s="16"/>
      <c r="I238" s="195"/>
      <c r="J238" s="16"/>
      <c r="K238" s="16"/>
      <c r="L238" s="16"/>
      <c r="M238" s="16"/>
      <c r="N238" s="16"/>
      <c r="O238" s="10"/>
      <c r="P238" s="16"/>
      <c r="Q238" s="16"/>
      <c r="R238" s="16"/>
      <c r="S238" s="10"/>
      <c r="T238" s="16"/>
      <c r="U238" s="16"/>
      <c r="V238" s="16"/>
      <c r="W238" s="16"/>
      <c r="X238" s="16"/>
      <c r="Y238" s="16"/>
      <c r="Z238" s="16"/>
      <c r="AA238" s="16"/>
      <c r="AB238" s="16"/>
      <c r="AC238" s="16"/>
      <c r="AD238" s="16"/>
    </row>
    <row r="239" ht="15.75" customHeight="1">
      <c r="A239" s="16"/>
      <c r="B239" s="16"/>
      <c r="C239" s="16"/>
      <c r="D239" s="16"/>
      <c r="E239" s="16"/>
      <c r="F239" s="16"/>
      <c r="G239" s="16"/>
      <c r="H239" s="16"/>
      <c r="I239" s="195"/>
      <c r="J239" s="16"/>
      <c r="K239" s="16"/>
      <c r="L239" s="16"/>
      <c r="M239" s="16"/>
      <c r="N239" s="16"/>
      <c r="O239" s="10"/>
      <c r="P239" s="16"/>
      <c r="Q239" s="16"/>
      <c r="R239" s="16"/>
      <c r="S239" s="10"/>
      <c r="T239" s="16"/>
      <c r="U239" s="16"/>
      <c r="V239" s="16"/>
      <c r="W239" s="16"/>
      <c r="X239" s="16"/>
      <c r="Y239" s="16"/>
      <c r="Z239" s="16"/>
      <c r="AA239" s="16"/>
      <c r="AB239" s="16"/>
      <c r="AC239" s="16"/>
      <c r="AD239" s="16"/>
    </row>
    <row r="240" ht="15.75" customHeight="1">
      <c r="A240" s="16"/>
      <c r="B240" s="16"/>
      <c r="C240" s="16"/>
      <c r="D240" s="16"/>
      <c r="E240" s="16"/>
      <c r="F240" s="16"/>
      <c r="G240" s="16"/>
      <c r="H240" s="16"/>
      <c r="I240" s="195"/>
      <c r="J240" s="16"/>
      <c r="K240" s="16"/>
      <c r="L240" s="16"/>
      <c r="M240" s="16"/>
      <c r="N240" s="16"/>
      <c r="O240" s="10"/>
      <c r="P240" s="16"/>
      <c r="Q240" s="16"/>
      <c r="R240" s="16"/>
      <c r="S240" s="10"/>
      <c r="T240" s="16"/>
      <c r="U240" s="16"/>
      <c r="V240" s="16"/>
      <c r="W240" s="16"/>
      <c r="X240" s="16"/>
      <c r="Y240" s="16"/>
      <c r="Z240" s="16"/>
      <c r="AA240" s="16"/>
      <c r="AB240" s="16"/>
      <c r="AC240" s="16"/>
      <c r="AD240" s="16"/>
    </row>
    <row r="241" ht="15.75" customHeight="1">
      <c r="A241" s="16"/>
      <c r="B241" s="16"/>
      <c r="C241" s="16"/>
      <c r="D241" s="16"/>
      <c r="E241" s="16"/>
      <c r="F241" s="16"/>
      <c r="G241" s="16"/>
      <c r="H241" s="16"/>
      <c r="I241" s="195"/>
      <c r="J241" s="16"/>
      <c r="K241" s="16"/>
      <c r="L241" s="16"/>
      <c r="M241" s="16"/>
      <c r="N241" s="16"/>
      <c r="O241" s="10"/>
      <c r="P241" s="16"/>
      <c r="Q241" s="16"/>
      <c r="R241" s="16"/>
      <c r="S241" s="10"/>
      <c r="T241" s="16"/>
      <c r="U241" s="16"/>
      <c r="V241" s="16"/>
      <c r="W241" s="16"/>
      <c r="X241" s="16"/>
      <c r="Y241" s="16"/>
      <c r="Z241" s="16"/>
      <c r="AA241" s="16"/>
      <c r="AB241" s="16"/>
      <c r="AC241" s="16"/>
      <c r="AD241" s="16"/>
    </row>
    <row r="242" ht="15.75" customHeight="1">
      <c r="A242" s="16"/>
      <c r="B242" s="16"/>
      <c r="C242" s="16"/>
      <c r="D242" s="16"/>
      <c r="E242" s="16"/>
      <c r="F242" s="16"/>
      <c r="G242" s="16"/>
      <c r="H242" s="16"/>
      <c r="I242" s="195"/>
      <c r="J242" s="16"/>
      <c r="K242" s="16"/>
      <c r="L242" s="16"/>
      <c r="M242" s="16"/>
      <c r="N242" s="16"/>
      <c r="O242" s="10"/>
      <c r="P242" s="16"/>
      <c r="Q242" s="16"/>
      <c r="R242" s="16"/>
      <c r="S242" s="10"/>
      <c r="T242" s="16"/>
      <c r="U242" s="16"/>
      <c r="V242" s="16"/>
      <c r="W242" s="16"/>
      <c r="X242" s="16"/>
      <c r="Y242" s="16"/>
      <c r="Z242" s="16"/>
      <c r="AA242" s="16"/>
      <c r="AB242" s="16"/>
      <c r="AC242" s="16"/>
      <c r="AD242" s="16"/>
    </row>
    <row r="243" ht="15.75" customHeight="1">
      <c r="A243" s="16"/>
      <c r="B243" s="16"/>
      <c r="C243" s="16"/>
      <c r="D243" s="16"/>
      <c r="E243" s="16"/>
      <c r="F243" s="16"/>
      <c r="G243" s="16"/>
      <c r="H243" s="16"/>
      <c r="I243" s="195"/>
      <c r="J243" s="16"/>
      <c r="K243" s="16"/>
      <c r="L243" s="16"/>
      <c r="M243" s="16"/>
      <c r="N243" s="16"/>
      <c r="O243" s="10"/>
      <c r="P243" s="16"/>
      <c r="Q243" s="16"/>
      <c r="R243" s="16"/>
      <c r="S243" s="10"/>
      <c r="T243" s="16"/>
      <c r="U243" s="16"/>
      <c r="V243" s="16"/>
      <c r="W243" s="16"/>
      <c r="X243" s="16"/>
      <c r="Y243" s="16"/>
      <c r="Z243" s="16"/>
      <c r="AA243" s="16"/>
      <c r="AB243" s="16"/>
      <c r="AC243" s="16"/>
      <c r="AD243" s="16"/>
    </row>
    <row r="244" ht="15.75" customHeight="1">
      <c r="A244" s="16"/>
      <c r="B244" s="16"/>
      <c r="C244" s="16"/>
      <c r="D244" s="16"/>
      <c r="E244" s="16"/>
      <c r="F244" s="16"/>
      <c r="G244" s="16"/>
      <c r="H244" s="16"/>
      <c r="I244" s="195"/>
      <c r="J244" s="16"/>
      <c r="K244" s="16"/>
      <c r="L244" s="16"/>
      <c r="M244" s="16"/>
      <c r="N244" s="16"/>
      <c r="O244" s="10"/>
      <c r="P244" s="16"/>
      <c r="Q244" s="16"/>
      <c r="R244" s="16"/>
      <c r="S244" s="10"/>
      <c r="T244" s="16"/>
      <c r="U244" s="16"/>
      <c r="V244" s="16"/>
      <c r="W244" s="16"/>
      <c r="X244" s="16"/>
      <c r="Y244" s="16"/>
      <c r="Z244" s="16"/>
      <c r="AA244" s="16"/>
      <c r="AB244" s="16"/>
      <c r="AC244" s="16"/>
      <c r="AD244" s="16"/>
    </row>
    <row r="245" ht="15.75" customHeight="1">
      <c r="A245" s="16"/>
      <c r="B245" s="16"/>
      <c r="C245" s="16"/>
      <c r="D245" s="16"/>
      <c r="E245" s="16"/>
      <c r="F245" s="16"/>
      <c r="G245" s="16"/>
      <c r="H245" s="16"/>
      <c r="I245" s="195"/>
      <c r="J245" s="16"/>
      <c r="K245" s="16"/>
      <c r="L245" s="16"/>
      <c r="M245" s="16"/>
      <c r="N245" s="16"/>
      <c r="O245" s="10"/>
      <c r="P245" s="16"/>
      <c r="Q245" s="16"/>
      <c r="R245" s="16"/>
      <c r="S245" s="10"/>
      <c r="T245" s="16"/>
      <c r="U245" s="16"/>
      <c r="V245" s="16"/>
      <c r="W245" s="16"/>
      <c r="X245" s="16"/>
      <c r="Y245" s="16"/>
      <c r="Z245" s="16"/>
      <c r="AA245" s="16"/>
      <c r="AB245" s="16"/>
      <c r="AC245" s="16"/>
      <c r="AD245" s="16"/>
    </row>
    <row r="246" ht="15.75" customHeight="1">
      <c r="A246" s="16"/>
      <c r="B246" s="16"/>
      <c r="C246" s="16"/>
      <c r="D246" s="16"/>
      <c r="E246" s="16"/>
      <c r="F246" s="16"/>
      <c r="G246" s="16"/>
      <c r="H246" s="16"/>
      <c r="I246" s="195"/>
      <c r="J246" s="16"/>
      <c r="K246" s="16"/>
      <c r="L246" s="16"/>
      <c r="M246" s="16"/>
      <c r="N246" s="16"/>
      <c r="O246" s="10"/>
      <c r="P246" s="16"/>
      <c r="Q246" s="16"/>
      <c r="R246" s="16"/>
      <c r="S246" s="10"/>
      <c r="T246" s="16"/>
      <c r="U246" s="16"/>
      <c r="V246" s="16"/>
      <c r="W246" s="16"/>
      <c r="X246" s="16"/>
      <c r="Y246" s="16"/>
      <c r="Z246" s="16"/>
      <c r="AA246" s="16"/>
      <c r="AB246" s="16"/>
      <c r="AC246" s="16"/>
      <c r="AD246" s="16"/>
    </row>
    <row r="247" ht="15.75" customHeight="1">
      <c r="A247" s="16"/>
      <c r="B247" s="16"/>
      <c r="C247" s="16"/>
      <c r="D247" s="16"/>
      <c r="E247" s="16"/>
      <c r="F247" s="16"/>
      <c r="G247" s="16"/>
      <c r="H247" s="16"/>
      <c r="I247" s="195"/>
      <c r="J247" s="16"/>
      <c r="K247" s="16"/>
      <c r="L247" s="16"/>
      <c r="M247" s="16"/>
      <c r="N247" s="16"/>
      <c r="O247" s="10"/>
      <c r="P247" s="16"/>
      <c r="Q247" s="16"/>
      <c r="R247" s="16"/>
      <c r="S247" s="10"/>
      <c r="T247" s="16"/>
      <c r="U247" s="16"/>
      <c r="V247" s="16"/>
      <c r="W247" s="16"/>
      <c r="X247" s="16"/>
      <c r="Y247" s="16"/>
      <c r="Z247" s="16"/>
      <c r="AA247" s="16"/>
      <c r="AB247" s="16"/>
      <c r="AC247" s="16"/>
      <c r="AD247" s="16"/>
    </row>
    <row r="248" ht="15.75" customHeight="1">
      <c r="A248" s="16"/>
      <c r="B248" s="16"/>
      <c r="C248" s="16"/>
      <c r="D248" s="16"/>
      <c r="E248" s="16"/>
      <c r="F248" s="16"/>
      <c r="G248" s="16"/>
      <c r="H248" s="16"/>
      <c r="I248" s="195"/>
      <c r="J248" s="16"/>
      <c r="K248" s="16"/>
      <c r="L248" s="16"/>
      <c r="M248" s="16"/>
      <c r="N248" s="16"/>
      <c r="O248" s="10"/>
      <c r="P248" s="16"/>
      <c r="Q248" s="16"/>
      <c r="R248" s="16"/>
      <c r="S248" s="10"/>
      <c r="T248" s="16"/>
      <c r="U248" s="16"/>
      <c r="V248" s="16"/>
      <c r="W248" s="16"/>
      <c r="X248" s="16"/>
      <c r="Y248" s="16"/>
      <c r="Z248" s="16"/>
      <c r="AA248" s="16"/>
      <c r="AB248" s="16"/>
      <c r="AC248" s="16"/>
      <c r="AD248" s="16"/>
    </row>
    <row r="249" ht="15.75" customHeight="1">
      <c r="A249" s="16"/>
      <c r="B249" s="16"/>
      <c r="C249" s="16"/>
      <c r="D249" s="16"/>
      <c r="E249" s="16"/>
      <c r="F249" s="16"/>
      <c r="G249" s="16"/>
      <c r="H249" s="16"/>
      <c r="I249" s="195"/>
      <c r="J249" s="16"/>
      <c r="K249" s="16"/>
      <c r="L249" s="16"/>
      <c r="M249" s="16"/>
      <c r="N249" s="16"/>
      <c r="O249" s="10"/>
      <c r="P249" s="16"/>
      <c r="Q249" s="16"/>
      <c r="R249" s="16"/>
      <c r="S249" s="10"/>
      <c r="T249" s="16"/>
      <c r="U249" s="16"/>
      <c r="V249" s="16"/>
      <c r="W249" s="16"/>
      <c r="X249" s="16"/>
      <c r="Y249" s="16"/>
      <c r="Z249" s="16"/>
      <c r="AA249" s="16"/>
      <c r="AB249" s="16"/>
      <c r="AC249" s="16"/>
      <c r="AD249" s="16"/>
    </row>
    <row r="250" ht="15.75" customHeight="1">
      <c r="A250" s="16"/>
      <c r="B250" s="16"/>
      <c r="C250" s="16"/>
      <c r="D250" s="16"/>
      <c r="E250" s="16"/>
      <c r="F250" s="16"/>
      <c r="G250" s="16"/>
      <c r="H250" s="16"/>
      <c r="I250" s="195"/>
      <c r="J250" s="16"/>
      <c r="K250" s="16"/>
      <c r="L250" s="16"/>
      <c r="M250" s="16"/>
      <c r="N250" s="16"/>
      <c r="O250" s="10"/>
      <c r="P250" s="16"/>
      <c r="Q250" s="16"/>
      <c r="R250" s="16"/>
      <c r="S250" s="10"/>
      <c r="T250" s="16"/>
      <c r="U250" s="16"/>
      <c r="V250" s="16"/>
      <c r="W250" s="16"/>
      <c r="X250" s="16"/>
      <c r="Y250" s="16"/>
      <c r="Z250" s="16"/>
      <c r="AA250" s="16"/>
      <c r="AB250" s="16"/>
      <c r="AC250" s="16"/>
      <c r="AD250" s="16"/>
    </row>
    <row r="251" ht="15.75" customHeight="1">
      <c r="A251" s="16"/>
      <c r="B251" s="16"/>
      <c r="C251" s="16"/>
      <c r="D251" s="16"/>
      <c r="E251" s="16"/>
      <c r="F251" s="16"/>
      <c r="G251" s="16"/>
      <c r="H251" s="16"/>
      <c r="I251" s="195"/>
      <c r="J251" s="16"/>
      <c r="K251" s="16"/>
      <c r="L251" s="16"/>
      <c r="M251" s="16"/>
      <c r="N251" s="16"/>
      <c r="O251" s="10"/>
      <c r="P251" s="16"/>
      <c r="Q251" s="16"/>
      <c r="R251" s="16"/>
      <c r="S251" s="10"/>
      <c r="T251" s="16"/>
      <c r="U251" s="16"/>
      <c r="V251" s="16"/>
      <c r="W251" s="16"/>
      <c r="X251" s="16"/>
      <c r="Y251" s="16"/>
      <c r="Z251" s="16"/>
      <c r="AA251" s="16"/>
      <c r="AB251" s="16"/>
      <c r="AC251" s="16"/>
      <c r="AD251" s="16"/>
    </row>
    <row r="252" ht="15.75" customHeight="1">
      <c r="A252" s="16"/>
      <c r="B252" s="16"/>
      <c r="C252" s="16"/>
      <c r="D252" s="16"/>
      <c r="E252" s="16"/>
      <c r="F252" s="16"/>
      <c r="G252" s="16"/>
      <c r="H252" s="16"/>
      <c r="I252" s="195"/>
      <c r="J252" s="16"/>
      <c r="K252" s="16"/>
      <c r="L252" s="16"/>
      <c r="M252" s="16"/>
      <c r="N252" s="16"/>
      <c r="O252" s="10"/>
      <c r="P252" s="16"/>
      <c r="Q252" s="16"/>
      <c r="R252" s="16"/>
      <c r="S252" s="10"/>
      <c r="T252" s="16"/>
      <c r="U252" s="16"/>
      <c r="V252" s="16"/>
      <c r="W252" s="16"/>
      <c r="X252" s="16"/>
      <c r="Y252" s="16"/>
      <c r="Z252" s="16"/>
      <c r="AA252" s="16"/>
      <c r="AB252" s="16"/>
      <c r="AC252" s="16"/>
      <c r="AD252" s="16"/>
    </row>
    <row r="253" ht="15.75" customHeight="1">
      <c r="A253" s="16"/>
      <c r="B253" s="16"/>
      <c r="C253" s="16"/>
      <c r="D253" s="16"/>
      <c r="E253" s="16"/>
      <c r="F253" s="16"/>
      <c r="G253" s="16"/>
      <c r="H253" s="16"/>
      <c r="I253" s="195"/>
      <c r="J253" s="16"/>
      <c r="K253" s="16"/>
      <c r="L253" s="16"/>
      <c r="M253" s="16"/>
      <c r="N253" s="16"/>
      <c r="O253" s="10"/>
      <c r="P253" s="16"/>
      <c r="Q253" s="16"/>
      <c r="R253" s="16"/>
      <c r="S253" s="10"/>
      <c r="T253" s="16"/>
      <c r="U253" s="16"/>
      <c r="V253" s="16"/>
      <c r="W253" s="16"/>
      <c r="X253" s="16"/>
      <c r="Y253" s="16"/>
      <c r="Z253" s="16"/>
      <c r="AA253" s="16"/>
      <c r="AB253" s="16"/>
      <c r="AC253" s="16"/>
      <c r="AD253" s="16"/>
    </row>
    <row r="254" ht="15.75" customHeight="1">
      <c r="A254" s="16"/>
      <c r="B254" s="16"/>
      <c r="C254" s="16"/>
      <c r="D254" s="16"/>
      <c r="E254" s="16"/>
      <c r="F254" s="16"/>
      <c r="G254" s="16"/>
      <c r="H254" s="16"/>
      <c r="I254" s="195"/>
      <c r="J254" s="16"/>
      <c r="K254" s="16"/>
      <c r="L254" s="16"/>
      <c r="M254" s="16"/>
      <c r="N254" s="16"/>
      <c r="O254" s="10"/>
      <c r="P254" s="16"/>
      <c r="Q254" s="16"/>
      <c r="R254" s="16"/>
      <c r="S254" s="10"/>
      <c r="T254" s="16"/>
      <c r="U254" s="16"/>
      <c r="V254" s="16"/>
      <c r="W254" s="16"/>
      <c r="X254" s="16"/>
      <c r="Y254" s="16"/>
      <c r="Z254" s="16"/>
      <c r="AA254" s="16"/>
      <c r="AB254" s="16"/>
      <c r="AC254" s="16"/>
      <c r="AD254" s="16"/>
    </row>
    <row r="255" ht="15.75" customHeight="1">
      <c r="A255" s="16"/>
      <c r="B255" s="16"/>
      <c r="C255" s="16"/>
      <c r="D255" s="16"/>
      <c r="E255" s="16"/>
      <c r="F255" s="16"/>
      <c r="G255" s="16"/>
      <c r="H255" s="16"/>
      <c r="I255" s="195"/>
      <c r="J255" s="16"/>
      <c r="K255" s="16"/>
      <c r="L255" s="16"/>
      <c r="M255" s="16"/>
      <c r="N255" s="16"/>
      <c r="O255" s="10"/>
      <c r="P255" s="16"/>
      <c r="Q255" s="16"/>
      <c r="R255" s="16"/>
      <c r="S255" s="10"/>
      <c r="T255" s="16"/>
      <c r="U255" s="16"/>
      <c r="V255" s="16"/>
      <c r="W255" s="16"/>
      <c r="X255" s="16"/>
      <c r="Y255" s="16"/>
      <c r="Z255" s="16"/>
      <c r="AA255" s="16"/>
      <c r="AB255" s="16"/>
      <c r="AC255" s="16"/>
      <c r="AD255" s="16"/>
    </row>
    <row r="256" ht="15.75" customHeight="1">
      <c r="A256" s="16"/>
      <c r="B256" s="16"/>
      <c r="C256" s="16"/>
      <c r="D256" s="16"/>
      <c r="E256" s="16"/>
      <c r="F256" s="16"/>
      <c r="G256" s="16"/>
      <c r="H256" s="16"/>
      <c r="I256" s="195"/>
      <c r="J256" s="16"/>
      <c r="K256" s="16"/>
      <c r="L256" s="16"/>
      <c r="M256" s="16"/>
      <c r="N256" s="16"/>
      <c r="O256" s="10"/>
      <c r="P256" s="16"/>
      <c r="Q256" s="16"/>
      <c r="R256" s="16"/>
      <c r="S256" s="10"/>
      <c r="T256" s="16"/>
      <c r="U256" s="16"/>
      <c r="V256" s="16"/>
      <c r="W256" s="16"/>
      <c r="X256" s="16"/>
      <c r="Y256" s="16"/>
      <c r="Z256" s="16"/>
      <c r="AA256" s="16"/>
      <c r="AB256" s="16"/>
      <c r="AC256" s="16"/>
      <c r="AD256" s="16"/>
    </row>
    <row r="257" ht="15.75" customHeight="1">
      <c r="A257" s="16"/>
      <c r="B257" s="16"/>
      <c r="C257" s="16"/>
      <c r="D257" s="16"/>
      <c r="E257" s="16"/>
      <c r="F257" s="16"/>
      <c r="G257" s="16"/>
      <c r="H257" s="16"/>
      <c r="I257" s="195"/>
      <c r="J257" s="16"/>
      <c r="K257" s="16"/>
      <c r="L257" s="16"/>
      <c r="M257" s="16"/>
      <c r="N257" s="16"/>
      <c r="O257" s="10"/>
      <c r="P257" s="16"/>
      <c r="Q257" s="16"/>
      <c r="R257" s="16"/>
      <c r="S257" s="10"/>
      <c r="T257" s="16"/>
      <c r="U257" s="16"/>
      <c r="V257" s="16"/>
      <c r="W257" s="16"/>
      <c r="X257" s="16"/>
      <c r="Y257" s="16"/>
      <c r="Z257" s="16"/>
      <c r="AA257" s="16"/>
      <c r="AB257" s="16"/>
      <c r="AC257" s="16"/>
      <c r="AD257" s="16"/>
    </row>
    <row r="258" ht="15.75" customHeight="1">
      <c r="A258" s="16"/>
      <c r="B258" s="16"/>
      <c r="C258" s="16"/>
      <c r="D258" s="16"/>
      <c r="E258" s="16"/>
      <c r="F258" s="16"/>
      <c r="G258" s="16"/>
      <c r="H258" s="16"/>
      <c r="I258" s="195"/>
      <c r="J258" s="16"/>
      <c r="K258" s="16"/>
      <c r="L258" s="16"/>
      <c r="M258" s="16"/>
      <c r="N258" s="16"/>
      <c r="O258" s="10"/>
      <c r="P258" s="16"/>
      <c r="Q258" s="16"/>
      <c r="R258" s="16"/>
      <c r="S258" s="10"/>
      <c r="T258" s="16"/>
      <c r="U258" s="16"/>
      <c r="V258" s="16"/>
      <c r="W258" s="16"/>
      <c r="X258" s="16"/>
      <c r="Y258" s="16"/>
      <c r="Z258" s="16"/>
      <c r="AA258" s="16"/>
      <c r="AB258" s="16"/>
      <c r="AC258" s="16"/>
      <c r="AD258" s="16"/>
    </row>
    <row r="259" ht="15.75" customHeight="1">
      <c r="A259" s="16"/>
      <c r="B259" s="16"/>
      <c r="C259" s="16"/>
      <c r="D259" s="16"/>
      <c r="E259" s="16"/>
      <c r="F259" s="16"/>
      <c r="G259" s="16"/>
      <c r="H259" s="16"/>
      <c r="I259" s="195"/>
      <c r="J259" s="16"/>
      <c r="K259" s="16"/>
      <c r="L259" s="16"/>
      <c r="M259" s="16"/>
      <c r="N259" s="16"/>
      <c r="O259" s="10"/>
      <c r="P259" s="16"/>
      <c r="Q259" s="16"/>
      <c r="R259" s="16"/>
      <c r="S259" s="10"/>
      <c r="T259" s="16"/>
      <c r="U259" s="16"/>
      <c r="V259" s="16"/>
      <c r="W259" s="16"/>
      <c r="X259" s="16"/>
      <c r="Y259" s="16"/>
      <c r="Z259" s="16"/>
      <c r="AA259" s="16"/>
      <c r="AB259" s="16"/>
      <c r="AC259" s="16"/>
      <c r="AD259" s="16"/>
    </row>
    <row r="260" ht="15.75" customHeight="1">
      <c r="A260" s="16"/>
      <c r="B260" s="16"/>
      <c r="C260" s="16"/>
      <c r="D260" s="16"/>
      <c r="E260" s="16"/>
      <c r="F260" s="16"/>
      <c r="G260" s="16"/>
      <c r="H260" s="16"/>
      <c r="I260" s="195"/>
      <c r="J260" s="16"/>
      <c r="K260" s="16"/>
      <c r="L260" s="16"/>
      <c r="M260" s="16"/>
      <c r="N260" s="16"/>
      <c r="O260" s="10"/>
      <c r="P260" s="16"/>
      <c r="Q260" s="16"/>
      <c r="R260" s="16"/>
      <c r="S260" s="10"/>
      <c r="T260" s="16"/>
      <c r="U260" s="16"/>
      <c r="V260" s="16"/>
      <c r="W260" s="16"/>
      <c r="X260" s="16"/>
      <c r="Y260" s="16"/>
      <c r="Z260" s="16"/>
      <c r="AA260" s="16"/>
      <c r="AB260" s="16"/>
      <c r="AC260" s="16"/>
      <c r="AD260" s="16"/>
    </row>
    <row r="261" ht="15.75" customHeight="1">
      <c r="A261" s="16"/>
      <c r="B261" s="16"/>
      <c r="C261" s="16"/>
      <c r="D261" s="16"/>
      <c r="E261" s="16"/>
      <c r="F261" s="16"/>
      <c r="G261" s="16"/>
      <c r="H261" s="16"/>
      <c r="I261" s="195"/>
      <c r="J261" s="16"/>
      <c r="K261" s="16"/>
      <c r="L261" s="16"/>
      <c r="M261" s="16"/>
      <c r="N261" s="16"/>
      <c r="O261" s="10"/>
      <c r="P261" s="16"/>
      <c r="Q261" s="16"/>
      <c r="R261" s="16"/>
      <c r="S261" s="10"/>
      <c r="T261" s="16"/>
      <c r="U261" s="16"/>
      <c r="V261" s="16"/>
      <c r="W261" s="16"/>
      <c r="X261" s="16"/>
      <c r="Y261" s="16"/>
      <c r="Z261" s="16"/>
      <c r="AA261" s="16"/>
      <c r="AB261" s="16"/>
      <c r="AC261" s="16"/>
      <c r="AD261" s="16"/>
    </row>
    <row r="262" ht="15.75" customHeight="1">
      <c r="A262" s="16"/>
      <c r="B262" s="16"/>
      <c r="C262" s="16"/>
      <c r="D262" s="16"/>
      <c r="E262" s="16"/>
      <c r="F262" s="16"/>
      <c r="G262" s="16"/>
      <c r="H262" s="16"/>
      <c r="I262" s="195"/>
      <c r="J262" s="16"/>
      <c r="K262" s="16"/>
      <c r="L262" s="16"/>
      <c r="M262" s="16"/>
      <c r="N262" s="16"/>
      <c r="O262" s="10"/>
      <c r="P262" s="16"/>
      <c r="Q262" s="16"/>
      <c r="R262" s="16"/>
      <c r="S262" s="10"/>
      <c r="T262" s="16"/>
      <c r="U262" s="16"/>
      <c r="V262" s="16"/>
      <c r="W262" s="16"/>
      <c r="X262" s="16"/>
      <c r="Y262" s="16"/>
      <c r="Z262" s="16"/>
      <c r="AA262" s="16"/>
      <c r="AB262" s="16"/>
      <c r="AC262" s="16"/>
      <c r="AD262" s="16"/>
    </row>
    <row r="263" ht="15.75" customHeight="1">
      <c r="A263" s="16"/>
      <c r="B263" s="16"/>
      <c r="C263" s="16"/>
      <c r="D263" s="16"/>
      <c r="E263" s="16"/>
      <c r="F263" s="16"/>
      <c r="G263" s="16"/>
      <c r="H263" s="16"/>
      <c r="I263" s="195"/>
      <c r="J263" s="16"/>
      <c r="K263" s="16"/>
      <c r="L263" s="16"/>
      <c r="M263" s="16"/>
      <c r="N263" s="16"/>
      <c r="O263" s="10"/>
      <c r="P263" s="16"/>
      <c r="Q263" s="16"/>
      <c r="R263" s="16"/>
      <c r="S263" s="10"/>
      <c r="T263" s="16"/>
      <c r="U263" s="16"/>
      <c r="V263" s="16"/>
      <c r="W263" s="16"/>
      <c r="X263" s="16"/>
      <c r="Y263" s="16"/>
      <c r="Z263" s="16"/>
      <c r="AA263" s="16"/>
      <c r="AB263" s="16"/>
      <c r="AC263" s="16"/>
      <c r="AD263" s="16"/>
    </row>
    <row r="264" ht="15.75" customHeight="1">
      <c r="A264" s="16"/>
      <c r="B264" s="16"/>
      <c r="C264" s="16"/>
      <c r="D264" s="16"/>
      <c r="E264" s="16"/>
      <c r="F264" s="16"/>
      <c r="G264" s="16"/>
      <c r="H264" s="16"/>
      <c r="I264" s="195"/>
      <c r="J264" s="16"/>
      <c r="K264" s="16"/>
      <c r="L264" s="16"/>
      <c r="M264" s="16"/>
      <c r="N264" s="16"/>
      <c r="O264" s="10"/>
      <c r="P264" s="16"/>
      <c r="Q264" s="16"/>
      <c r="R264" s="16"/>
      <c r="S264" s="10"/>
      <c r="T264" s="16"/>
      <c r="U264" s="16"/>
      <c r="V264" s="16"/>
      <c r="W264" s="16"/>
      <c r="X264" s="16"/>
      <c r="Y264" s="16"/>
      <c r="Z264" s="16"/>
      <c r="AA264" s="16"/>
      <c r="AB264" s="16"/>
      <c r="AC264" s="16"/>
      <c r="AD264" s="16"/>
    </row>
    <row r="265" ht="15.75" customHeight="1">
      <c r="A265" s="16"/>
      <c r="B265" s="16"/>
      <c r="C265" s="16"/>
      <c r="D265" s="16"/>
      <c r="E265" s="16"/>
      <c r="F265" s="16"/>
      <c r="G265" s="16"/>
      <c r="H265" s="16"/>
      <c r="I265" s="195"/>
      <c r="J265" s="16"/>
      <c r="K265" s="16"/>
      <c r="L265" s="16"/>
      <c r="M265" s="16"/>
      <c r="N265" s="16"/>
      <c r="O265" s="10"/>
      <c r="P265" s="16"/>
      <c r="Q265" s="16"/>
      <c r="R265" s="16"/>
      <c r="S265" s="10"/>
      <c r="T265" s="16"/>
      <c r="U265" s="16"/>
      <c r="V265" s="16"/>
      <c r="W265" s="16"/>
      <c r="X265" s="16"/>
      <c r="Y265" s="16"/>
      <c r="Z265" s="16"/>
      <c r="AA265" s="16"/>
      <c r="AB265" s="16"/>
      <c r="AC265" s="16"/>
      <c r="AD265" s="16"/>
    </row>
    <row r="266" ht="15.75" customHeight="1">
      <c r="A266" s="16"/>
      <c r="B266" s="16"/>
      <c r="C266" s="16"/>
      <c r="D266" s="16"/>
      <c r="E266" s="16"/>
      <c r="F266" s="16"/>
      <c r="G266" s="16"/>
      <c r="H266" s="16"/>
      <c r="I266" s="195"/>
      <c r="J266" s="16"/>
      <c r="K266" s="16"/>
      <c r="L266" s="16"/>
      <c r="M266" s="16"/>
      <c r="N266" s="16"/>
      <c r="O266" s="10"/>
      <c r="P266" s="16"/>
      <c r="Q266" s="16"/>
      <c r="R266" s="16"/>
      <c r="S266" s="10"/>
      <c r="T266" s="16"/>
      <c r="U266" s="16"/>
      <c r="V266" s="16"/>
      <c r="W266" s="16"/>
      <c r="X266" s="16"/>
      <c r="Y266" s="16"/>
      <c r="Z266" s="16"/>
      <c r="AA266" s="16"/>
      <c r="AB266" s="16"/>
      <c r="AC266" s="16"/>
      <c r="AD266" s="16"/>
    </row>
    <row r="267" ht="15.75" customHeight="1">
      <c r="A267" s="16"/>
      <c r="B267" s="16"/>
      <c r="C267" s="16"/>
      <c r="D267" s="16"/>
      <c r="E267" s="16"/>
      <c r="F267" s="16"/>
      <c r="G267" s="16"/>
      <c r="H267" s="16"/>
      <c r="I267" s="195"/>
      <c r="J267" s="16"/>
      <c r="K267" s="16"/>
      <c r="L267" s="16"/>
      <c r="M267" s="16"/>
      <c r="N267" s="16"/>
      <c r="O267" s="10"/>
      <c r="P267" s="16"/>
      <c r="Q267" s="16"/>
      <c r="R267" s="16"/>
      <c r="S267" s="10"/>
      <c r="T267" s="16"/>
      <c r="U267" s="16"/>
      <c r="V267" s="16"/>
      <c r="W267" s="16"/>
      <c r="X267" s="16"/>
      <c r="Y267" s="16"/>
      <c r="Z267" s="16"/>
      <c r="AA267" s="16"/>
      <c r="AB267" s="16"/>
      <c r="AC267" s="16"/>
      <c r="AD267" s="16"/>
    </row>
    <row r="268" ht="15.75" customHeight="1">
      <c r="A268" s="16"/>
      <c r="B268" s="16"/>
      <c r="C268" s="16"/>
      <c r="D268" s="16"/>
      <c r="E268" s="16"/>
      <c r="F268" s="16"/>
      <c r="G268" s="16"/>
      <c r="H268" s="16"/>
      <c r="I268" s="195"/>
      <c r="J268" s="16"/>
      <c r="K268" s="16"/>
      <c r="L268" s="16"/>
      <c r="M268" s="16"/>
      <c r="N268" s="16"/>
      <c r="O268" s="10"/>
      <c r="P268" s="16"/>
      <c r="Q268" s="16"/>
      <c r="R268" s="16"/>
      <c r="S268" s="10"/>
      <c r="T268" s="16"/>
      <c r="U268" s="16"/>
      <c r="V268" s="16"/>
      <c r="W268" s="16"/>
      <c r="X268" s="16"/>
      <c r="Y268" s="16"/>
      <c r="Z268" s="16"/>
      <c r="AA268" s="16"/>
      <c r="AB268" s="16"/>
      <c r="AC268" s="16"/>
      <c r="AD268" s="16"/>
    </row>
    <row r="269" ht="15.75" customHeight="1">
      <c r="A269" s="16"/>
      <c r="B269" s="16"/>
      <c r="C269" s="16"/>
      <c r="D269" s="16"/>
      <c r="E269" s="16"/>
      <c r="F269" s="16"/>
      <c r="G269" s="16"/>
      <c r="H269" s="16"/>
      <c r="I269" s="195"/>
      <c r="J269" s="16"/>
      <c r="K269" s="16"/>
      <c r="L269" s="16"/>
      <c r="M269" s="16"/>
      <c r="N269" s="16"/>
      <c r="O269" s="10"/>
      <c r="P269" s="16"/>
      <c r="Q269" s="16"/>
      <c r="R269" s="16"/>
      <c r="S269" s="10"/>
      <c r="T269" s="16"/>
      <c r="U269" s="16"/>
      <c r="V269" s="16"/>
      <c r="W269" s="16"/>
      <c r="X269" s="16"/>
      <c r="Y269" s="16"/>
      <c r="Z269" s="16"/>
      <c r="AA269" s="16"/>
      <c r="AB269" s="16"/>
      <c r="AC269" s="16"/>
      <c r="AD269" s="16"/>
    </row>
    <row r="270" ht="15.75" customHeight="1">
      <c r="A270" s="16"/>
      <c r="B270" s="16"/>
      <c r="C270" s="16"/>
      <c r="D270" s="16"/>
      <c r="E270" s="16"/>
      <c r="F270" s="16"/>
      <c r="G270" s="16"/>
      <c r="H270" s="16"/>
      <c r="I270" s="195"/>
      <c r="J270" s="16"/>
      <c r="K270" s="16"/>
      <c r="L270" s="16"/>
      <c r="M270" s="16"/>
      <c r="N270" s="16"/>
      <c r="O270" s="10"/>
      <c r="P270" s="16"/>
      <c r="Q270" s="16"/>
      <c r="R270" s="16"/>
      <c r="S270" s="10"/>
      <c r="T270" s="16"/>
      <c r="U270" s="16"/>
      <c r="V270" s="16"/>
      <c r="W270" s="16"/>
      <c r="X270" s="16"/>
      <c r="Y270" s="16"/>
      <c r="Z270" s="16"/>
      <c r="AA270" s="16"/>
      <c r="AB270" s="16"/>
      <c r="AC270" s="16"/>
      <c r="AD270" s="16"/>
    </row>
    <row r="271" ht="15.75" customHeight="1">
      <c r="A271" s="16"/>
      <c r="B271" s="16"/>
      <c r="C271" s="16"/>
      <c r="D271" s="16"/>
      <c r="E271" s="16"/>
      <c r="F271" s="16"/>
      <c r="G271" s="16"/>
      <c r="H271" s="16"/>
      <c r="I271" s="195"/>
      <c r="J271" s="16"/>
      <c r="K271" s="16"/>
      <c r="L271" s="16"/>
      <c r="M271" s="16"/>
      <c r="N271" s="16"/>
      <c r="O271" s="10"/>
      <c r="P271" s="16"/>
      <c r="Q271" s="16"/>
      <c r="R271" s="16"/>
      <c r="S271" s="10"/>
      <c r="T271" s="16"/>
      <c r="U271" s="16"/>
      <c r="V271" s="16"/>
      <c r="W271" s="16"/>
      <c r="X271" s="16"/>
      <c r="Y271" s="16"/>
      <c r="Z271" s="16"/>
      <c r="AA271" s="16"/>
      <c r="AB271" s="16"/>
      <c r="AC271" s="16"/>
      <c r="AD271" s="16"/>
    </row>
    <row r="272" ht="15.75" customHeight="1">
      <c r="A272" s="16"/>
      <c r="B272" s="16"/>
      <c r="C272" s="16"/>
      <c r="D272" s="16"/>
      <c r="E272" s="16"/>
      <c r="F272" s="16"/>
      <c r="G272" s="16"/>
      <c r="H272" s="16"/>
      <c r="I272" s="195"/>
      <c r="J272" s="16"/>
      <c r="K272" s="16"/>
      <c r="L272" s="16"/>
      <c r="M272" s="16"/>
      <c r="N272" s="16"/>
      <c r="O272" s="10"/>
      <c r="P272" s="16"/>
      <c r="Q272" s="16"/>
      <c r="R272" s="16"/>
      <c r="S272" s="10"/>
      <c r="T272" s="16"/>
      <c r="U272" s="16"/>
      <c r="V272" s="16"/>
      <c r="W272" s="16"/>
      <c r="X272" s="16"/>
      <c r="Y272" s="16"/>
      <c r="Z272" s="16"/>
      <c r="AA272" s="16"/>
      <c r="AB272" s="16"/>
      <c r="AC272" s="16"/>
      <c r="AD272" s="16"/>
    </row>
    <row r="273" ht="15.75" customHeight="1">
      <c r="A273" s="16"/>
      <c r="B273" s="16"/>
      <c r="C273" s="16"/>
      <c r="D273" s="16"/>
      <c r="E273" s="16"/>
      <c r="F273" s="16"/>
      <c r="G273" s="16"/>
      <c r="H273" s="16"/>
      <c r="I273" s="195"/>
      <c r="J273" s="16"/>
      <c r="K273" s="16"/>
      <c r="L273" s="16"/>
      <c r="M273" s="16"/>
      <c r="N273" s="16"/>
      <c r="O273" s="10"/>
      <c r="P273" s="16"/>
      <c r="Q273" s="16"/>
      <c r="R273" s="16"/>
      <c r="S273" s="10"/>
      <c r="T273" s="16"/>
      <c r="U273" s="16"/>
      <c r="V273" s="16"/>
      <c r="W273" s="16"/>
      <c r="X273" s="16"/>
      <c r="Y273" s="16"/>
      <c r="Z273" s="16"/>
      <c r="AA273" s="16"/>
      <c r="AB273" s="16"/>
      <c r="AC273" s="16"/>
      <c r="AD273" s="16"/>
    </row>
    <row r="274" ht="15.75" customHeight="1">
      <c r="A274" s="16"/>
      <c r="B274" s="16"/>
      <c r="C274" s="16"/>
      <c r="D274" s="16"/>
      <c r="E274" s="16"/>
      <c r="F274" s="16"/>
      <c r="G274" s="16"/>
      <c r="H274" s="16"/>
      <c r="I274" s="195"/>
      <c r="J274" s="16"/>
      <c r="K274" s="16"/>
      <c r="L274" s="16"/>
      <c r="M274" s="16"/>
      <c r="N274" s="16"/>
      <c r="O274" s="10"/>
      <c r="P274" s="16"/>
      <c r="Q274" s="16"/>
      <c r="R274" s="16"/>
      <c r="S274" s="10"/>
      <c r="T274" s="16"/>
      <c r="U274" s="16"/>
      <c r="V274" s="16"/>
      <c r="W274" s="16"/>
      <c r="X274" s="16"/>
      <c r="Y274" s="16"/>
      <c r="Z274" s="16"/>
      <c r="AA274" s="16"/>
      <c r="AB274" s="16"/>
      <c r="AC274" s="16"/>
      <c r="AD274" s="16"/>
    </row>
    <row r="275" ht="15.75" customHeight="1">
      <c r="A275" s="16"/>
      <c r="B275" s="16"/>
      <c r="C275" s="16"/>
      <c r="D275" s="16"/>
      <c r="E275" s="16"/>
      <c r="F275" s="16"/>
      <c r="G275" s="16"/>
      <c r="H275" s="16"/>
      <c r="I275" s="195"/>
      <c r="J275" s="16"/>
      <c r="K275" s="16"/>
      <c r="L275" s="16"/>
      <c r="M275" s="16"/>
      <c r="N275" s="16"/>
      <c r="O275" s="10"/>
      <c r="P275" s="16"/>
      <c r="Q275" s="16"/>
      <c r="R275" s="16"/>
      <c r="S275" s="10"/>
      <c r="T275" s="16"/>
      <c r="U275" s="16"/>
      <c r="V275" s="16"/>
      <c r="W275" s="16"/>
      <c r="X275" s="16"/>
      <c r="Y275" s="16"/>
      <c r="Z275" s="16"/>
      <c r="AA275" s="16"/>
      <c r="AB275" s="16"/>
      <c r="AC275" s="16"/>
      <c r="AD275" s="16"/>
    </row>
    <row r="276" ht="15.75" customHeight="1">
      <c r="A276" s="16"/>
      <c r="B276" s="16"/>
      <c r="C276" s="16"/>
      <c r="D276" s="16"/>
      <c r="E276" s="16"/>
      <c r="F276" s="16"/>
      <c r="G276" s="16"/>
      <c r="H276" s="16"/>
      <c r="I276" s="195"/>
      <c r="J276" s="16"/>
      <c r="K276" s="16"/>
      <c r="L276" s="16"/>
      <c r="M276" s="16"/>
      <c r="N276" s="16"/>
      <c r="O276" s="10"/>
      <c r="P276" s="16"/>
      <c r="Q276" s="16"/>
      <c r="R276" s="16"/>
      <c r="S276" s="10"/>
      <c r="T276" s="16"/>
      <c r="U276" s="16"/>
      <c r="V276" s="16"/>
      <c r="W276" s="16"/>
      <c r="X276" s="16"/>
      <c r="Y276" s="16"/>
      <c r="Z276" s="16"/>
      <c r="AA276" s="16"/>
      <c r="AB276" s="16"/>
      <c r="AC276" s="16"/>
      <c r="AD276" s="16"/>
    </row>
    <row r="277" ht="15.75" customHeight="1">
      <c r="A277" s="16"/>
      <c r="B277" s="16"/>
      <c r="C277" s="16"/>
      <c r="D277" s="16"/>
      <c r="E277" s="16"/>
      <c r="F277" s="16"/>
      <c r="G277" s="16"/>
      <c r="H277" s="16"/>
      <c r="I277" s="195"/>
      <c r="J277" s="16"/>
      <c r="K277" s="16"/>
      <c r="L277" s="16"/>
      <c r="M277" s="16"/>
      <c r="N277" s="16"/>
      <c r="O277" s="10"/>
      <c r="P277" s="16"/>
      <c r="Q277" s="16"/>
      <c r="R277" s="16"/>
      <c r="S277" s="10"/>
      <c r="T277" s="16"/>
      <c r="U277" s="16"/>
      <c r="V277" s="16"/>
      <c r="W277" s="16"/>
      <c r="X277" s="16"/>
      <c r="Y277" s="16"/>
      <c r="Z277" s="16"/>
      <c r="AA277" s="16"/>
      <c r="AB277" s="16"/>
      <c r="AC277" s="16"/>
      <c r="AD277" s="16"/>
    </row>
    <row r="278" ht="15.75" customHeight="1">
      <c r="A278" s="16"/>
      <c r="B278" s="16"/>
      <c r="C278" s="16"/>
      <c r="D278" s="16"/>
      <c r="E278" s="16"/>
      <c r="F278" s="16"/>
      <c r="G278" s="16"/>
      <c r="H278" s="16"/>
      <c r="I278" s="195"/>
      <c r="J278" s="16"/>
      <c r="K278" s="16"/>
      <c r="L278" s="16"/>
      <c r="M278" s="16"/>
      <c r="N278" s="16"/>
      <c r="O278" s="10"/>
      <c r="P278" s="16"/>
      <c r="Q278" s="16"/>
      <c r="R278" s="16"/>
      <c r="S278" s="10"/>
      <c r="T278" s="16"/>
      <c r="U278" s="16"/>
      <c r="V278" s="16"/>
      <c r="W278" s="16"/>
      <c r="X278" s="16"/>
      <c r="Y278" s="16"/>
      <c r="Z278" s="16"/>
      <c r="AA278" s="16"/>
      <c r="AB278" s="16"/>
      <c r="AC278" s="16"/>
      <c r="AD278" s="16"/>
    </row>
    <row r="279" ht="15.75" customHeight="1">
      <c r="A279" s="16"/>
      <c r="B279" s="16"/>
      <c r="C279" s="16"/>
      <c r="D279" s="16"/>
      <c r="E279" s="16"/>
      <c r="F279" s="16"/>
      <c r="G279" s="16"/>
      <c r="H279" s="16"/>
      <c r="I279" s="195"/>
      <c r="J279" s="16"/>
      <c r="K279" s="16"/>
      <c r="L279" s="16"/>
      <c r="M279" s="16"/>
      <c r="N279" s="16"/>
      <c r="O279" s="10"/>
      <c r="P279" s="16"/>
      <c r="Q279" s="16"/>
      <c r="R279" s="16"/>
      <c r="S279" s="10"/>
      <c r="T279" s="16"/>
      <c r="U279" s="16"/>
      <c r="V279" s="16"/>
      <c r="W279" s="16"/>
      <c r="X279" s="16"/>
      <c r="Y279" s="16"/>
      <c r="Z279" s="16"/>
      <c r="AA279" s="16"/>
      <c r="AB279" s="16"/>
      <c r="AC279" s="16"/>
      <c r="AD279" s="16"/>
    </row>
    <row r="280" ht="15.75" customHeight="1">
      <c r="A280" s="16"/>
      <c r="B280" s="16"/>
      <c r="C280" s="16"/>
      <c r="D280" s="16"/>
      <c r="E280" s="16"/>
      <c r="F280" s="16"/>
      <c r="G280" s="16"/>
      <c r="H280" s="16"/>
      <c r="I280" s="195"/>
      <c r="J280" s="16"/>
      <c r="K280" s="16"/>
      <c r="L280" s="16"/>
      <c r="M280" s="16"/>
      <c r="N280" s="16"/>
      <c r="O280" s="10"/>
      <c r="P280" s="16"/>
      <c r="Q280" s="16"/>
      <c r="R280" s="16"/>
      <c r="S280" s="10"/>
      <c r="T280" s="16"/>
      <c r="U280" s="16"/>
      <c r="V280" s="16"/>
      <c r="W280" s="16"/>
      <c r="X280" s="16"/>
      <c r="Y280" s="16"/>
      <c r="Z280" s="16"/>
      <c r="AA280" s="16"/>
      <c r="AB280" s="16"/>
      <c r="AC280" s="16"/>
      <c r="AD280" s="16"/>
    </row>
    <row r="281" ht="15.75" customHeight="1">
      <c r="A281" s="16"/>
      <c r="B281" s="16"/>
      <c r="C281" s="16"/>
      <c r="D281" s="16"/>
      <c r="E281" s="16"/>
      <c r="F281" s="16"/>
      <c r="G281" s="16"/>
      <c r="H281" s="16"/>
      <c r="I281" s="195"/>
      <c r="J281" s="16"/>
      <c r="K281" s="16"/>
      <c r="L281" s="16"/>
      <c r="M281" s="16"/>
      <c r="N281" s="16"/>
      <c r="O281" s="10"/>
      <c r="P281" s="16"/>
      <c r="Q281" s="16"/>
      <c r="R281" s="16"/>
      <c r="S281" s="10"/>
      <c r="T281" s="16"/>
      <c r="U281" s="16"/>
      <c r="V281" s="16"/>
      <c r="W281" s="16"/>
      <c r="X281" s="16"/>
      <c r="Y281" s="16"/>
      <c r="Z281" s="16"/>
      <c r="AA281" s="16"/>
      <c r="AB281" s="16"/>
      <c r="AC281" s="16"/>
      <c r="AD281" s="16"/>
    </row>
    <row r="282" ht="15.75" customHeight="1">
      <c r="A282" s="16"/>
      <c r="B282" s="16"/>
      <c r="C282" s="16"/>
      <c r="D282" s="16"/>
      <c r="E282" s="16"/>
      <c r="F282" s="16"/>
      <c r="G282" s="16"/>
      <c r="H282" s="16"/>
      <c r="I282" s="195"/>
      <c r="J282" s="16"/>
      <c r="K282" s="16"/>
      <c r="L282" s="16"/>
      <c r="M282" s="16"/>
      <c r="N282" s="16"/>
      <c r="O282" s="10"/>
      <c r="P282" s="16"/>
      <c r="Q282" s="16"/>
      <c r="R282" s="16"/>
      <c r="S282" s="10"/>
      <c r="T282" s="16"/>
      <c r="U282" s="16"/>
      <c r="V282" s="16"/>
      <c r="W282" s="16"/>
      <c r="X282" s="16"/>
      <c r="Y282" s="16"/>
      <c r="Z282" s="16"/>
      <c r="AA282" s="16"/>
      <c r="AB282" s="16"/>
      <c r="AC282" s="16"/>
      <c r="AD282" s="16"/>
    </row>
    <row r="283" ht="15.75" customHeight="1">
      <c r="A283" s="16"/>
      <c r="B283" s="16"/>
      <c r="C283" s="16"/>
      <c r="D283" s="16"/>
      <c r="E283" s="16"/>
      <c r="F283" s="16"/>
      <c r="G283" s="16"/>
      <c r="H283" s="16"/>
      <c r="I283" s="195"/>
      <c r="J283" s="16"/>
      <c r="K283" s="16"/>
      <c r="L283" s="16"/>
      <c r="M283" s="16"/>
      <c r="N283" s="16"/>
      <c r="O283" s="10"/>
      <c r="P283" s="16"/>
      <c r="Q283" s="16"/>
      <c r="R283" s="16"/>
      <c r="S283" s="10"/>
      <c r="T283" s="16"/>
      <c r="U283" s="16"/>
      <c r="V283" s="16"/>
      <c r="W283" s="16"/>
      <c r="X283" s="16"/>
      <c r="Y283" s="16"/>
      <c r="Z283" s="16"/>
      <c r="AA283" s="16"/>
      <c r="AB283" s="16"/>
      <c r="AC283" s="16"/>
      <c r="AD283" s="16"/>
    </row>
    <row r="284" ht="15.75" customHeight="1">
      <c r="A284" s="16"/>
      <c r="B284" s="16"/>
      <c r="C284" s="16"/>
      <c r="D284" s="16"/>
      <c r="E284" s="16"/>
      <c r="F284" s="16"/>
      <c r="G284" s="16"/>
      <c r="H284" s="16"/>
      <c r="I284" s="195"/>
      <c r="J284" s="16"/>
      <c r="K284" s="16"/>
      <c r="L284" s="16"/>
      <c r="M284" s="16"/>
      <c r="N284" s="16"/>
      <c r="O284" s="10"/>
      <c r="P284" s="16"/>
      <c r="Q284" s="16"/>
      <c r="R284" s="16"/>
      <c r="S284" s="10"/>
      <c r="T284" s="16"/>
      <c r="U284" s="16"/>
      <c r="V284" s="16"/>
      <c r="W284" s="16"/>
      <c r="X284" s="16"/>
      <c r="Y284" s="16"/>
      <c r="Z284" s="16"/>
      <c r="AA284" s="16"/>
      <c r="AB284" s="16"/>
      <c r="AC284" s="16"/>
      <c r="AD284" s="16"/>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Y4"/>
  </mergeCells>
  <hyperlinks>
    <hyperlink r:id="rId1" ref="P8"/>
  </hyperlinks>
  <printOptions/>
  <pageMargins bottom="0.22707108794499284" footer="0.0" header="0.0" left="0.3959188200066541" right="0.20960408117999338" top="0.15720306088499503"/>
  <pageSetup paperSize="9" scale="4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21.5"/>
    <col customWidth="1" min="3" max="3" width="22.75"/>
    <col customWidth="1" min="4" max="4" width="14.13"/>
    <col customWidth="1" min="5" max="5" width="16.38"/>
    <col customWidth="1" min="6" max="7" width="10.25"/>
    <col customWidth="1" min="8" max="8" width="14.5"/>
    <col customWidth="1" min="9" max="9" width="54.88"/>
    <col customWidth="1" min="10" max="10" width="12.63"/>
    <col customWidth="1" min="11" max="11" width="11.88"/>
    <col customWidth="1" min="12" max="12" width="13.13"/>
    <col customWidth="1" min="13" max="13" width="36.88"/>
    <col customWidth="1" min="14" max="14" width="9.88"/>
    <col customWidth="1" min="15" max="15" width="28.25"/>
    <col customWidth="1" min="16" max="16" width="24.88"/>
    <col customWidth="1" min="17" max="17" width="40.75"/>
    <col customWidth="1" min="18" max="18" width="14.88"/>
    <col customWidth="1" min="19" max="19" width="117.75"/>
    <col customWidth="1" min="20" max="20" width="7.0"/>
    <col customWidth="1" min="21" max="21" width="6.63"/>
    <col customWidth="1" min="22" max="22" width="5.25"/>
    <col customWidth="1" min="23" max="23" width="4.75"/>
    <col customWidth="1" min="24" max="24" width="48.38"/>
    <col customWidth="1" min="25" max="25" width="49.5"/>
    <col customWidth="1" min="26" max="26" width="10.5"/>
    <col customWidth="1" hidden="1" min="27" max="28" width="11.0"/>
    <col customWidth="1" min="29" max="31" width="10.5"/>
  </cols>
  <sheetData>
    <row r="1" ht="15.0" customHeight="1">
      <c r="A1" s="5" t="s">
        <v>1</v>
      </c>
      <c r="B1" s="6"/>
      <c r="C1" s="6"/>
      <c r="D1" s="6"/>
      <c r="E1" s="6"/>
      <c r="F1" s="6"/>
      <c r="G1" s="6"/>
      <c r="H1" s="6"/>
      <c r="I1" s="6"/>
      <c r="J1" s="6"/>
      <c r="K1" s="6"/>
      <c r="L1" s="6"/>
      <c r="M1" s="6"/>
      <c r="N1" s="6"/>
      <c r="O1" s="6"/>
      <c r="P1" s="6"/>
      <c r="Q1" s="6"/>
      <c r="R1" s="6"/>
      <c r="S1" s="6"/>
      <c r="T1" s="6"/>
      <c r="U1" s="6"/>
      <c r="V1" s="6"/>
      <c r="W1" s="6"/>
      <c r="X1" s="6"/>
      <c r="Y1" s="8"/>
      <c r="Z1" s="10"/>
      <c r="AA1" s="10"/>
      <c r="AB1" s="10"/>
      <c r="AC1" s="10"/>
      <c r="AD1" s="10"/>
      <c r="AE1" s="10"/>
    </row>
    <row r="2">
      <c r="A2" s="13"/>
      <c r="Y2" s="15"/>
      <c r="Z2" s="10"/>
      <c r="AA2" s="10"/>
      <c r="AB2" s="10"/>
      <c r="AC2" s="10"/>
      <c r="AD2" s="10"/>
      <c r="AE2" s="10"/>
    </row>
    <row r="3">
      <c r="A3" s="18"/>
      <c r="B3" s="20"/>
      <c r="C3" s="20"/>
      <c r="D3" s="20"/>
      <c r="E3" s="20"/>
      <c r="F3" s="20"/>
      <c r="G3" s="20"/>
      <c r="H3" s="20"/>
      <c r="I3" s="20"/>
      <c r="J3" s="20"/>
      <c r="K3" s="20"/>
      <c r="L3" s="20"/>
      <c r="M3" s="20"/>
      <c r="N3" s="20"/>
      <c r="O3" s="20"/>
      <c r="P3" s="20"/>
      <c r="Q3" s="20"/>
      <c r="R3" s="20"/>
      <c r="S3" s="20"/>
      <c r="T3" s="20"/>
      <c r="U3" s="20"/>
      <c r="V3" s="20"/>
      <c r="W3" s="20"/>
      <c r="X3" s="20"/>
      <c r="Y3" s="23"/>
      <c r="Z3" s="10"/>
      <c r="AA3" s="10"/>
      <c r="AB3" s="10"/>
      <c r="AC3" s="10"/>
      <c r="AD3" s="10"/>
      <c r="AE3" s="10"/>
    </row>
    <row r="4" ht="15.0" customHeight="1">
      <c r="A4" s="27" t="s">
        <v>3</v>
      </c>
      <c r="B4" s="32"/>
      <c r="C4" s="32"/>
      <c r="D4" s="32"/>
      <c r="E4" s="32"/>
      <c r="F4" s="32"/>
      <c r="G4" s="32"/>
      <c r="H4" s="32"/>
      <c r="I4" s="32"/>
      <c r="J4" s="32"/>
      <c r="K4" s="32"/>
      <c r="L4" s="32"/>
      <c r="M4" s="32"/>
      <c r="N4" s="32"/>
      <c r="O4" s="32"/>
      <c r="P4" s="32"/>
      <c r="Q4" s="32"/>
      <c r="R4" s="32"/>
      <c r="S4" s="32"/>
      <c r="T4" s="32"/>
      <c r="U4" s="32"/>
      <c r="V4" s="32"/>
      <c r="W4" s="32"/>
      <c r="X4" s="32"/>
      <c r="Y4" s="37"/>
      <c r="Z4" s="10"/>
      <c r="AA4" s="10"/>
      <c r="AB4" s="10"/>
      <c r="AC4" s="10"/>
      <c r="AD4" s="10"/>
      <c r="AE4" s="10"/>
    </row>
    <row r="5" ht="31.5" customHeight="1">
      <c r="A5" s="39" t="s">
        <v>5</v>
      </c>
      <c r="B5" s="39" t="s">
        <v>6</v>
      </c>
      <c r="C5" s="39" t="s">
        <v>11</v>
      </c>
      <c r="D5" s="39" t="s">
        <v>8</v>
      </c>
      <c r="E5" s="41" t="s">
        <v>9</v>
      </c>
      <c r="F5" s="39" t="s">
        <v>10</v>
      </c>
      <c r="G5" s="39" t="s">
        <v>14</v>
      </c>
      <c r="H5" s="39" t="s">
        <v>13</v>
      </c>
      <c r="I5" s="44" t="s">
        <v>14</v>
      </c>
      <c r="J5" s="39" t="s">
        <v>15</v>
      </c>
      <c r="K5" s="39" t="s">
        <v>16</v>
      </c>
      <c r="L5" s="39" t="s">
        <v>17</v>
      </c>
      <c r="M5" s="39" t="s">
        <v>17</v>
      </c>
      <c r="N5" s="39" t="s">
        <v>18</v>
      </c>
      <c r="O5" s="39" t="s">
        <v>19</v>
      </c>
      <c r="P5" s="39" t="s">
        <v>20</v>
      </c>
      <c r="Q5" s="39" t="s">
        <v>21</v>
      </c>
      <c r="R5" s="39" t="s">
        <v>20</v>
      </c>
      <c r="S5" s="39" t="s">
        <v>22</v>
      </c>
      <c r="T5" s="39" t="s">
        <v>24</v>
      </c>
      <c r="U5" s="39" t="s">
        <v>26</v>
      </c>
      <c r="V5" s="39" t="s">
        <v>27</v>
      </c>
      <c r="W5" s="39" t="s">
        <v>29</v>
      </c>
      <c r="X5" s="39" t="s">
        <v>30</v>
      </c>
      <c r="Y5" s="39" t="s">
        <v>31</v>
      </c>
      <c r="Z5" s="10"/>
      <c r="AA5" s="48" t="s">
        <v>32</v>
      </c>
      <c r="AB5" s="53">
        <f>COUNTIF(N6:N599,"PRIVADO")</f>
        <v>7</v>
      </c>
      <c r="AC5" s="10"/>
      <c r="AD5" s="10"/>
      <c r="AE5" s="10"/>
    </row>
    <row r="6">
      <c r="A6" s="50">
        <v>1.0</v>
      </c>
      <c r="B6" s="50" t="s">
        <v>40</v>
      </c>
      <c r="C6" s="57" t="s">
        <v>41</v>
      </c>
      <c r="D6" s="61">
        <v>44938.0</v>
      </c>
      <c r="E6" s="63">
        <v>44953.0</v>
      </c>
      <c r="F6" s="50">
        <v>8489.0</v>
      </c>
      <c r="G6" s="50" t="s">
        <v>63</v>
      </c>
      <c r="H6" s="50" t="s">
        <v>43</v>
      </c>
      <c r="I6" s="67" t="s">
        <v>64</v>
      </c>
      <c r="J6" s="50" t="s">
        <v>67</v>
      </c>
      <c r="K6" s="50" t="s">
        <v>47</v>
      </c>
      <c r="L6" s="50" t="s">
        <v>47</v>
      </c>
      <c r="M6" s="50" t="s">
        <v>68</v>
      </c>
      <c r="N6" s="50" t="s">
        <v>69</v>
      </c>
      <c r="O6" s="50" t="s">
        <v>71</v>
      </c>
      <c r="P6" s="50" t="s">
        <v>72</v>
      </c>
      <c r="Q6" s="50" t="s">
        <v>73</v>
      </c>
      <c r="R6" s="50">
        <v>9.80234828E8</v>
      </c>
      <c r="S6" s="50" t="s">
        <v>74</v>
      </c>
      <c r="T6" s="50">
        <v>2.0</v>
      </c>
      <c r="U6" s="50">
        <v>0.0</v>
      </c>
      <c r="V6" s="50">
        <v>20.0</v>
      </c>
      <c r="W6" s="50">
        <v>0.0</v>
      </c>
      <c r="X6" s="50" t="s">
        <v>75</v>
      </c>
      <c r="Y6" s="50" t="s">
        <v>61</v>
      </c>
      <c r="Z6" s="10"/>
      <c r="AA6" s="74" t="s">
        <v>50</v>
      </c>
      <c r="AB6" s="53">
        <f>COUNTIF(N6:N600,"MINSA")</f>
        <v>6</v>
      </c>
      <c r="AC6" s="10"/>
      <c r="AD6" s="10"/>
      <c r="AE6" s="10"/>
    </row>
    <row r="7" ht="26.25" customHeight="1">
      <c r="A7" s="50">
        <v>2.0</v>
      </c>
      <c r="B7" s="50" t="s">
        <v>90</v>
      </c>
      <c r="C7" s="57" t="s">
        <v>91</v>
      </c>
      <c r="D7" s="81">
        <v>44978.0</v>
      </c>
      <c r="E7" s="82">
        <v>44988.0</v>
      </c>
      <c r="F7" s="78">
        <v>8502.0</v>
      </c>
      <c r="G7" s="78" t="s">
        <v>63</v>
      </c>
      <c r="H7" s="78" t="s">
        <v>43</v>
      </c>
      <c r="I7" s="67" t="s">
        <v>104</v>
      </c>
      <c r="J7" s="50" t="s">
        <v>47</v>
      </c>
      <c r="K7" s="84" t="s">
        <v>47</v>
      </c>
      <c r="L7" s="50" t="s">
        <v>47</v>
      </c>
      <c r="M7" s="50" t="s">
        <v>108</v>
      </c>
      <c r="N7" s="50" t="s">
        <v>69</v>
      </c>
      <c r="O7" s="50" t="s">
        <v>109</v>
      </c>
      <c r="P7" s="50" t="s">
        <v>110</v>
      </c>
      <c r="Q7" s="50" t="s">
        <v>111</v>
      </c>
      <c r="R7" s="50">
        <v>9.9673332E8</v>
      </c>
      <c r="S7" s="50" t="s">
        <v>113</v>
      </c>
      <c r="T7" s="50">
        <v>1.0</v>
      </c>
      <c r="U7" s="50">
        <v>0.0</v>
      </c>
      <c r="V7" s="50">
        <v>6.0</v>
      </c>
      <c r="W7" s="50">
        <v>0.0</v>
      </c>
      <c r="X7" s="50" t="s">
        <v>116</v>
      </c>
      <c r="Y7" s="50" t="s">
        <v>61</v>
      </c>
      <c r="Z7" s="10"/>
      <c r="AA7" s="89" t="s">
        <v>69</v>
      </c>
      <c r="AB7" s="53">
        <f>COUNTIF(N6:N601,"ESSALUD")</f>
        <v>7</v>
      </c>
      <c r="AC7" s="10"/>
      <c r="AD7" s="10"/>
      <c r="AE7" s="10"/>
    </row>
    <row r="8" ht="30.75" customHeight="1">
      <c r="A8" s="50">
        <v>3.0</v>
      </c>
      <c r="B8" s="50" t="s">
        <v>121</v>
      </c>
      <c r="C8" s="50" t="s">
        <v>122</v>
      </c>
      <c r="D8" s="81">
        <v>44985.0</v>
      </c>
      <c r="E8" s="82">
        <v>45002.0</v>
      </c>
      <c r="F8" s="78">
        <v>9042.0</v>
      </c>
      <c r="G8" s="78" t="s">
        <v>123</v>
      </c>
      <c r="H8" s="78" t="s">
        <v>85</v>
      </c>
      <c r="I8" s="67" t="s">
        <v>124</v>
      </c>
      <c r="J8" s="50" t="s">
        <v>125</v>
      </c>
      <c r="K8" s="50" t="s">
        <v>125</v>
      </c>
      <c r="L8" s="50" t="s">
        <v>88</v>
      </c>
      <c r="M8" s="50" t="s">
        <v>127</v>
      </c>
      <c r="N8" s="50" t="s">
        <v>69</v>
      </c>
      <c r="O8" s="50" t="s">
        <v>129</v>
      </c>
      <c r="P8" s="50" t="s">
        <v>131</v>
      </c>
      <c r="Q8" s="50" t="s">
        <v>133</v>
      </c>
      <c r="R8" s="50">
        <v>9.49939328E8</v>
      </c>
      <c r="S8" s="50" t="s">
        <v>137</v>
      </c>
      <c r="T8" s="50">
        <v>1.0</v>
      </c>
      <c r="U8" s="50">
        <v>0.0</v>
      </c>
      <c r="V8" s="50">
        <v>5.0</v>
      </c>
      <c r="W8" s="50">
        <v>0.0</v>
      </c>
      <c r="X8" s="50" t="s">
        <v>143</v>
      </c>
      <c r="Y8" s="50" t="s">
        <v>61</v>
      </c>
      <c r="Z8" s="10"/>
      <c r="AA8" s="97" t="s">
        <v>146</v>
      </c>
      <c r="AB8" s="53">
        <f>COUNTIF(N6:N602,"FFAA")</f>
        <v>0</v>
      </c>
      <c r="AC8" s="10"/>
      <c r="AD8" s="10"/>
      <c r="AE8" s="10"/>
    </row>
    <row r="9" ht="27.75" customHeight="1">
      <c r="A9" s="100">
        <v>4.0</v>
      </c>
      <c r="B9" s="50" t="s">
        <v>159</v>
      </c>
      <c r="C9" s="50" t="s">
        <v>161</v>
      </c>
      <c r="D9" s="81">
        <v>44995.0</v>
      </c>
      <c r="E9" s="102">
        <v>45016.0</v>
      </c>
      <c r="F9" s="103">
        <v>17634.0</v>
      </c>
      <c r="G9" s="105" t="s">
        <v>170</v>
      </c>
      <c r="H9" s="57" t="s">
        <v>43</v>
      </c>
      <c r="I9" s="107" t="s">
        <v>178</v>
      </c>
      <c r="J9" s="57" t="s">
        <v>46</v>
      </c>
      <c r="K9" s="57" t="s">
        <v>47</v>
      </c>
      <c r="L9" s="57" t="s">
        <v>47</v>
      </c>
      <c r="M9" s="103" t="s">
        <v>186</v>
      </c>
      <c r="N9" s="50" t="s">
        <v>32</v>
      </c>
      <c r="O9" s="10" t="s">
        <v>187</v>
      </c>
      <c r="P9" s="50" t="s">
        <v>188</v>
      </c>
      <c r="Q9" s="10" t="s">
        <v>189</v>
      </c>
      <c r="R9" s="50"/>
      <c r="S9" s="50" t="s">
        <v>190</v>
      </c>
      <c r="T9" s="50">
        <v>1.0</v>
      </c>
      <c r="U9" s="50">
        <v>0.0</v>
      </c>
      <c r="V9" s="50">
        <v>6.0</v>
      </c>
      <c r="W9" s="50">
        <v>0.0</v>
      </c>
      <c r="X9" s="50" t="s">
        <v>192</v>
      </c>
      <c r="Y9" s="50" t="s">
        <v>61</v>
      </c>
      <c r="Z9" s="10"/>
      <c r="AA9" s="50" t="s">
        <v>195</v>
      </c>
      <c r="AB9" s="111">
        <f>COUNTIF(N6:N604,"APP")</f>
        <v>1</v>
      </c>
      <c r="AC9" s="10"/>
      <c r="AD9" s="10"/>
      <c r="AE9" s="10"/>
    </row>
    <row r="10" ht="30.75" customHeight="1">
      <c r="A10" s="50">
        <v>5.0</v>
      </c>
      <c r="B10" s="50" t="s">
        <v>202</v>
      </c>
      <c r="C10" s="50" t="s">
        <v>203</v>
      </c>
      <c r="D10" s="81">
        <v>45015.0</v>
      </c>
      <c r="E10" s="63">
        <v>45028.0</v>
      </c>
      <c r="F10" s="50">
        <v>3414.0</v>
      </c>
      <c r="G10" s="50" t="s">
        <v>84</v>
      </c>
      <c r="H10" s="50" t="s">
        <v>205</v>
      </c>
      <c r="I10" s="67" t="s">
        <v>206</v>
      </c>
      <c r="J10" s="50" t="s">
        <v>207</v>
      </c>
      <c r="K10" s="50" t="s">
        <v>209</v>
      </c>
      <c r="L10" s="50" t="s">
        <v>210</v>
      </c>
      <c r="M10" s="50" t="s">
        <v>212</v>
      </c>
      <c r="N10" s="50" t="s">
        <v>50</v>
      </c>
      <c r="O10" s="50" t="s">
        <v>214</v>
      </c>
      <c r="P10" s="50" t="s">
        <v>216</v>
      </c>
      <c r="Q10" s="50" t="s">
        <v>217</v>
      </c>
      <c r="R10" s="50">
        <v>9.85534642E8</v>
      </c>
      <c r="S10" s="50" t="s">
        <v>219</v>
      </c>
      <c r="T10" s="50">
        <v>1.0</v>
      </c>
      <c r="U10" s="50">
        <v>0.0</v>
      </c>
      <c r="V10" s="50">
        <v>5.0</v>
      </c>
      <c r="W10" s="50">
        <v>0.0</v>
      </c>
      <c r="X10" s="50" t="s">
        <v>220</v>
      </c>
      <c r="Y10" s="50" t="s">
        <v>61</v>
      </c>
      <c r="Z10" s="10"/>
      <c r="AA10" s="50" t="s">
        <v>221</v>
      </c>
      <c r="AB10" s="111">
        <f>COUNTIF(N7:N605,"PNP")</f>
        <v>0</v>
      </c>
      <c r="AC10" s="10"/>
      <c r="AD10" s="10"/>
      <c r="AE10" s="10"/>
    </row>
    <row r="11" ht="27.75" customHeight="1">
      <c r="A11" s="50">
        <v>6.0</v>
      </c>
      <c r="B11" s="50" t="s">
        <v>230</v>
      </c>
      <c r="C11" s="75" t="s">
        <v>232</v>
      </c>
      <c r="D11" s="81">
        <v>45099.0</v>
      </c>
      <c r="E11" s="63">
        <v>45103.0</v>
      </c>
      <c r="F11" s="50">
        <v>18319.0</v>
      </c>
      <c r="G11" s="50" t="s">
        <v>63</v>
      </c>
      <c r="H11" s="50" t="s">
        <v>235</v>
      </c>
      <c r="I11" s="67" t="s">
        <v>236</v>
      </c>
      <c r="J11" s="50" t="s">
        <v>240</v>
      </c>
      <c r="K11" s="50" t="s">
        <v>240</v>
      </c>
      <c r="L11" s="50" t="s">
        <v>240</v>
      </c>
      <c r="M11" s="50" t="s">
        <v>241</v>
      </c>
      <c r="N11" s="50" t="s">
        <v>195</v>
      </c>
      <c r="O11" s="50" t="s">
        <v>246</v>
      </c>
      <c r="P11" s="50" t="s">
        <v>248</v>
      </c>
      <c r="Q11" s="50" t="s">
        <v>250</v>
      </c>
      <c r="R11" s="50" t="s">
        <v>252</v>
      </c>
      <c r="S11" s="50" t="s">
        <v>254</v>
      </c>
      <c r="T11" s="50">
        <v>1.0</v>
      </c>
      <c r="U11" s="50">
        <v>0.0</v>
      </c>
      <c r="V11" s="50">
        <v>10.0</v>
      </c>
      <c r="W11" s="50">
        <v>0.0</v>
      </c>
      <c r="X11" s="50" t="s">
        <v>259</v>
      </c>
      <c r="Y11" s="50" t="s">
        <v>261</v>
      </c>
      <c r="Z11" s="10"/>
      <c r="AA11" s="10"/>
      <c r="AB11" s="10"/>
      <c r="AC11" s="10"/>
      <c r="AD11" s="10"/>
      <c r="AE11" s="10"/>
    </row>
    <row r="12">
      <c r="A12" s="103">
        <v>7.0</v>
      </c>
      <c r="B12" s="50" t="s">
        <v>263</v>
      </c>
      <c r="C12" s="50" t="s">
        <v>264</v>
      </c>
      <c r="D12" s="128">
        <v>45159.0</v>
      </c>
      <c r="E12" s="102">
        <v>45162.0</v>
      </c>
      <c r="F12" s="103">
        <v>7277.0</v>
      </c>
      <c r="G12" s="103" t="s">
        <v>42</v>
      </c>
      <c r="H12" s="50" t="s">
        <v>267</v>
      </c>
      <c r="I12" s="132" t="s">
        <v>268</v>
      </c>
      <c r="J12" s="50" t="s">
        <v>272</v>
      </c>
      <c r="K12" s="50" t="s">
        <v>125</v>
      </c>
      <c r="L12" s="50"/>
      <c r="M12" s="50" t="s">
        <v>274</v>
      </c>
      <c r="N12" s="50"/>
      <c r="O12" s="50" t="s">
        <v>278</v>
      </c>
      <c r="P12" s="135" t="s">
        <v>279</v>
      </c>
      <c r="Q12" s="50" t="s">
        <v>285</v>
      </c>
      <c r="R12" s="50" t="s">
        <v>288</v>
      </c>
      <c r="S12" s="50" t="s">
        <v>290</v>
      </c>
      <c r="T12" s="50">
        <v>1.0</v>
      </c>
      <c r="U12" s="50">
        <v>0.0</v>
      </c>
      <c r="V12" s="50">
        <v>6.0</v>
      </c>
      <c r="W12" s="50">
        <v>2.0</v>
      </c>
      <c r="X12" s="138" t="s">
        <v>295</v>
      </c>
      <c r="Y12" s="50" t="s">
        <v>61</v>
      </c>
      <c r="Z12" s="10"/>
      <c r="AA12" s="10"/>
      <c r="AB12" s="10"/>
      <c r="AC12" s="10"/>
      <c r="AD12" s="10"/>
      <c r="AE12" s="10"/>
    </row>
    <row r="13" ht="33.0" customHeight="1">
      <c r="A13" s="50">
        <v>8.0</v>
      </c>
      <c r="B13" s="50" t="s">
        <v>301</v>
      </c>
      <c r="C13" s="50" t="s">
        <v>302</v>
      </c>
      <c r="D13" s="141">
        <v>45239.0</v>
      </c>
      <c r="E13" s="142">
        <v>45245.0</v>
      </c>
      <c r="F13" s="50">
        <v>6733.0</v>
      </c>
      <c r="G13" s="50" t="s">
        <v>84</v>
      </c>
      <c r="H13" s="50" t="s">
        <v>315</v>
      </c>
      <c r="I13" s="67" t="s">
        <v>317</v>
      </c>
      <c r="J13" s="50" t="s">
        <v>319</v>
      </c>
      <c r="K13" s="50" t="s">
        <v>319</v>
      </c>
      <c r="L13" s="50" t="s">
        <v>322</v>
      </c>
      <c r="M13" s="50" t="s">
        <v>323</v>
      </c>
      <c r="N13" s="50" t="s">
        <v>50</v>
      </c>
      <c r="O13" s="50" t="s">
        <v>326</v>
      </c>
      <c r="P13" s="50">
        <v>9.43764563E8</v>
      </c>
      <c r="Q13" s="50" t="s">
        <v>330</v>
      </c>
      <c r="R13" s="50">
        <v>9.43764563E8</v>
      </c>
      <c r="S13" s="50" t="s">
        <v>333</v>
      </c>
      <c r="T13" s="50">
        <v>2.0</v>
      </c>
      <c r="U13" s="50">
        <v>0.0</v>
      </c>
      <c r="V13" s="50">
        <v>5.0</v>
      </c>
      <c r="W13" s="50">
        <v>0.0</v>
      </c>
      <c r="X13" s="50" t="s">
        <v>338</v>
      </c>
      <c r="Y13" s="50" t="s">
        <v>61</v>
      </c>
      <c r="Z13" s="10"/>
      <c r="AA13" s="10"/>
      <c r="AB13" s="10"/>
      <c r="AC13" s="10"/>
      <c r="AD13" s="10"/>
      <c r="AE13" s="10"/>
    </row>
    <row r="14" ht="31.5" customHeight="1">
      <c r="A14" s="50">
        <v>9.0</v>
      </c>
      <c r="B14" s="50" t="s">
        <v>346</v>
      </c>
      <c r="C14" s="75" t="s">
        <v>348</v>
      </c>
      <c r="D14" s="146">
        <v>45385.0</v>
      </c>
      <c r="E14" s="63">
        <v>45390.0</v>
      </c>
      <c r="F14" s="50">
        <v>10533.0</v>
      </c>
      <c r="G14" s="50" t="s">
        <v>63</v>
      </c>
      <c r="H14" s="50" t="s">
        <v>235</v>
      </c>
      <c r="I14" s="67" t="s">
        <v>364</v>
      </c>
      <c r="J14" s="50" t="s">
        <v>240</v>
      </c>
      <c r="K14" s="50" t="s">
        <v>240</v>
      </c>
      <c r="L14" s="50" t="s">
        <v>240</v>
      </c>
      <c r="M14" s="16" t="s">
        <v>370</v>
      </c>
      <c r="N14" s="50" t="s">
        <v>69</v>
      </c>
      <c r="O14" s="50" t="s">
        <v>372</v>
      </c>
      <c r="P14" s="50" t="s">
        <v>374</v>
      </c>
      <c r="Q14" s="16" t="s">
        <v>375</v>
      </c>
      <c r="R14" s="50" t="s">
        <v>376</v>
      </c>
      <c r="S14" s="50" t="s">
        <v>377</v>
      </c>
      <c r="T14" s="50">
        <v>1.0</v>
      </c>
      <c r="U14" s="50">
        <v>0.0</v>
      </c>
      <c r="V14" s="50">
        <v>5.0</v>
      </c>
      <c r="W14" s="50">
        <v>0.0</v>
      </c>
      <c r="X14" s="16" t="s">
        <v>383</v>
      </c>
      <c r="Y14" s="50" t="s">
        <v>61</v>
      </c>
      <c r="Z14" s="10"/>
      <c r="AA14" s="148" t="s">
        <v>385</v>
      </c>
      <c r="AB14" s="148" t="s">
        <v>391</v>
      </c>
      <c r="AC14" s="10"/>
      <c r="AD14" s="10"/>
      <c r="AE14" s="10"/>
    </row>
    <row r="15">
      <c r="A15" s="50">
        <v>10.0</v>
      </c>
      <c r="B15" s="50" t="s">
        <v>396</v>
      </c>
      <c r="C15" s="50" t="s">
        <v>399</v>
      </c>
      <c r="D15" s="149">
        <v>45684.0</v>
      </c>
      <c r="E15" s="63">
        <v>45685.0</v>
      </c>
      <c r="F15" s="50">
        <v>932.0</v>
      </c>
      <c r="G15" s="50" t="s">
        <v>84</v>
      </c>
      <c r="H15" s="50" t="s">
        <v>412</v>
      </c>
      <c r="I15" s="80" t="s">
        <v>414</v>
      </c>
      <c r="J15" s="50" t="s">
        <v>415</v>
      </c>
      <c r="K15" s="50" t="s">
        <v>417</v>
      </c>
      <c r="L15" s="50" t="s">
        <v>419</v>
      </c>
      <c r="M15" s="50" t="s">
        <v>421</v>
      </c>
      <c r="N15" s="50" t="s">
        <v>50</v>
      </c>
      <c r="O15" s="50" t="s">
        <v>424</v>
      </c>
      <c r="P15" s="50" t="s">
        <v>427</v>
      </c>
      <c r="Q15" s="50" t="s">
        <v>429</v>
      </c>
      <c r="R15" s="50" t="s">
        <v>431</v>
      </c>
      <c r="S15" s="50" t="s">
        <v>436</v>
      </c>
      <c r="T15" s="50">
        <v>1.0</v>
      </c>
      <c r="U15" s="50">
        <v>0.0</v>
      </c>
      <c r="V15" s="50">
        <v>2.0</v>
      </c>
      <c r="W15" s="50">
        <v>5.0</v>
      </c>
      <c r="X15" s="50" t="s">
        <v>441</v>
      </c>
      <c r="Y15" s="50"/>
      <c r="Z15" s="10"/>
      <c r="AA15" s="151" t="s">
        <v>142</v>
      </c>
      <c r="AB15" s="152">
        <f t="shared" ref="AB15:AB40" si="1">COUNTIF($L$6:$L$599,AA15)</f>
        <v>0</v>
      </c>
      <c r="AC15" s="10"/>
      <c r="AD15" s="10"/>
      <c r="AE15" s="10"/>
    </row>
    <row r="16">
      <c r="A16" s="50">
        <v>11.0</v>
      </c>
      <c r="B16" s="50" t="s">
        <v>458</v>
      </c>
      <c r="C16" s="50" t="s">
        <v>459</v>
      </c>
      <c r="D16" s="149">
        <v>45694.0</v>
      </c>
      <c r="E16" s="63">
        <v>45695.0</v>
      </c>
      <c r="F16" s="50">
        <v>16157.0</v>
      </c>
      <c r="G16" s="50" t="s">
        <v>84</v>
      </c>
      <c r="H16" s="50" t="s">
        <v>462</v>
      </c>
      <c r="I16" s="153" t="s">
        <v>465</v>
      </c>
      <c r="J16" s="50" t="s">
        <v>469</v>
      </c>
      <c r="K16" s="50" t="s">
        <v>470</v>
      </c>
      <c r="L16" s="50" t="s">
        <v>469</v>
      </c>
      <c r="M16" s="154" t="s">
        <v>472</v>
      </c>
      <c r="N16" s="50" t="s">
        <v>69</v>
      </c>
      <c r="O16" s="50" t="s">
        <v>479</v>
      </c>
      <c r="P16" s="50" t="s">
        <v>481</v>
      </c>
      <c r="Q16" s="50" t="s">
        <v>483</v>
      </c>
      <c r="R16" s="50"/>
      <c r="S16" s="50" t="s">
        <v>487</v>
      </c>
      <c r="T16" s="50">
        <v>1.0</v>
      </c>
      <c r="U16" s="50">
        <v>0.0</v>
      </c>
      <c r="V16" s="50">
        <v>0.0</v>
      </c>
      <c r="W16" s="50">
        <v>9.0</v>
      </c>
      <c r="X16" s="16" t="s">
        <v>492</v>
      </c>
      <c r="Y16" s="50" t="s">
        <v>493</v>
      </c>
      <c r="Z16" s="10"/>
      <c r="AA16" s="151" t="s">
        <v>496</v>
      </c>
      <c r="AB16" s="152">
        <f t="shared" si="1"/>
        <v>1</v>
      </c>
      <c r="AC16" s="10"/>
      <c r="AD16" s="10"/>
      <c r="AE16" s="10"/>
    </row>
    <row r="17">
      <c r="A17" s="57">
        <v>12.0</v>
      </c>
      <c r="B17" s="50" t="s">
        <v>499</v>
      </c>
      <c r="C17" s="75" t="s">
        <v>500</v>
      </c>
      <c r="D17" s="155">
        <v>45712.0</v>
      </c>
      <c r="E17" s="63">
        <v>45714.0</v>
      </c>
      <c r="F17" s="50">
        <v>4659.0</v>
      </c>
      <c r="G17" s="50" t="s">
        <v>84</v>
      </c>
      <c r="H17" s="50" t="s">
        <v>506</v>
      </c>
      <c r="I17" s="80" t="s">
        <v>508</v>
      </c>
      <c r="J17" s="50" t="s">
        <v>510</v>
      </c>
      <c r="K17" s="50" t="s">
        <v>510</v>
      </c>
      <c r="L17" s="50" t="s">
        <v>496</v>
      </c>
      <c r="M17" s="50" t="s">
        <v>514</v>
      </c>
      <c r="N17" s="50" t="s">
        <v>50</v>
      </c>
      <c r="O17" s="50" t="s">
        <v>517</v>
      </c>
      <c r="P17" s="157" t="s">
        <v>519</v>
      </c>
      <c r="Q17" s="50" t="s">
        <v>526</v>
      </c>
      <c r="R17" s="50">
        <v>9.78005506E8</v>
      </c>
      <c r="S17" s="50" t="s">
        <v>529</v>
      </c>
      <c r="T17" s="50">
        <v>1.0</v>
      </c>
      <c r="U17" s="50" t="s">
        <v>532</v>
      </c>
      <c r="V17" s="50">
        <v>5.0</v>
      </c>
      <c r="W17" s="50">
        <v>0.0</v>
      </c>
      <c r="X17" s="158" t="s">
        <v>536</v>
      </c>
      <c r="Y17" s="50" t="s">
        <v>61</v>
      </c>
      <c r="Z17" s="10"/>
      <c r="AA17" s="151" t="s">
        <v>240</v>
      </c>
      <c r="AB17" s="152">
        <f t="shared" si="1"/>
        <v>2</v>
      </c>
      <c r="AC17" s="10"/>
      <c r="AD17" s="10"/>
      <c r="AE17" s="10"/>
    </row>
    <row r="18">
      <c r="A18" s="50">
        <v>12.0</v>
      </c>
      <c r="B18" s="50" t="s">
        <v>555</v>
      </c>
      <c r="C18" s="75" t="s">
        <v>557</v>
      </c>
      <c r="D18" s="160">
        <v>45740.0</v>
      </c>
      <c r="E18" s="63">
        <v>45742.0</v>
      </c>
      <c r="F18" s="50">
        <v>6213.0</v>
      </c>
      <c r="G18" s="50" t="s">
        <v>123</v>
      </c>
      <c r="H18" s="50" t="s">
        <v>43</v>
      </c>
      <c r="I18" s="80" t="s">
        <v>571</v>
      </c>
      <c r="J18" s="50" t="s">
        <v>67</v>
      </c>
      <c r="K18" s="50" t="s">
        <v>47</v>
      </c>
      <c r="L18" s="50" t="s">
        <v>47</v>
      </c>
      <c r="M18" s="50" t="s">
        <v>572</v>
      </c>
      <c r="N18" s="50" t="s">
        <v>50</v>
      </c>
      <c r="O18" s="50" t="s">
        <v>574</v>
      </c>
      <c r="P18" s="50" t="s">
        <v>575</v>
      </c>
      <c r="Q18" s="50" t="s">
        <v>576</v>
      </c>
      <c r="R18" s="50" t="s">
        <v>577</v>
      </c>
      <c r="S18" s="50" t="s">
        <v>580</v>
      </c>
      <c r="T18" s="50">
        <v>2.0</v>
      </c>
      <c r="U18" s="50">
        <v>0.0</v>
      </c>
      <c r="V18" s="50">
        <v>9.0</v>
      </c>
      <c r="W18" s="50">
        <v>0.0</v>
      </c>
      <c r="X18" s="50" t="s">
        <v>583</v>
      </c>
      <c r="Y18" s="50"/>
      <c r="Z18" s="10"/>
      <c r="AA18" s="151" t="s">
        <v>586</v>
      </c>
      <c r="AB18" s="152">
        <f t="shared" si="1"/>
        <v>0</v>
      </c>
      <c r="AC18" s="10"/>
      <c r="AD18" s="10"/>
      <c r="AE18" s="10"/>
    </row>
    <row r="19">
      <c r="A19" s="50">
        <v>14.0</v>
      </c>
      <c r="B19" s="50" t="s">
        <v>595</v>
      </c>
      <c r="C19" s="75" t="s">
        <v>596</v>
      </c>
      <c r="D19" s="160">
        <v>45743.0</v>
      </c>
      <c r="E19" s="63">
        <v>45749.0</v>
      </c>
      <c r="F19" s="50">
        <v>2161.0</v>
      </c>
      <c r="G19" s="50" t="s">
        <v>84</v>
      </c>
      <c r="H19" s="50" t="s">
        <v>603</v>
      </c>
      <c r="I19" s="80" t="s">
        <v>605</v>
      </c>
      <c r="J19" s="50" t="s">
        <v>606</v>
      </c>
      <c r="K19" s="50" t="s">
        <v>608</v>
      </c>
      <c r="L19" s="50" t="s">
        <v>610</v>
      </c>
      <c r="M19" s="50" t="s">
        <v>612</v>
      </c>
      <c r="N19" s="50" t="s">
        <v>50</v>
      </c>
      <c r="O19" s="50" t="s">
        <v>617</v>
      </c>
      <c r="P19" s="50" t="s">
        <v>619</v>
      </c>
      <c r="Q19" s="50" t="s">
        <v>620</v>
      </c>
      <c r="R19" s="50" t="s">
        <v>622</v>
      </c>
      <c r="S19" s="50" t="s">
        <v>624</v>
      </c>
      <c r="T19" s="50">
        <v>1.0</v>
      </c>
      <c r="U19" s="50">
        <v>0.0</v>
      </c>
      <c r="V19" s="50">
        <v>6.0</v>
      </c>
      <c r="W19" s="50">
        <v>0.0</v>
      </c>
      <c r="X19" s="50" t="s">
        <v>628</v>
      </c>
      <c r="Y19" s="50"/>
      <c r="Z19" s="10"/>
      <c r="AA19" s="151" t="s">
        <v>634</v>
      </c>
      <c r="AB19" s="152">
        <f t="shared" si="1"/>
        <v>0</v>
      </c>
      <c r="AC19" s="10"/>
      <c r="AD19" s="10"/>
      <c r="AE19" s="10"/>
    </row>
    <row r="20" ht="15.75" customHeight="1">
      <c r="A20" s="50">
        <v>15.0</v>
      </c>
      <c r="B20" s="50" t="s">
        <v>644</v>
      </c>
      <c r="C20" s="75" t="s">
        <v>647</v>
      </c>
      <c r="D20" s="160">
        <v>45776.0</v>
      </c>
      <c r="E20" s="63">
        <v>45782.0</v>
      </c>
      <c r="F20" s="50">
        <v>9116.0</v>
      </c>
      <c r="G20" s="50" t="s">
        <v>123</v>
      </c>
      <c r="H20" s="50" t="s">
        <v>43</v>
      </c>
      <c r="I20" s="80" t="s">
        <v>650</v>
      </c>
      <c r="J20" s="50" t="s">
        <v>651</v>
      </c>
      <c r="K20" s="50" t="s">
        <v>47</v>
      </c>
      <c r="L20" s="50" t="s">
        <v>47</v>
      </c>
      <c r="M20" s="50" t="s">
        <v>657</v>
      </c>
      <c r="N20" s="50" t="s">
        <v>32</v>
      </c>
      <c r="O20" s="50" t="s">
        <v>660</v>
      </c>
      <c r="P20" s="50" t="s">
        <v>661</v>
      </c>
      <c r="Q20" s="50" t="s">
        <v>665</v>
      </c>
      <c r="R20" s="50" t="s">
        <v>668</v>
      </c>
      <c r="S20" s="113" t="s">
        <v>670</v>
      </c>
      <c r="T20" s="50">
        <v>1.0</v>
      </c>
      <c r="U20" s="50">
        <v>0.0</v>
      </c>
      <c r="V20" s="50">
        <v>7.0</v>
      </c>
      <c r="W20" s="50">
        <v>0.0</v>
      </c>
      <c r="X20" s="50" t="s">
        <v>685</v>
      </c>
      <c r="Y20" s="50"/>
      <c r="Z20" s="10"/>
      <c r="AA20" s="151" t="s">
        <v>419</v>
      </c>
      <c r="AB20" s="152">
        <f t="shared" si="1"/>
        <v>1</v>
      </c>
      <c r="AC20" s="10"/>
      <c r="AD20" s="10"/>
      <c r="AE20" s="10"/>
    </row>
    <row r="21" ht="15.75" customHeight="1">
      <c r="A21" s="50">
        <v>16.0</v>
      </c>
      <c r="B21" s="50" t="s">
        <v>689</v>
      </c>
      <c r="C21" s="50" t="s">
        <v>690</v>
      </c>
      <c r="D21" s="166">
        <v>45798.0</v>
      </c>
      <c r="E21" s="63">
        <v>45804.0</v>
      </c>
      <c r="F21" s="50">
        <v>11337.0</v>
      </c>
      <c r="G21" s="50" t="s">
        <v>63</v>
      </c>
      <c r="H21" s="50" t="s">
        <v>704</v>
      </c>
      <c r="I21" s="80" t="s">
        <v>705</v>
      </c>
      <c r="J21" s="50" t="s">
        <v>707</v>
      </c>
      <c r="K21" s="50" t="s">
        <v>709</v>
      </c>
      <c r="L21" s="50" t="s">
        <v>47</v>
      </c>
      <c r="M21" s="50" t="s">
        <v>714</v>
      </c>
      <c r="N21" s="50" t="s">
        <v>69</v>
      </c>
      <c r="O21" s="50" t="s">
        <v>719</v>
      </c>
      <c r="P21" s="50"/>
      <c r="Q21" s="50" t="s">
        <v>723</v>
      </c>
      <c r="R21" s="50">
        <v>9.96786248E8</v>
      </c>
      <c r="S21" s="50" t="s">
        <v>729</v>
      </c>
      <c r="T21" s="50">
        <v>1.0</v>
      </c>
      <c r="U21" s="50">
        <v>0.0</v>
      </c>
      <c r="V21" s="50">
        <v>5.0</v>
      </c>
      <c r="W21" s="50">
        <v>0.0</v>
      </c>
      <c r="X21" s="50" t="s">
        <v>732</v>
      </c>
      <c r="Y21" s="50"/>
      <c r="Z21" s="10"/>
      <c r="AA21" s="151" t="s">
        <v>210</v>
      </c>
      <c r="AB21" s="152">
        <f t="shared" si="1"/>
        <v>1</v>
      </c>
      <c r="AC21" s="10"/>
      <c r="AD21" s="10"/>
      <c r="AE21" s="10"/>
    </row>
    <row r="22" ht="15.75" customHeight="1">
      <c r="A22" s="50">
        <v>17.0</v>
      </c>
      <c r="B22" s="50" t="s">
        <v>739</v>
      </c>
      <c r="C22" s="50" t="s">
        <v>742</v>
      </c>
      <c r="D22" s="160">
        <v>45785.0</v>
      </c>
      <c r="E22" s="63">
        <v>45789.0</v>
      </c>
      <c r="F22" s="50">
        <v>8746.0</v>
      </c>
      <c r="G22" s="50" t="s">
        <v>63</v>
      </c>
      <c r="H22" s="50" t="s">
        <v>43</v>
      </c>
      <c r="I22" s="80" t="s">
        <v>749</v>
      </c>
      <c r="J22" s="50" t="s">
        <v>67</v>
      </c>
      <c r="K22" s="50" t="s">
        <v>47</v>
      </c>
      <c r="L22" s="50" t="s">
        <v>47</v>
      </c>
      <c r="M22" s="50" t="s">
        <v>753</v>
      </c>
      <c r="N22" s="50" t="s">
        <v>32</v>
      </c>
      <c r="O22" s="50" t="s">
        <v>754</v>
      </c>
      <c r="P22" s="50" t="s">
        <v>757</v>
      </c>
      <c r="Q22" s="50" t="s">
        <v>759</v>
      </c>
      <c r="R22" s="50" t="s">
        <v>762</v>
      </c>
      <c r="S22" s="113" t="s">
        <v>763</v>
      </c>
      <c r="T22" s="50">
        <v>1.0</v>
      </c>
      <c r="U22" s="50">
        <v>0.0</v>
      </c>
      <c r="V22" s="50">
        <v>4.0</v>
      </c>
      <c r="W22" s="50">
        <v>0.0</v>
      </c>
      <c r="X22" s="50" t="s">
        <v>767</v>
      </c>
      <c r="Y22" s="50"/>
      <c r="Z22" s="10"/>
      <c r="AA22" s="151" t="s">
        <v>179</v>
      </c>
      <c r="AB22" s="152">
        <f t="shared" si="1"/>
        <v>0</v>
      </c>
      <c r="AC22" s="10"/>
      <c r="AD22" s="10"/>
      <c r="AE22" s="10"/>
    </row>
    <row r="23" ht="15.75" customHeight="1">
      <c r="A23" s="50">
        <v>18.0</v>
      </c>
      <c r="B23" s="50" t="s">
        <v>791</v>
      </c>
      <c r="C23" s="50" t="s">
        <v>792</v>
      </c>
      <c r="D23" s="166">
        <v>45789.0</v>
      </c>
      <c r="E23" s="63">
        <v>45792.0</v>
      </c>
      <c r="F23" s="50">
        <v>12633.0</v>
      </c>
      <c r="G23" s="50" t="s">
        <v>63</v>
      </c>
      <c r="H23" s="50" t="s">
        <v>43</v>
      </c>
      <c r="I23" s="80" t="s">
        <v>797</v>
      </c>
      <c r="J23" s="50" t="s">
        <v>126</v>
      </c>
      <c r="K23" s="50" t="s">
        <v>47</v>
      </c>
      <c r="L23" s="50" t="s">
        <v>47</v>
      </c>
      <c r="M23" s="50" t="s">
        <v>801</v>
      </c>
      <c r="N23" s="50" t="s">
        <v>32</v>
      </c>
      <c r="O23" s="50" t="s">
        <v>806</v>
      </c>
      <c r="P23" s="50" t="s">
        <v>808</v>
      </c>
      <c r="Q23" s="50" t="s">
        <v>809</v>
      </c>
      <c r="R23" s="50" t="s">
        <v>810</v>
      </c>
      <c r="S23" s="50" t="s">
        <v>812</v>
      </c>
      <c r="T23" s="50">
        <v>1.0</v>
      </c>
      <c r="U23" s="50" t="s">
        <v>817</v>
      </c>
      <c r="V23" s="50">
        <v>5.0</v>
      </c>
      <c r="W23" s="50">
        <v>0.0</v>
      </c>
      <c r="X23" s="50" t="s">
        <v>821</v>
      </c>
      <c r="Y23" s="50"/>
      <c r="Z23" s="10"/>
      <c r="AA23" s="151" t="s">
        <v>826</v>
      </c>
      <c r="AB23" s="152">
        <f t="shared" si="1"/>
        <v>0</v>
      </c>
      <c r="AC23" s="10"/>
      <c r="AD23" s="10"/>
      <c r="AE23" s="10"/>
    </row>
    <row r="24" ht="15.75" customHeight="1">
      <c r="A24" s="50">
        <v>19.0</v>
      </c>
      <c r="B24" s="50" t="s">
        <v>834</v>
      </c>
      <c r="C24" s="50" t="s">
        <v>836</v>
      </c>
      <c r="D24" s="166">
        <v>45903.0</v>
      </c>
      <c r="E24" s="63">
        <v>45904.0</v>
      </c>
      <c r="F24" s="50">
        <v>10182.0</v>
      </c>
      <c r="G24" s="50" t="s">
        <v>63</v>
      </c>
      <c r="H24" s="50" t="s">
        <v>153</v>
      </c>
      <c r="I24" s="80" t="s">
        <v>847</v>
      </c>
      <c r="J24" s="50" t="s">
        <v>849</v>
      </c>
      <c r="K24" s="50" t="s">
        <v>47</v>
      </c>
      <c r="L24" s="50" t="s">
        <v>47</v>
      </c>
      <c r="M24" s="50" t="s">
        <v>851</v>
      </c>
      <c r="N24" s="50" t="s">
        <v>32</v>
      </c>
      <c r="O24" s="50" t="s">
        <v>854</v>
      </c>
      <c r="P24" s="50"/>
      <c r="Q24" s="113" t="s">
        <v>856</v>
      </c>
      <c r="R24" s="50">
        <v>9.94275146E8</v>
      </c>
      <c r="S24" s="50" t="s">
        <v>860</v>
      </c>
      <c r="T24" s="50">
        <v>2.0</v>
      </c>
      <c r="U24" s="50" t="s">
        <v>865</v>
      </c>
      <c r="V24" s="50">
        <v>6.0</v>
      </c>
      <c r="W24" s="50">
        <v>0.0</v>
      </c>
      <c r="X24" s="50" t="s">
        <v>870</v>
      </c>
      <c r="Y24" s="50" t="s">
        <v>872</v>
      </c>
      <c r="Z24" s="10"/>
      <c r="AA24" s="151" t="s">
        <v>88</v>
      </c>
      <c r="AB24" s="152">
        <f t="shared" si="1"/>
        <v>1</v>
      </c>
      <c r="AC24" s="10"/>
      <c r="AD24" s="10"/>
      <c r="AE24" s="10"/>
    </row>
    <row r="25" ht="30.0" customHeight="1">
      <c r="A25" s="50">
        <v>20.0</v>
      </c>
      <c r="B25" s="50" t="s">
        <v>878</v>
      </c>
      <c r="C25" s="50" t="s">
        <v>880</v>
      </c>
      <c r="D25" s="166">
        <v>45909.0</v>
      </c>
      <c r="E25" s="63">
        <v>45910.0</v>
      </c>
      <c r="F25" s="50">
        <v>9682.0</v>
      </c>
      <c r="G25" s="50" t="s">
        <v>63</v>
      </c>
      <c r="H25" s="50" t="s">
        <v>43</v>
      </c>
      <c r="I25" s="80" t="s">
        <v>888</v>
      </c>
      <c r="J25" s="50" t="s">
        <v>46</v>
      </c>
      <c r="K25" s="50" t="s">
        <v>47</v>
      </c>
      <c r="L25" s="50" t="s">
        <v>47</v>
      </c>
      <c r="M25" s="50" t="s">
        <v>891</v>
      </c>
      <c r="N25" s="50" t="s">
        <v>32</v>
      </c>
      <c r="O25" s="50" t="s">
        <v>894</v>
      </c>
      <c r="P25" s="172" t="s">
        <v>895</v>
      </c>
      <c r="Q25" s="50" t="s">
        <v>904</v>
      </c>
      <c r="R25" s="50"/>
      <c r="S25" s="50" t="s">
        <v>906</v>
      </c>
      <c r="T25" s="50">
        <v>1.0</v>
      </c>
      <c r="U25" s="50" t="s">
        <v>908</v>
      </c>
      <c r="V25" s="50">
        <v>5.0</v>
      </c>
      <c r="W25" s="50">
        <v>0.0</v>
      </c>
      <c r="X25" s="50" t="s">
        <v>912</v>
      </c>
      <c r="Y25" s="50"/>
      <c r="Z25" s="10"/>
      <c r="AA25" s="151" t="s">
        <v>281</v>
      </c>
      <c r="AB25" s="152">
        <f t="shared" si="1"/>
        <v>0</v>
      </c>
      <c r="AC25" s="10"/>
      <c r="AD25" s="10"/>
      <c r="AE25" s="10"/>
    </row>
    <row r="26" ht="15.75" customHeight="1">
      <c r="A26" s="50">
        <v>21.0</v>
      </c>
      <c r="B26" s="50" t="s">
        <v>917</v>
      </c>
      <c r="C26" s="113" t="s">
        <v>918</v>
      </c>
      <c r="D26" s="76">
        <v>46015.0</v>
      </c>
      <c r="E26" s="142">
        <v>46015.0</v>
      </c>
      <c r="F26" s="50">
        <v>8325.0</v>
      </c>
      <c r="G26" s="50" t="s">
        <v>84</v>
      </c>
      <c r="H26" s="50" t="s">
        <v>43</v>
      </c>
      <c r="I26" s="80" t="s">
        <v>926</v>
      </c>
      <c r="J26" s="113" t="s">
        <v>437</v>
      </c>
      <c r="K26" s="50" t="s">
        <v>717</v>
      </c>
      <c r="L26" s="50" t="s">
        <v>47</v>
      </c>
      <c r="M26" s="50" t="s">
        <v>930</v>
      </c>
      <c r="N26" s="50" t="s">
        <v>32</v>
      </c>
      <c r="O26" s="50" t="s">
        <v>935</v>
      </c>
      <c r="P26" s="50" t="s">
        <v>937</v>
      </c>
      <c r="Q26" s="50" t="s">
        <v>940</v>
      </c>
      <c r="R26" s="50">
        <v>9.44756739E8</v>
      </c>
      <c r="S26" s="50" t="s">
        <v>941</v>
      </c>
      <c r="T26" s="50">
        <v>1.0</v>
      </c>
      <c r="U26" s="50" t="s">
        <v>944</v>
      </c>
      <c r="V26" s="50">
        <v>6.0</v>
      </c>
      <c r="W26" s="50">
        <v>0.0</v>
      </c>
      <c r="X26" s="50" t="s">
        <v>950</v>
      </c>
      <c r="Y26" s="50"/>
      <c r="Z26" s="10"/>
      <c r="AA26" s="151" t="s">
        <v>47</v>
      </c>
      <c r="AB26" s="152">
        <f t="shared" si="1"/>
        <v>11</v>
      </c>
      <c r="AC26" s="10"/>
      <c r="AD26" s="10"/>
      <c r="AE26" s="10"/>
    </row>
    <row r="27" ht="15.75" customHeight="1">
      <c r="A27" s="113">
        <v>22.0</v>
      </c>
      <c r="B27" s="113" t="s">
        <v>960</v>
      </c>
      <c r="C27" s="113" t="s">
        <v>963</v>
      </c>
      <c r="D27" s="113" t="s">
        <v>964</v>
      </c>
      <c r="E27" s="113" t="s">
        <v>964</v>
      </c>
      <c r="F27" s="113">
        <v>10244.0</v>
      </c>
      <c r="G27" s="113" t="s">
        <v>84</v>
      </c>
      <c r="H27" s="113" t="s">
        <v>603</v>
      </c>
      <c r="I27" s="178" t="s">
        <v>968</v>
      </c>
      <c r="J27" s="113" t="s">
        <v>610</v>
      </c>
      <c r="K27" s="113" t="s">
        <v>610</v>
      </c>
      <c r="L27" s="113" t="s">
        <v>610</v>
      </c>
      <c r="M27" s="113" t="s">
        <v>983</v>
      </c>
      <c r="N27" s="113" t="s">
        <v>69</v>
      </c>
      <c r="O27" s="113" t="s">
        <v>988</v>
      </c>
      <c r="P27" s="50"/>
      <c r="Q27" s="113" t="s">
        <v>991</v>
      </c>
      <c r="R27" s="113">
        <v>9.66299426E8</v>
      </c>
      <c r="S27" s="179" t="s">
        <v>995</v>
      </c>
      <c r="T27" s="113">
        <v>1.0</v>
      </c>
      <c r="U27" s="113">
        <v>0.0</v>
      </c>
      <c r="V27" s="113">
        <v>6.0</v>
      </c>
      <c r="W27" s="113">
        <v>0.0</v>
      </c>
      <c r="X27" s="179" t="s">
        <v>1000</v>
      </c>
      <c r="Y27" s="113" t="s">
        <v>61</v>
      </c>
      <c r="Z27" s="10"/>
      <c r="AA27" s="151" t="s">
        <v>1003</v>
      </c>
      <c r="AB27" s="152">
        <f t="shared" si="1"/>
        <v>0</v>
      </c>
      <c r="AC27" s="10"/>
      <c r="AD27" s="10"/>
      <c r="AE27" s="10"/>
    </row>
    <row r="28" ht="15.75" customHeight="1">
      <c r="A28" s="50"/>
      <c r="B28" s="50"/>
      <c r="C28" s="50"/>
      <c r="D28" s="50"/>
      <c r="E28" s="50"/>
      <c r="F28" s="50"/>
      <c r="G28" s="50"/>
      <c r="H28" s="50"/>
      <c r="I28" s="80"/>
      <c r="J28" s="50"/>
      <c r="K28" s="50"/>
      <c r="L28" s="50"/>
      <c r="M28" s="50"/>
      <c r="N28" s="50"/>
      <c r="O28" s="50"/>
      <c r="P28" s="50"/>
      <c r="Q28" s="50"/>
      <c r="R28" s="50"/>
      <c r="S28" s="181"/>
      <c r="T28" s="50"/>
      <c r="U28" s="50"/>
      <c r="V28" s="50"/>
      <c r="W28" s="50"/>
      <c r="X28" s="50"/>
      <c r="Y28" s="50"/>
      <c r="Z28" s="10"/>
      <c r="AA28" s="151" t="s">
        <v>610</v>
      </c>
      <c r="AB28" s="152">
        <f t="shared" si="1"/>
        <v>2</v>
      </c>
      <c r="AC28" s="10"/>
      <c r="AD28" s="10"/>
      <c r="AE28" s="10"/>
    </row>
    <row r="29" ht="15.75" customHeight="1">
      <c r="A29" s="50"/>
      <c r="B29" s="50"/>
      <c r="C29" s="50"/>
      <c r="D29" s="50"/>
      <c r="E29" s="50"/>
      <c r="F29" s="50"/>
      <c r="G29" s="50"/>
      <c r="H29" s="50"/>
      <c r="I29" s="80"/>
      <c r="J29" s="50"/>
      <c r="K29" s="50"/>
      <c r="L29" s="50"/>
      <c r="M29" s="50"/>
      <c r="N29" s="50"/>
      <c r="O29" s="50"/>
      <c r="P29" s="50"/>
      <c r="Q29" s="50"/>
      <c r="R29" s="50"/>
      <c r="S29" s="179"/>
      <c r="T29" s="50"/>
      <c r="U29" s="50"/>
      <c r="V29" s="50"/>
      <c r="W29" s="50"/>
      <c r="X29" s="50"/>
      <c r="Y29" s="50"/>
      <c r="Z29" s="10"/>
      <c r="AA29" s="151" t="s">
        <v>322</v>
      </c>
      <c r="AB29" s="152">
        <f t="shared" si="1"/>
        <v>1</v>
      </c>
      <c r="AC29" s="10"/>
      <c r="AD29" s="10"/>
      <c r="AE29" s="10"/>
    </row>
    <row r="30" ht="15.75" customHeight="1">
      <c r="A30" s="50"/>
      <c r="B30" s="50"/>
      <c r="C30" s="50"/>
      <c r="D30" s="50"/>
      <c r="E30" s="50"/>
      <c r="F30" s="50"/>
      <c r="G30" s="50"/>
      <c r="H30" s="50"/>
      <c r="I30" s="80"/>
      <c r="J30" s="50"/>
      <c r="K30" s="50"/>
      <c r="L30" s="50"/>
      <c r="M30" s="50"/>
      <c r="N30" s="50"/>
      <c r="O30" s="50"/>
      <c r="P30" s="50"/>
      <c r="Q30" s="50"/>
      <c r="R30" s="50"/>
      <c r="S30" s="181"/>
      <c r="T30" s="50"/>
      <c r="U30" s="50"/>
      <c r="V30" s="50"/>
      <c r="W30" s="50"/>
      <c r="X30" s="50"/>
      <c r="Y30" s="50"/>
      <c r="Z30" s="10"/>
      <c r="AA30" s="151" t="s">
        <v>718</v>
      </c>
      <c r="AB30" s="152">
        <f t="shared" si="1"/>
        <v>0</v>
      </c>
      <c r="AC30" s="10"/>
      <c r="AD30" s="10"/>
      <c r="AE30" s="10"/>
    </row>
    <row r="31" ht="15.75" customHeight="1">
      <c r="A31" s="50"/>
      <c r="B31" s="50"/>
      <c r="C31" s="50"/>
      <c r="D31" s="50"/>
      <c r="E31" s="50"/>
      <c r="F31" s="50"/>
      <c r="G31" s="50"/>
      <c r="H31" s="50"/>
      <c r="I31" s="80"/>
      <c r="J31" s="50"/>
      <c r="K31" s="50"/>
      <c r="L31" s="50"/>
      <c r="M31" s="50"/>
      <c r="N31" s="50"/>
      <c r="O31" s="50"/>
      <c r="P31" s="50"/>
      <c r="Q31" s="50"/>
      <c r="R31" s="50"/>
      <c r="S31" s="179"/>
      <c r="T31" s="50"/>
      <c r="U31" s="50"/>
      <c r="V31" s="50"/>
      <c r="W31" s="50"/>
      <c r="X31" s="50"/>
      <c r="Y31" s="50"/>
      <c r="Z31" s="10"/>
      <c r="AA31" s="151" t="s">
        <v>1103</v>
      </c>
      <c r="AB31" s="152">
        <f t="shared" si="1"/>
        <v>0</v>
      </c>
      <c r="AC31" s="10"/>
      <c r="AD31" s="10"/>
      <c r="AE31" s="10"/>
    </row>
    <row r="32" ht="15.75" customHeight="1">
      <c r="A32" s="50"/>
      <c r="B32" s="50"/>
      <c r="C32" s="50"/>
      <c r="D32" s="50"/>
      <c r="E32" s="50"/>
      <c r="F32" s="50"/>
      <c r="G32" s="50"/>
      <c r="H32" s="50"/>
      <c r="I32" s="80"/>
      <c r="J32" s="50"/>
      <c r="K32" s="50"/>
      <c r="L32" s="50"/>
      <c r="M32" s="50"/>
      <c r="N32" s="50"/>
      <c r="O32" s="50"/>
      <c r="P32" s="50"/>
      <c r="Q32" s="50"/>
      <c r="R32" s="50"/>
      <c r="S32" s="181"/>
      <c r="T32" s="50"/>
      <c r="U32" s="50"/>
      <c r="V32" s="50"/>
      <c r="W32" s="50"/>
      <c r="X32" s="50"/>
      <c r="Y32" s="50"/>
      <c r="Z32" s="10"/>
      <c r="AA32" s="151" t="s">
        <v>469</v>
      </c>
      <c r="AB32" s="152">
        <f t="shared" si="1"/>
        <v>1</v>
      </c>
      <c r="AC32" s="10"/>
      <c r="AD32" s="10"/>
      <c r="AE32" s="10"/>
    </row>
    <row r="33" ht="15.75" customHeight="1">
      <c r="A33" s="50"/>
      <c r="B33" s="50"/>
      <c r="C33" s="50"/>
      <c r="D33" s="50"/>
      <c r="E33" s="50"/>
      <c r="F33" s="50"/>
      <c r="G33" s="50"/>
      <c r="H33" s="50"/>
      <c r="I33" s="80"/>
      <c r="J33" s="50"/>
      <c r="K33" s="50"/>
      <c r="L33" s="50"/>
      <c r="M33" s="50"/>
      <c r="N33" s="50"/>
      <c r="O33" s="50"/>
      <c r="P33" s="50"/>
      <c r="Q33" s="50"/>
      <c r="R33" s="50"/>
      <c r="S33" s="179"/>
      <c r="T33" s="50"/>
      <c r="U33" s="50"/>
      <c r="V33" s="50"/>
      <c r="W33" s="50"/>
      <c r="X33" s="50"/>
      <c r="Y33" s="50"/>
      <c r="Z33" s="10"/>
      <c r="AA33" s="151" t="s">
        <v>948</v>
      </c>
      <c r="AB33" s="152">
        <f t="shared" si="1"/>
        <v>0</v>
      </c>
      <c r="AC33" s="10"/>
      <c r="AD33" s="10"/>
      <c r="AE33" s="10"/>
    </row>
    <row r="34" ht="15.75" customHeight="1">
      <c r="A34" s="50"/>
      <c r="B34" s="50"/>
      <c r="C34" s="50"/>
      <c r="D34" s="50"/>
      <c r="E34" s="50"/>
      <c r="F34" s="50"/>
      <c r="G34" s="50"/>
      <c r="H34" s="50"/>
      <c r="I34" s="80"/>
      <c r="J34" s="50"/>
      <c r="K34" s="50"/>
      <c r="L34" s="50"/>
      <c r="M34" s="50"/>
      <c r="N34" s="50"/>
      <c r="O34" s="50"/>
      <c r="P34" s="50"/>
      <c r="Q34" s="50"/>
      <c r="R34" s="50"/>
      <c r="S34" s="181"/>
      <c r="T34" s="50"/>
      <c r="U34" s="50"/>
      <c r="V34" s="50"/>
      <c r="W34" s="50"/>
      <c r="X34" s="50"/>
      <c r="Y34" s="50"/>
      <c r="Z34" s="10"/>
      <c r="AA34" s="151" t="s">
        <v>663</v>
      </c>
      <c r="AB34" s="152">
        <f t="shared" si="1"/>
        <v>0</v>
      </c>
      <c r="AC34" s="10"/>
      <c r="AD34" s="10"/>
      <c r="AE34" s="10"/>
    </row>
    <row r="35" ht="15.75" customHeight="1">
      <c r="A35" s="50"/>
      <c r="B35" s="50"/>
      <c r="C35" s="50"/>
      <c r="D35" s="50"/>
      <c r="E35" s="50"/>
      <c r="F35" s="50"/>
      <c r="G35" s="50"/>
      <c r="H35" s="50"/>
      <c r="I35" s="80"/>
      <c r="J35" s="50"/>
      <c r="K35" s="50"/>
      <c r="L35" s="50"/>
      <c r="M35" s="50"/>
      <c r="N35" s="50"/>
      <c r="O35" s="50"/>
      <c r="P35" s="50"/>
      <c r="Q35" s="50"/>
      <c r="R35" s="50"/>
      <c r="S35" s="179"/>
      <c r="T35" s="50"/>
      <c r="U35" s="50"/>
      <c r="V35" s="50"/>
      <c r="W35" s="50"/>
      <c r="X35" s="50"/>
      <c r="Y35" s="50"/>
      <c r="Z35" s="10"/>
      <c r="AA35" s="151" t="s">
        <v>1191</v>
      </c>
      <c r="AB35" s="152">
        <f t="shared" si="1"/>
        <v>0</v>
      </c>
      <c r="AC35" s="10"/>
      <c r="AD35" s="10"/>
      <c r="AE35" s="10"/>
    </row>
    <row r="36" ht="15.75" customHeight="1">
      <c r="A36" s="50"/>
      <c r="B36" s="50"/>
      <c r="C36" s="50"/>
      <c r="D36" s="50"/>
      <c r="E36" s="50"/>
      <c r="F36" s="50"/>
      <c r="G36" s="50"/>
      <c r="H36" s="50"/>
      <c r="I36" s="80"/>
      <c r="J36" s="50"/>
      <c r="K36" s="50"/>
      <c r="L36" s="50"/>
      <c r="M36" s="50"/>
      <c r="N36" s="50"/>
      <c r="O36" s="50"/>
      <c r="P36" s="50"/>
      <c r="Q36" s="50"/>
      <c r="R36" s="50"/>
      <c r="S36" s="181"/>
      <c r="T36" s="50"/>
      <c r="U36" s="50"/>
      <c r="V36" s="50"/>
      <c r="W36" s="50"/>
      <c r="X36" s="50"/>
      <c r="Y36" s="50"/>
      <c r="Z36" s="10"/>
      <c r="AA36" s="151" t="s">
        <v>1222</v>
      </c>
      <c r="AB36" s="152">
        <f t="shared" si="1"/>
        <v>0</v>
      </c>
      <c r="AC36" s="10"/>
      <c r="AD36" s="10"/>
      <c r="AE36" s="10"/>
    </row>
    <row r="37" ht="15.75" customHeight="1">
      <c r="A37" s="50"/>
      <c r="B37" s="50"/>
      <c r="C37" s="50"/>
      <c r="D37" s="50"/>
      <c r="E37" s="50"/>
      <c r="F37" s="50"/>
      <c r="G37" s="50"/>
      <c r="H37" s="50"/>
      <c r="I37" s="80"/>
      <c r="J37" s="50"/>
      <c r="K37" s="50"/>
      <c r="L37" s="50"/>
      <c r="M37" s="50"/>
      <c r="N37" s="50"/>
      <c r="O37" s="50"/>
      <c r="P37" s="50"/>
      <c r="Q37" s="50"/>
      <c r="R37" s="50"/>
      <c r="S37" s="179"/>
      <c r="T37" s="50"/>
      <c r="U37" s="50"/>
      <c r="V37" s="50"/>
      <c r="W37" s="50"/>
      <c r="X37" s="50"/>
      <c r="Y37" s="50"/>
      <c r="Z37" s="10"/>
      <c r="AA37" s="151" t="s">
        <v>1252</v>
      </c>
      <c r="AB37" s="152">
        <f t="shared" si="1"/>
        <v>0</v>
      </c>
      <c r="AC37" s="10"/>
      <c r="AD37" s="10"/>
      <c r="AE37" s="10"/>
    </row>
    <row r="38" ht="15.75" customHeight="1">
      <c r="A38" s="50"/>
      <c r="B38" s="50"/>
      <c r="C38" s="50"/>
      <c r="D38" s="50"/>
      <c r="E38" s="50"/>
      <c r="F38" s="50"/>
      <c r="G38" s="50"/>
      <c r="H38" s="50"/>
      <c r="I38" s="80"/>
      <c r="J38" s="50"/>
      <c r="K38" s="50"/>
      <c r="L38" s="50"/>
      <c r="M38" s="50"/>
      <c r="N38" s="50"/>
      <c r="O38" s="50"/>
      <c r="P38" s="50"/>
      <c r="Q38" s="50"/>
      <c r="R38" s="50"/>
      <c r="S38" s="50"/>
      <c r="T38" s="50"/>
      <c r="U38" s="50"/>
      <c r="V38" s="50"/>
      <c r="W38" s="50"/>
      <c r="X38" s="50"/>
      <c r="Y38" s="50"/>
      <c r="Z38" s="10"/>
      <c r="AA38" s="151" t="s">
        <v>1024</v>
      </c>
      <c r="AB38" s="152">
        <f t="shared" si="1"/>
        <v>0</v>
      </c>
      <c r="AC38" s="10"/>
      <c r="AD38" s="10"/>
      <c r="AE38" s="10"/>
    </row>
    <row r="39" ht="15.75" customHeight="1">
      <c r="A39" s="50"/>
      <c r="B39" s="50"/>
      <c r="C39" s="50"/>
      <c r="D39" s="50"/>
      <c r="E39" s="50"/>
      <c r="F39" s="50"/>
      <c r="G39" s="50"/>
      <c r="H39" s="50"/>
      <c r="I39" s="80"/>
      <c r="J39" s="50"/>
      <c r="K39" s="50"/>
      <c r="L39" s="50"/>
      <c r="M39" s="50"/>
      <c r="N39" s="50"/>
      <c r="O39" s="50"/>
      <c r="P39" s="50"/>
      <c r="Q39" s="50"/>
      <c r="R39" s="50"/>
      <c r="S39" s="50"/>
      <c r="T39" s="50"/>
      <c r="U39" s="50"/>
      <c r="V39" s="50"/>
      <c r="W39" s="50"/>
      <c r="X39" s="50"/>
      <c r="Y39" s="50"/>
      <c r="Z39" s="10"/>
      <c r="AA39" s="151" t="s">
        <v>1293</v>
      </c>
      <c r="AB39" s="152">
        <f t="shared" si="1"/>
        <v>0</v>
      </c>
      <c r="AC39" s="10"/>
      <c r="AD39" s="10"/>
      <c r="AE39" s="10"/>
    </row>
    <row r="40" ht="15.75" customHeight="1">
      <c r="A40" s="50"/>
      <c r="B40" s="50"/>
      <c r="C40" s="50"/>
      <c r="D40" s="50"/>
      <c r="E40" s="50"/>
      <c r="F40" s="50"/>
      <c r="G40" s="50"/>
      <c r="H40" s="50"/>
      <c r="I40" s="80"/>
      <c r="J40" s="50"/>
      <c r="K40" s="50"/>
      <c r="L40" s="50"/>
      <c r="M40" s="50"/>
      <c r="N40" s="50"/>
      <c r="O40" s="50"/>
      <c r="P40" s="50"/>
      <c r="Q40" s="50"/>
      <c r="R40" s="50"/>
      <c r="S40" s="50"/>
      <c r="T40" s="50"/>
      <c r="U40" s="50"/>
      <c r="V40" s="50"/>
      <c r="W40" s="50"/>
      <c r="X40" s="50"/>
      <c r="Y40" s="50"/>
      <c r="Z40" s="10"/>
      <c r="AA40" s="151" t="s">
        <v>1319</v>
      </c>
      <c r="AB40" s="152">
        <f t="shared" si="1"/>
        <v>0</v>
      </c>
      <c r="AC40" s="10"/>
      <c r="AD40" s="10"/>
      <c r="AE40" s="10"/>
    </row>
    <row r="41" ht="15.75" customHeight="1">
      <c r="A41" s="50"/>
      <c r="B41" s="50"/>
      <c r="C41" s="50"/>
      <c r="D41" s="50"/>
      <c r="E41" s="50"/>
      <c r="F41" s="50"/>
      <c r="G41" s="50"/>
      <c r="H41" s="50"/>
      <c r="I41" s="80"/>
      <c r="J41" s="50"/>
      <c r="K41" s="50"/>
      <c r="L41" s="50"/>
      <c r="M41" s="50"/>
      <c r="N41" s="50"/>
      <c r="O41" s="50"/>
      <c r="P41" s="50"/>
      <c r="Q41" s="50"/>
      <c r="R41" s="50"/>
      <c r="S41" s="50"/>
      <c r="T41" s="50"/>
      <c r="U41" s="50"/>
      <c r="V41" s="50"/>
      <c r="W41" s="50"/>
      <c r="X41" s="50"/>
      <c r="Y41" s="50"/>
      <c r="Z41" s="10"/>
      <c r="AA41" s="16"/>
      <c r="AB41" s="16">
        <f>SUM(AB15:AB40)</f>
        <v>21</v>
      </c>
      <c r="AC41" s="10"/>
      <c r="AD41" s="10"/>
      <c r="AE41" s="10"/>
    </row>
    <row r="42" ht="15.75" customHeight="1">
      <c r="A42" s="50"/>
      <c r="B42" s="50"/>
      <c r="C42" s="50"/>
      <c r="D42" s="50"/>
      <c r="E42" s="50"/>
      <c r="F42" s="50"/>
      <c r="G42" s="50"/>
      <c r="H42" s="50"/>
      <c r="I42" s="80"/>
      <c r="J42" s="50"/>
      <c r="K42" s="50"/>
      <c r="L42" s="50"/>
      <c r="M42" s="50"/>
      <c r="N42" s="50"/>
      <c r="O42" s="50"/>
      <c r="P42" s="50"/>
      <c r="Q42" s="50"/>
      <c r="R42" s="50"/>
      <c r="S42" s="50"/>
      <c r="T42" s="50"/>
      <c r="U42" s="50"/>
      <c r="V42" s="50"/>
      <c r="W42" s="50"/>
      <c r="X42" s="50"/>
      <c r="Y42" s="50"/>
      <c r="Z42" s="10"/>
      <c r="AA42" s="10"/>
      <c r="AB42" s="10"/>
      <c r="AC42" s="10"/>
      <c r="AD42" s="10"/>
      <c r="AE42" s="10"/>
    </row>
    <row r="43" ht="15.75" customHeight="1">
      <c r="A43" s="50"/>
      <c r="B43" s="50"/>
      <c r="C43" s="50"/>
      <c r="D43" s="50"/>
      <c r="E43" s="50"/>
      <c r="F43" s="50"/>
      <c r="G43" s="50"/>
      <c r="H43" s="50"/>
      <c r="I43" s="80"/>
      <c r="J43" s="50"/>
      <c r="K43" s="50"/>
      <c r="L43" s="50"/>
      <c r="M43" s="50"/>
      <c r="N43" s="50"/>
      <c r="O43" s="50"/>
      <c r="P43" s="50"/>
      <c r="Q43" s="50"/>
      <c r="R43" s="50"/>
      <c r="S43" s="50"/>
      <c r="T43" s="50"/>
      <c r="U43" s="50"/>
      <c r="V43" s="50"/>
      <c r="W43" s="50"/>
      <c r="X43" s="50"/>
      <c r="Y43" s="50"/>
      <c r="Z43" s="10"/>
      <c r="AA43" s="10"/>
      <c r="AB43" s="10"/>
      <c r="AC43" s="10"/>
      <c r="AD43" s="10"/>
      <c r="AE43" s="10"/>
    </row>
    <row r="44" ht="15.75" customHeight="1">
      <c r="A44" s="50"/>
      <c r="B44" s="50"/>
      <c r="C44" s="50"/>
      <c r="D44" s="50"/>
      <c r="E44" s="50"/>
      <c r="F44" s="50"/>
      <c r="G44" s="50"/>
      <c r="H44" s="50"/>
      <c r="I44" s="80"/>
      <c r="J44" s="50"/>
      <c r="K44" s="50"/>
      <c r="L44" s="50"/>
      <c r="M44" s="50"/>
      <c r="N44" s="50"/>
      <c r="O44" s="50"/>
      <c r="P44" s="50"/>
      <c r="Q44" s="50"/>
      <c r="R44" s="50"/>
      <c r="S44" s="50"/>
      <c r="T44" s="50"/>
      <c r="U44" s="50"/>
      <c r="V44" s="50"/>
      <c r="W44" s="50"/>
      <c r="X44" s="50"/>
      <c r="Y44" s="50"/>
      <c r="Z44" s="10"/>
      <c r="AA44" s="10"/>
      <c r="AB44" s="10"/>
      <c r="AC44" s="10"/>
      <c r="AD44" s="10"/>
      <c r="AE44" s="10"/>
    </row>
    <row r="45" ht="15.75" customHeight="1">
      <c r="A45" s="50"/>
      <c r="B45" s="50"/>
      <c r="C45" s="50"/>
      <c r="D45" s="50"/>
      <c r="E45" s="50"/>
      <c r="F45" s="50"/>
      <c r="G45" s="50"/>
      <c r="H45" s="50"/>
      <c r="I45" s="80"/>
      <c r="J45" s="50"/>
      <c r="K45" s="50"/>
      <c r="L45" s="50"/>
      <c r="M45" s="50"/>
      <c r="N45" s="50"/>
      <c r="O45" s="50"/>
      <c r="P45" s="50"/>
      <c r="Q45" s="50"/>
      <c r="R45" s="50"/>
      <c r="S45" s="50"/>
      <c r="T45" s="50"/>
      <c r="U45" s="50"/>
      <c r="V45" s="50"/>
      <c r="W45" s="50"/>
      <c r="X45" s="50"/>
      <c r="Y45" s="50"/>
      <c r="Z45" s="10"/>
      <c r="AA45" s="10"/>
      <c r="AB45" s="10"/>
      <c r="AC45" s="10"/>
      <c r="AD45" s="10"/>
      <c r="AE45" s="10"/>
    </row>
    <row r="46" ht="15.75" customHeight="1">
      <c r="A46" s="50"/>
      <c r="B46" s="50"/>
      <c r="C46" s="50"/>
      <c r="D46" s="50"/>
      <c r="E46" s="50"/>
      <c r="F46" s="50"/>
      <c r="G46" s="50"/>
      <c r="H46" s="50"/>
      <c r="I46" s="80"/>
      <c r="J46" s="50"/>
      <c r="K46" s="50"/>
      <c r="L46" s="50"/>
      <c r="M46" s="50"/>
      <c r="N46" s="50"/>
      <c r="O46" s="50"/>
      <c r="P46" s="50"/>
      <c r="Q46" s="50"/>
      <c r="R46" s="50"/>
      <c r="S46" s="50"/>
      <c r="T46" s="50"/>
      <c r="U46" s="50"/>
      <c r="V46" s="50"/>
      <c r="W46" s="50"/>
      <c r="X46" s="50"/>
      <c r="Y46" s="50"/>
      <c r="Z46" s="10"/>
      <c r="AA46" s="10"/>
      <c r="AB46" s="10"/>
      <c r="AC46" s="10"/>
      <c r="AD46" s="10"/>
      <c r="AE46" s="10"/>
    </row>
    <row r="47" ht="15.75" customHeight="1">
      <c r="A47" s="50"/>
      <c r="B47" s="50"/>
      <c r="C47" s="50"/>
      <c r="D47" s="50"/>
      <c r="E47" s="50"/>
      <c r="F47" s="50"/>
      <c r="G47" s="50"/>
      <c r="H47" s="50"/>
      <c r="I47" s="80"/>
      <c r="J47" s="50"/>
      <c r="K47" s="50"/>
      <c r="L47" s="50"/>
      <c r="M47" s="50"/>
      <c r="N47" s="50"/>
      <c r="O47" s="50"/>
      <c r="P47" s="50"/>
      <c r="Q47" s="50"/>
      <c r="R47" s="50"/>
      <c r="S47" s="50"/>
      <c r="T47" s="50"/>
      <c r="U47" s="50"/>
      <c r="V47" s="50"/>
      <c r="W47" s="50"/>
      <c r="X47" s="50"/>
      <c r="Y47" s="50"/>
      <c r="Z47" s="10"/>
      <c r="AA47" s="10"/>
      <c r="AB47" s="10"/>
      <c r="AC47" s="10"/>
      <c r="AD47" s="10"/>
      <c r="AE47" s="10"/>
    </row>
    <row r="48" ht="15.75" customHeight="1">
      <c r="A48" s="50"/>
      <c r="B48" s="50"/>
      <c r="C48" s="50"/>
      <c r="D48" s="50"/>
      <c r="E48" s="50"/>
      <c r="F48" s="50"/>
      <c r="G48" s="50"/>
      <c r="H48" s="50"/>
      <c r="I48" s="80"/>
      <c r="J48" s="50"/>
      <c r="K48" s="50"/>
      <c r="L48" s="50"/>
      <c r="M48" s="50"/>
      <c r="N48" s="50"/>
      <c r="O48" s="50"/>
      <c r="P48" s="50"/>
      <c r="Q48" s="50"/>
      <c r="R48" s="50"/>
      <c r="S48" s="50"/>
      <c r="T48" s="50"/>
      <c r="U48" s="50"/>
      <c r="V48" s="50"/>
      <c r="W48" s="50"/>
      <c r="X48" s="50"/>
      <c r="Y48" s="50"/>
      <c r="Z48" s="10"/>
      <c r="AA48" s="10"/>
      <c r="AB48" s="10"/>
      <c r="AC48" s="10"/>
      <c r="AD48" s="10"/>
      <c r="AE48" s="10"/>
    </row>
    <row r="49" ht="15.75" customHeight="1">
      <c r="A49" s="50"/>
      <c r="B49" s="50"/>
      <c r="C49" s="50"/>
      <c r="D49" s="50"/>
      <c r="E49" s="50"/>
      <c r="F49" s="50"/>
      <c r="G49" s="50"/>
      <c r="H49" s="50"/>
      <c r="I49" s="80"/>
      <c r="J49" s="50"/>
      <c r="K49" s="50"/>
      <c r="L49" s="50"/>
      <c r="M49" s="50"/>
      <c r="N49" s="50"/>
      <c r="O49" s="50"/>
      <c r="P49" s="50"/>
      <c r="Q49" s="50"/>
      <c r="R49" s="50"/>
      <c r="S49" s="50"/>
      <c r="T49" s="50"/>
      <c r="U49" s="50"/>
      <c r="V49" s="50"/>
      <c r="W49" s="50"/>
      <c r="X49" s="50"/>
      <c r="Y49" s="50"/>
      <c r="Z49" s="10"/>
      <c r="AA49" s="10"/>
      <c r="AB49" s="10"/>
      <c r="AC49" s="10"/>
      <c r="AD49" s="10"/>
      <c r="AE49" s="10"/>
    </row>
    <row r="50" ht="15.75" customHeight="1">
      <c r="A50" s="50"/>
      <c r="B50" s="50"/>
      <c r="C50" s="50"/>
      <c r="D50" s="50"/>
      <c r="E50" s="50"/>
      <c r="F50" s="50"/>
      <c r="G50" s="50"/>
      <c r="H50" s="50"/>
      <c r="I50" s="80"/>
      <c r="J50" s="50"/>
      <c r="K50" s="50"/>
      <c r="L50" s="50"/>
      <c r="M50" s="50"/>
      <c r="N50" s="50"/>
      <c r="O50" s="50"/>
      <c r="P50" s="50"/>
      <c r="Q50" s="50"/>
      <c r="R50" s="50"/>
      <c r="S50" s="50"/>
      <c r="T50" s="50"/>
      <c r="U50" s="50"/>
      <c r="V50" s="50"/>
      <c r="W50" s="50"/>
      <c r="X50" s="50"/>
      <c r="Y50" s="50"/>
      <c r="Z50" s="10"/>
      <c r="AA50" s="10"/>
      <c r="AB50" s="10"/>
      <c r="AC50" s="10"/>
      <c r="AD50" s="10"/>
      <c r="AE50" s="10"/>
    </row>
    <row r="51" ht="15.75" customHeight="1">
      <c r="A51" s="10"/>
      <c r="B51" s="10"/>
      <c r="C51" s="10"/>
      <c r="D51" s="10"/>
      <c r="E51" s="10"/>
      <c r="F51" s="10"/>
      <c r="G51" s="10"/>
      <c r="H51" s="10"/>
      <c r="I51" s="195"/>
      <c r="J51" s="10"/>
      <c r="K51" s="10"/>
      <c r="L51" s="10"/>
      <c r="M51" s="10"/>
      <c r="N51" s="10"/>
      <c r="O51" s="10"/>
      <c r="P51" s="10"/>
      <c r="Q51" s="10"/>
      <c r="R51" s="10"/>
      <c r="S51" s="10"/>
      <c r="T51" s="10"/>
      <c r="U51" s="10"/>
      <c r="V51" s="10"/>
      <c r="W51" s="10"/>
      <c r="X51" s="10"/>
      <c r="Y51" s="10"/>
      <c r="Z51" s="10"/>
      <c r="AA51" s="10"/>
      <c r="AB51" s="10"/>
      <c r="AC51" s="10"/>
      <c r="AD51" s="10"/>
      <c r="AE51" s="10"/>
    </row>
    <row r="52" ht="15.75" customHeight="1">
      <c r="A52" s="10"/>
      <c r="B52" s="10"/>
      <c r="C52" s="10"/>
      <c r="D52" s="10"/>
      <c r="E52" s="10"/>
      <c r="F52" s="10"/>
      <c r="G52" s="10"/>
      <c r="H52" s="10"/>
      <c r="I52" s="195"/>
      <c r="J52" s="10"/>
      <c r="K52" s="10"/>
      <c r="L52" s="10"/>
      <c r="M52" s="10"/>
      <c r="N52" s="10"/>
      <c r="O52" s="10"/>
      <c r="P52" s="10"/>
      <c r="Q52" s="10"/>
      <c r="R52" s="10"/>
      <c r="S52" s="10"/>
      <c r="T52" s="10"/>
      <c r="U52" s="10"/>
      <c r="V52" s="10"/>
      <c r="W52" s="10"/>
      <c r="X52" s="10"/>
      <c r="Y52" s="10"/>
      <c r="Z52" s="10"/>
      <c r="AA52" s="10"/>
      <c r="AB52" s="10"/>
      <c r="AC52" s="10"/>
      <c r="AD52" s="10"/>
      <c r="AE52" s="10"/>
    </row>
    <row r="53" ht="15.75" customHeight="1">
      <c r="A53" s="10"/>
      <c r="B53" s="10"/>
      <c r="C53" s="10"/>
      <c r="D53" s="10"/>
      <c r="E53" s="10"/>
      <c r="F53" s="10"/>
      <c r="G53" s="10"/>
      <c r="H53" s="10"/>
      <c r="I53" s="195"/>
      <c r="J53" s="10"/>
      <c r="K53" s="10"/>
      <c r="L53" s="10"/>
      <c r="M53" s="10"/>
      <c r="N53" s="10"/>
      <c r="O53" s="10"/>
      <c r="P53" s="10"/>
      <c r="Q53" s="10"/>
      <c r="R53" s="10"/>
      <c r="S53" s="10"/>
      <c r="T53" s="10"/>
      <c r="U53" s="10"/>
      <c r="V53" s="10"/>
      <c r="W53" s="10"/>
      <c r="X53" s="10"/>
      <c r="Y53" s="10"/>
      <c r="Z53" s="10"/>
      <c r="AA53" s="10"/>
      <c r="AB53" s="10"/>
      <c r="AC53" s="10"/>
      <c r="AD53" s="10"/>
      <c r="AE53" s="10"/>
    </row>
    <row r="54" ht="15.75" customHeight="1">
      <c r="A54" s="10"/>
      <c r="B54" s="10"/>
      <c r="C54" s="10"/>
      <c r="D54" s="10"/>
      <c r="E54" s="10"/>
      <c r="F54" s="10"/>
      <c r="G54" s="10"/>
      <c r="H54" s="10"/>
      <c r="I54" s="195"/>
      <c r="J54" s="10"/>
      <c r="K54" s="10"/>
      <c r="L54" s="10"/>
      <c r="M54" s="10"/>
      <c r="N54" s="10"/>
      <c r="O54" s="10"/>
      <c r="P54" s="10"/>
      <c r="Q54" s="10"/>
      <c r="R54" s="10"/>
      <c r="S54" s="10"/>
      <c r="T54" s="10"/>
      <c r="U54" s="10"/>
      <c r="V54" s="10"/>
      <c r="W54" s="10"/>
      <c r="X54" s="10"/>
      <c r="Y54" s="10"/>
      <c r="Z54" s="10"/>
      <c r="AA54" s="10"/>
      <c r="AB54" s="10"/>
      <c r="AC54" s="10"/>
      <c r="AD54" s="10"/>
      <c r="AE54" s="10"/>
    </row>
    <row r="55" ht="15.75" customHeight="1">
      <c r="A55" s="10"/>
      <c r="B55" s="10"/>
      <c r="C55" s="10"/>
      <c r="D55" s="10"/>
      <c r="E55" s="10"/>
      <c r="F55" s="10"/>
      <c r="G55" s="10"/>
      <c r="H55" s="10"/>
      <c r="I55" s="195"/>
      <c r="J55" s="10"/>
      <c r="K55" s="10"/>
      <c r="L55" s="10"/>
      <c r="M55" s="10"/>
      <c r="N55" s="10"/>
      <c r="O55" s="10"/>
      <c r="P55" s="10"/>
      <c r="Q55" s="10"/>
      <c r="R55" s="10"/>
      <c r="S55" s="10"/>
      <c r="T55" s="10"/>
      <c r="U55" s="10"/>
      <c r="V55" s="10"/>
      <c r="W55" s="10"/>
      <c r="X55" s="10"/>
      <c r="Y55" s="10"/>
      <c r="Z55" s="10"/>
      <c r="AA55" s="10"/>
      <c r="AB55" s="10"/>
      <c r="AC55" s="10"/>
      <c r="AD55" s="10"/>
      <c r="AE55" s="10"/>
    </row>
    <row r="56" ht="15.75" customHeight="1">
      <c r="A56" s="10"/>
      <c r="B56" s="10"/>
      <c r="C56" s="10"/>
      <c r="D56" s="10"/>
      <c r="E56" s="10"/>
      <c r="F56" s="10"/>
      <c r="G56" s="10"/>
      <c r="H56" s="10"/>
      <c r="I56" s="195"/>
      <c r="J56" s="10"/>
      <c r="K56" s="10"/>
      <c r="L56" s="10"/>
      <c r="M56" s="10"/>
      <c r="N56" s="10"/>
      <c r="O56" s="10"/>
      <c r="P56" s="10"/>
      <c r="Q56" s="10"/>
      <c r="R56" s="10"/>
      <c r="S56" s="10"/>
      <c r="T56" s="10"/>
      <c r="U56" s="10"/>
      <c r="V56" s="10"/>
      <c r="W56" s="10"/>
      <c r="X56" s="10"/>
      <c r="Y56" s="10"/>
      <c r="Z56" s="10"/>
      <c r="AA56" s="10"/>
      <c r="AB56" s="10"/>
      <c r="AC56" s="10"/>
      <c r="AD56" s="10"/>
      <c r="AE56" s="10"/>
    </row>
    <row r="57" ht="15.75" customHeight="1">
      <c r="A57" s="10"/>
      <c r="B57" s="10"/>
      <c r="C57" s="10"/>
      <c r="D57" s="10"/>
      <c r="E57" s="10"/>
      <c r="F57" s="10"/>
      <c r="G57" s="10"/>
      <c r="H57" s="10"/>
      <c r="I57" s="195"/>
      <c r="J57" s="10"/>
      <c r="K57" s="10"/>
      <c r="L57" s="10"/>
      <c r="M57" s="10"/>
      <c r="N57" s="10"/>
      <c r="O57" s="10"/>
      <c r="P57" s="10"/>
      <c r="Q57" s="10"/>
      <c r="R57" s="10"/>
      <c r="S57" s="10"/>
      <c r="T57" s="10"/>
      <c r="U57" s="10"/>
      <c r="V57" s="10"/>
      <c r="W57" s="10"/>
      <c r="X57" s="10"/>
      <c r="Y57" s="10"/>
      <c r="Z57" s="10"/>
      <c r="AA57" s="10"/>
      <c r="AB57" s="10"/>
      <c r="AC57" s="10"/>
      <c r="AD57" s="10"/>
      <c r="AE57" s="10"/>
    </row>
    <row r="58" ht="15.75" customHeight="1">
      <c r="A58" s="10"/>
      <c r="B58" s="10"/>
      <c r="C58" s="10"/>
      <c r="D58" s="10"/>
      <c r="E58" s="10"/>
      <c r="F58" s="10"/>
      <c r="G58" s="10"/>
      <c r="H58" s="10"/>
      <c r="I58" s="195"/>
      <c r="J58" s="10"/>
      <c r="K58" s="10"/>
      <c r="L58" s="10"/>
      <c r="M58" s="10"/>
      <c r="N58" s="10"/>
      <c r="O58" s="10"/>
      <c r="P58" s="10"/>
      <c r="Q58" s="10"/>
      <c r="R58" s="10"/>
      <c r="S58" s="10"/>
      <c r="T58" s="10"/>
      <c r="U58" s="10"/>
      <c r="V58" s="10"/>
      <c r="W58" s="10"/>
      <c r="X58" s="10"/>
      <c r="Y58" s="10"/>
      <c r="Z58" s="10"/>
      <c r="AA58" s="10"/>
      <c r="AB58" s="10"/>
      <c r="AC58" s="10"/>
      <c r="AD58" s="10"/>
      <c r="AE58" s="10"/>
    </row>
    <row r="59" ht="15.75" customHeight="1">
      <c r="A59" s="10"/>
      <c r="B59" s="10"/>
      <c r="C59" s="10"/>
      <c r="D59" s="10"/>
      <c r="E59" s="10"/>
      <c r="F59" s="10"/>
      <c r="G59" s="10"/>
      <c r="H59" s="10"/>
      <c r="I59" s="195"/>
      <c r="J59" s="10"/>
      <c r="K59" s="10"/>
      <c r="L59" s="10"/>
      <c r="M59" s="10"/>
      <c r="N59" s="10"/>
      <c r="O59" s="10"/>
      <c r="P59" s="10"/>
      <c r="Q59" s="10"/>
      <c r="R59" s="10"/>
      <c r="S59" s="10"/>
      <c r="T59" s="10"/>
      <c r="U59" s="10"/>
      <c r="V59" s="10"/>
      <c r="W59" s="10"/>
      <c r="X59" s="10"/>
      <c r="Y59" s="10"/>
      <c r="Z59" s="10"/>
      <c r="AA59" s="10"/>
      <c r="AB59" s="10"/>
      <c r="AC59" s="10"/>
      <c r="AD59" s="10"/>
      <c r="AE59" s="10"/>
    </row>
    <row r="60" ht="15.75" customHeight="1">
      <c r="A60" s="10"/>
      <c r="B60" s="10"/>
      <c r="C60" s="10"/>
      <c r="D60" s="10"/>
      <c r="E60" s="10"/>
      <c r="F60" s="10"/>
      <c r="G60" s="10"/>
      <c r="H60" s="10"/>
      <c r="I60" s="195"/>
      <c r="J60" s="10"/>
      <c r="K60" s="10"/>
      <c r="L60" s="10"/>
      <c r="M60" s="10"/>
      <c r="N60" s="10"/>
      <c r="O60" s="10"/>
      <c r="P60" s="10"/>
      <c r="Q60" s="10"/>
      <c r="R60" s="10"/>
      <c r="S60" s="10"/>
      <c r="T60" s="10"/>
      <c r="U60" s="10"/>
      <c r="V60" s="10"/>
      <c r="W60" s="10"/>
      <c r="X60" s="10"/>
      <c r="Y60" s="10"/>
      <c r="Z60" s="10"/>
      <c r="AA60" s="10"/>
      <c r="AB60" s="10"/>
      <c r="AC60" s="10"/>
      <c r="AD60" s="10"/>
      <c r="AE60" s="10"/>
    </row>
    <row r="61" ht="15.75" customHeight="1">
      <c r="A61" s="10"/>
      <c r="B61" s="10"/>
      <c r="C61" s="10"/>
      <c r="D61" s="10"/>
      <c r="E61" s="10"/>
      <c r="F61" s="10"/>
      <c r="G61" s="10"/>
      <c r="H61" s="10"/>
      <c r="I61" s="195"/>
      <c r="J61" s="10"/>
      <c r="K61" s="10"/>
      <c r="L61" s="10"/>
      <c r="M61" s="10"/>
      <c r="N61" s="10"/>
      <c r="O61" s="10"/>
      <c r="P61" s="10"/>
      <c r="Q61" s="10"/>
      <c r="R61" s="10"/>
      <c r="S61" s="10"/>
      <c r="T61" s="10"/>
      <c r="U61" s="10"/>
      <c r="V61" s="10"/>
      <c r="W61" s="10"/>
      <c r="X61" s="10"/>
      <c r="Y61" s="10"/>
      <c r="Z61" s="10"/>
      <c r="AA61" s="10"/>
      <c r="AB61" s="10"/>
      <c r="AC61" s="10"/>
      <c r="AD61" s="10"/>
      <c r="AE61" s="10"/>
    </row>
    <row r="62" ht="15.75" customHeight="1">
      <c r="A62" s="10"/>
      <c r="B62" s="10"/>
      <c r="C62" s="10"/>
      <c r="D62" s="10"/>
      <c r="E62" s="10"/>
      <c r="F62" s="10"/>
      <c r="G62" s="10"/>
      <c r="H62" s="10"/>
      <c r="I62" s="195"/>
      <c r="J62" s="10"/>
      <c r="K62" s="10"/>
      <c r="L62" s="10"/>
      <c r="M62" s="10"/>
      <c r="N62" s="10"/>
      <c r="O62" s="10"/>
      <c r="P62" s="10"/>
      <c r="Q62" s="10"/>
      <c r="R62" s="10"/>
      <c r="S62" s="10"/>
      <c r="T62" s="10"/>
      <c r="U62" s="10"/>
      <c r="V62" s="10"/>
      <c r="W62" s="10"/>
      <c r="X62" s="10"/>
      <c r="Y62" s="10"/>
      <c r="Z62" s="10"/>
      <c r="AA62" s="10"/>
      <c r="AB62" s="10"/>
      <c r="AC62" s="10"/>
      <c r="AD62" s="10"/>
      <c r="AE62" s="10"/>
    </row>
    <row r="63" ht="15.75" customHeight="1">
      <c r="A63" s="10"/>
      <c r="B63" s="10"/>
      <c r="C63" s="10"/>
      <c r="D63" s="10"/>
      <c r="E63" s="10"/>
      <c r="F63" s="10"/>
      <c r="G63" s="10"/>
      <c r="H63" s="10"/>
      <c r="I63" s="195"/>
      <c r="J63" s="10"/>
      <c r="K63" s="10"/>
      <c r="L63" s="10"/>
      <c r="M63" s="10"/>
      <c r="N63" s="10"/>
      <c r="O63" s="10"/>
      <c r="P63" s="10"/>
      <c r="Q63" s="10"/>
      <c r="R63" s="10"/>
      <c r="S63" s="10"/>
      <c r="T63" s="10"/>
      <c r="U63" s="10"/>
      <c r="V63" s="10"/>
      <c r="W63" s="10"/>
      <c r="X63" s="10"/>
      <c r="Y63" s="10"/>
      <c r="Z63" s="10"/>
      <c r="AA63" s="10"/>
      <c r="AB63" s="10"/>
      <c r="AC63" s="10"/>
      <c r="AD63" s="10"/>
      <c r="AE63" s="10"/>
    </row>
    <row r="64" ht="15.75" customHeight="1">
      <c r="A64" s="10"/>
      <c r="B64" s="10"/>
      <c r="C64" s="10"/>
      <c r="D64" s="10"/>
      <c r="E64" s="10"/>
      <c r="F64" s="10"/>
      <c r="G64" s="10"/>
      <c r="H64" s="10"/>
      <c r="I64" s="195"/>
      <c r="J64" s="10"/>
      <c r="K64" s="10"/>
      <c r="L64" s="10"/>
      <c r="M64" s="10"/>
      <c r="N64" s="10"/>
      <c r="O64" s="10"/>
      <c r="P64" s="10"/>
      <c r="Q64" s="10"/>
      <c r="R64" s="10"/>
      <c r="S64" s="10"/>
      <c r="T64" s="10"/>
      <c r="U64" s="10"/>
      <c r="V64" s="10"/>
      <c r="W64" s="10"/>
      <c r="X64" s="10"/>
      <c r="Y64" s="10"/>
      <c r="Z64" s="10"/>
      <c r="AA64" s="10"/>
      <c r="AB64" s="10"/>
      <c r="AC64" s="10"/>
      <c r="AD64" s="10"/>
      <c r="AE64" s="10"/>
    </row>
    <row r="65" ht="15.75" customHeight="1">
      <c r="A65" s="10"/>
      <c r="B65" s="10"/>
      <c r="C65" s="10"/>
      <c r="D65" s="10"/>
      <c r="E65" s="10"/>
      <c r="F65" s="10"/>
      <c r="G65" s="10"/>
      <c r="H65" s="10"/>
      <c r="I65" s="195"/>
      <c r="J65" s="10"/>
      <c r="K65" s="10"/>
      <c r="L65" s="10"/>
      <c r="M65" s="10"/>
      <c r="N65" s="10"/>
      <c r="O65" s="10"/>
      <c r="P65" s="10"/>
      <c r="Q65" s="10"/>
      <c r="R65" s="10"/>
      <c r="S65" s="10"/>
      <c r="T65" s="10"/>
      <c r="U65" s="10"/>
      <c r="V65" s="10"/>
      <c r="W65" s="10"/>
      <c r="X65" s="10"/>
      <c r="Y65" s="10"/>
      <c r="Z65" s="10"/>
      <c r="AA65" s="10"/>
      <c r="AB65" s="10"/>
      <c r="AC65" s="10"/>
      <c r="AD65" s="10"/>
      <c r="AE65" s="10"/>
    </row>
    <row r="66" ht="15.75" customHeight="1">
      <c r="A66" s="10"/>
      <c r="B66" s="10"/>
      <c r="C66" s="10"/>
      <c r="D66" s="10"/>
      <c r="E66" s="10"/>
      <c r="F66" s="10"/>
      <c r="G66" s="10"/>
      <c r="H66" s="10"/>
      <c r="I66" s="195"/>
      <c r="J66" s="10"/>
      <c r="K66" s="10"/>
      <c r="L66" s="10"/>
      <c r="M66" s="10"/>
      <c r="N66" s="10"/>
      <c r="O66" s="10"/>
      <c r="P66" s="10"/>
      <c r="Q66" s="10"/>
      <c r="R66" s="10"/>
      <c r="S66" s="10"/>
      <c r="T66" s="10"/>
      <c r="U66" s="10"/>
      <c r="V66" s="10"/>
      <c r="W66" s="10"/>
      <c r="X66" s="10"/>
      <c r="Y66" s="10"/>
      <c r="Z66" s="10"/>
      <c r="AA66" s="10"/>
      <c r="AB66" s="10"/>
      <c r="AC66" s="10"/>
      <c r="AD66" s="10"/>
      <c r="AE66" s="10"/>
    </row>
    <row r="67" ht="15.75" customHeight="1">
      <c r="A67" s="10"/>
      <c r="B67" s="10"/>
      <c r="C67" s="10"/>
      <c r="D67" s="10"/>
      <c r="E67" s="10"/>
      <c r="F67" s="10"/>
      <c r="G67" s="10"/>
      <c r="H67" s="10"/>
      <c r="I67" s="195"/>
      <c r="J67" s="10"/>
      <c r="K67" s="10"/>
      <c r="L67" s="10"/>
      <c r="M67" s="10"/>
      <c r="N67" s="10"/>
      <c r="O67" s="10"/>
      <c r="P67" s="10"/>
      <c r="Q67" s="10"/>
      <c r="R67" s="10"/>
      <c r="S67" s="10"/>
      <c r="T67" s="10"/>
      <c r="U67" s="10"/>
      <c r="V67" s="10"/>
      <c r="W67" s="10"/>
      <c r="X67" s="10"/>
      <c r="Y67" s="10"/>
      <c r="Z67" s="10"/>
      <c r="AA67" s="10"/>
      <c r="AB67" s="10"/>
      <c r="AC67" s="10"/>
      <c r="AD67" s="10"/>
      <c r="AE67" s="10"/>
    </row>
    <row r="68" ht="15.75" customHeight="1">
      <c r="A68" s="10"/>
      <c r="B68" s="10"/>
      <c r="C68" s="10"/>
      <c r="D68" s="10"/>
      <c r="E68" s="10"/>
      <c r="F68" s="10"/>
      <c r="G68" s="10"/>
      <c r="H68" s="10"/>
      <c r="I68" s="195"/>
      <c r="J68" s="10"/>
      <c r="K68" s="10"/>
      <c r="L68" s="10"/>
      <c r="M68" s="10"/>
      <c r="N68" s="10"/>
      <c r="O68" s="10"/>
      <c r="P68" s="10"/>
      <c r="Q68" s="10"/>
      <c r="R68" s="10"/>
      <c r="S68" s="10"/>
      <c r="T68" s="10"/>
      <c r="U68" s="10"/>
      <c r="V68" s="10"/>
      <c r="W68" s="10"/>
      <c r="X68" s="10"/>
      <c r="Y68" s="10"/>
      <c r="Z68" s="10"/>
      <c r="AA68" s="10"/>
      <c r="AB68" s="10"/>
      <c r="AC68" s="10"/>
      <c r="AD68" s="10"/>
      <c r="AE68" s="10"/>
    </row>
    <row r="69" ht="15.75" customHeight="1">
      <c r="A69" s="10"/>
      <c r="B69" s="10"/>
      <c r="C69" s="10"/>
      <c r="D69" s="10"/>
      <c r="E69" s="10"/>
      <c r="F69" s="10"/>
      <c r="G69" s="10"/>
      <c r="H69" s="10"/>
      <c r="I69" s="195"/>
      <c r="J69" s="10"/>
      <c r="K69" s="10"/>
      <c r="L69" s="10"/>
      <c r="M69" s="10"/>
      <c r="N69" s="10"/>
      <c r="O69" s="10"/>
      <c r="P69" s="10"/>
      <c r="Q69" s="10"/>
      <c r="R69" s="10"/>
      <c r="S69" s="10"/>
      <c r="T69" s="10"/>
      <c r="U69" s="10"/>
      <c r="V69" s="10"/>
      <c r="W69" s="10"/>
      <c r="X69" s="10"/>
      <c r="Y69" s="10"/>
      <c r="Z69" s="10"/>
      <c r="AA69" s="10"/>
      <c r="AB69" s="10"/>
      <c r="AC69" s="10"/>
      <c r="AD69" s="10"/>
      <c r="AE69" s="10"/>
    </row>
    <row r="70" ht="15.75" customHeight="1">
      <c r="A70" s="10"/>
      <c r="B70" s="10"/>
      <c r="C70" s="10"/>
      <c r="D70" s="10"/>
      <c r="E70" s="10"/>
      <c r="F70" s="10"/>
      <c r="G70" s="10"/>
      <c r="H70" s="10"/>
      <c r="I70" s="195"/>
      <c r="J70" s="10"/>
      <c r="K70" s="10"/>
      <c r="L70" s="10"/>
      <c r="M70" s="10"/>
      <c r="N70" s="10"/>
      <c r="O70" s="10"/>
      <c r="P70" s="10"/>
      <c r="Q70" s="10"/>
      <c r="R70" s="10"/>
      <c r="S70" s="10"/>
      <c r="T70" s="10"/>
      <c r="U70" s="10"/>
      <c r="V70" s="10"/>
      <c r="W70" s="10"/>
      <c r="X70" s="10"/>
      <c r="Y70" s="10"/>
      <c r="Z70" s="10"/>
      <c r="AA70" s="10"/>
      <c r="AB70" s="10"/>
      <c r="AC70" s="10"/>
      <c r="AD70" s="10"/>
      <c r="AE70" s="10"/>
    </row>
    <row r="71" ht="15.75" customHeight="1">
      <c r="A71" s="10"/>
      <c r="B71" s="10"/>
      <c r="C71" s="10"/>
      <c r="D71" s="10"/>
      <c r="E71" s="10"/>
      <c r="F71" s="10"/>
      <c r="G71" s="10"/>
      <c r="H71" s="10"/>
      <c r="I71" s="195"/>
      <c r="J71" s="10"/>
      <c r="K71" s="10"/>
      <c r="L71" s="10"/>
      <c r="M71" s="10"/>
      <c r="N71" s="10"/>
      <c r="O71" s="10"/>
      <c r="P71" s="10"/>
      <c r="Q71" s="10"/>
      <c r="R71" s="10"/>
      <c r="S71" s="10"/>
      <c r="T71" s="10"/>
      <c r="U71" s="10"/>
      <c r="V71" s="10"/>
      <c r="W71" s="10"/>
      <c r="X71" s="10"/>
      <c r="Y71" s="10"/>
      <c r="Z71" s="10"/>
      <c r="AA71" s="10"/>
      <c r="AB71" s="10"/>
      <c r="AC71" s="10"/>
      <c r="AD71" s="10"/>
      <c r="AE71" s="10"/>
    </row>
    <row r="72" ht="15.75" customHeight="1">
      <c r="A72" s="10"/>
      <c r="B72" s="10"/>
      <c r="C72" s="10"/>
      <c r="D72" s="10"/>
      <c r="E72" s="10"/>
      <c r="F72" s="10"/>
      <c r="G72" s="10"/>
      <c r="H72" s="10"/>
      <c r="I72" s="195"/>
      <c r="J72" s="10"/>
      <c r="K72" s="10"/>
      <c r="L72" s="10"/>
      <c r="M72" s="10"/>
      <c r="N72" s="10"/>
      <c r="O72" s="10"/>
      <c r="P72" s="10"/>
      <c r="Q72" s="10"/>
      <c r="R72" s="10"/>
      <c r="S72" s="10"/>
      <c r="T72" s="10"/>
      <c r="U72" s="10"/>
      <c r="V72" s="10"/>
      <c r="W72" s="10"/>
      <c r="X72" s="10"/>
      <c r="Y72" s="10"/>
      <c r="Z72" s="10"/>
      <c r="AA72" s="10"/>
      <c r="AB72" s="10"/>
      <c r="AC72" s="10"/>
      <c r="AD72" s="10"/>
      <c r="AE72" s="10"/>
    </row>
    <row r="73" ht="15.75" customHeight="1">
      <c r="A73" s="10"/>
      <c r="B73" s="10"/>
      <c r="C73" s="10"/>
      <c r="D73" s="10"/>
      <c r="E73" s="10"/>
      <c r="F73" s="10"/>
      <c r="G73" s="10"/>
      <c r="H73" s="10"/>
      <c r="I73" s="195"/>
      <c r="J73" s="10"/>
      <c r="K73" s="10"/>
      <c r="L73" s="10"/>
      <c r="M73" s="10"/>
      <c r="N73" s="10"/>
      <c r="O73" s="10"/>
      <c r="P73" s="10"/>
      <c r="Q73" s="10"/>
      <c r="R73" s="10"/>
      <c r="S73" s="10"/>
      <c r="T73" s="10"/>
      <c r="U73" s="10"/>
      <c r="V73" s="10"/>
      <c r="W73" s="10"/>
      <c r="X73" s="10"/>
      <c r="Y73" s="10"/>
      <c r="Z73" s="10"/>
      <c r="AA73" s="10"/>
      <c r="AB73" s="10"/>
      <c r="AC73" s="10"/>
      <c r="AD73" s="10"/>
      <c r="AE73" s="10"/>
    </row>
    <row r="74" ht="15.75" customHeight="1">
      <c r="A74" s="10"/>
      <c r="B74" s="10"/>
      <c r="C74" s="10"/>
      <c r="D74" s="10"/>
      <c r="E74" s="10"/>
      <c r="F74" s="10"/>
      <c r="G74" s="10"/>
      <c r="H74" s="10"/>
      <c r="I74" s="195"/>
      <c r="J74" s="10"/>
      <c r="K74" s="10"/>
      <c r="L74" s="10"/>
      <c r="M74" s="10"/>
      <c r="N74" s="10"/>
      <c r="O74" s="10"/>
      <c r="P74" s="10"/>
      <c r="Q74" s="10"/>
      <c r="R74" s="10"/>
      <c r="S74" s="10"/>
      <c r="T74" s="10"/>
      <c r="U74" s="10"/>
      <c r="V74" s="10"/>
      <c r="W74" s="10"/>
      <c r="X74" s="10"/>
      <c r="Y74" s="10"/>
      <c r="Z74" s="10"/>
      <c r="AA74" s="10"/>
      <c r="AB74" s="10"/>
      <c r="AC74" s="10"/>
      <c r="AD74" s="10"/>
      <c r="AE74" s="10"/>
    </row>
    <row r="75" ht="15.75" customHeight="1">
      <c r="A75" s="10"/>
      <c r="B75" s="10"/>
      <c r="C75" s="10"/>
      <c r="D75" s="10"/>
      <c r="E75" s="10"/>
      <c r="F75" s="10"/>
      <c r="G75" s="10"/>
      <c r="H75" s="10"/>
      <c r="I75" s="195"/>
      <c r="J75" s="10"/>
      <c r="K75" s="10"/>
      <c r="L75" s="10"/>
      <c r="M75" s="10"/>
      <c r="N75" s="10"/>
      <c r="O75" s="10"/>
      <c r="P75" s="10"/>
      <c r="Q75" s="10"/>
      <c r="R75" s="10"/>
      <c r="S75" s="10"/>
      <c r="T75" s="10"/>
      <c r="U75" s="10"/>
      <c r="V75" s="10"/>
      <c r="W75" s="10"/>
      <c r="X75" s="10"/>
      <c r="Y75" s="10"/>
      <c r="Z75" s="10"/>
      <c r="AA75" s="10"/>
      <c r="AB75" s="10"/>
      <c r="AC75" s="10"/>
      <c r="AD75" s="10"/>
      <c r="AE75" s="10"/>
    </row>
    <row r="76" ht="15.75" customHeight="1">
      <c r="A76" s="10"/>
      <c r="B76" s="10"/>
      <c r="C76" s="10"/>
      <c r="D76" s="10"/>
      <c r="E76" s="10"/>
      <c r="F76" s="10"/>
      <c r="G76" s="10"/>
      <c r="H76" s="10"/>
      <c r="I76" s="195"/>
      <c r="J76" s="10"/>
      <c r="K76" s="10"/>
      <c r="L76" s="10"/>
      <c r="M76" s="10"/>
      <c r="N76" s="10"/>
      <c r="O76" s="10"/>
      <c r="P76" s="10"/>
      <c r="Q76" s="10"/>
      <c r="R76" s="10"/>
      <c r="S76" s="10"/>
      <c r="T76" s="10"/>
      <c r="U76" s="10"/>
      <c r="V76" s="10"/>
      <c r="W76" s="10"/>
      <c r="X76" s="10"/>
      <c r="Y76" s="10"/>
      <c r="Z76" s="10"/>
      <c r="AA76" s="10"/>
      <c r="AB76" s="10"/>
      <c r="AC76" s="10"/>
      <c r="AD76" s="10"/>
      <c r="AE76" s="10"/>
    </row>
    <row r="77" ht="15.75" customHeight="1">
      <c r="A77" s="10"/>
      <c r="B77" s="10"/>
      <c r="C77" s="10"/>
      <c r="D77" s="10"/>
      <c r="E77" s="10"/>
      <c r="F77" s="10"/>
      <c r="G77" s="10"/>
      <c r="H77" s="10"/>
      <c r="I77" s="195"/>
      <c r="J77" s="10"/>
      <c r="K77" s="10"/>
      <c r="L77" s="10"/>
      <c r="M77" s="10"/>
      <c r="N77" s="10"/>
      <c r="O77" s="10"/>
      <c r="P77" s="10"/>
      <c r="Q77" s="10"/>
      <c r="R77" s="10"/>
      <c r="S77" s="10"/>
      <c r="T77" s="10"/>
      <c r="U77" s="10"/>
      <c r="V77" s="10"/>
      <c r="W77" s="10"/>
      <c r="X77" s="10"/>
      <c r="Y77" s="10"/>
      <c r="Z77" s="10"/>
      <c r="AA77" s="10"/>
      <c r="AB77" s="10"/>
      <c r="AC77" s="10"/>
      <c r="AD77" s="10"/>
      <c r="AE77" s="10"/>
    </row>
    <row r="78" ht="15.75" customHeight="1">
      <c r="A78" s="10"/>
      <c r="B78" s="10"/>
      <c r="C78" s="10"/>
      <c r="D78" s="10"/>
      <c r="E78" s="10"/>
      <c r="F78" s="10"/>
      <c r="G78" s="10"/>
      <c r="H78" s="10"/>
      <c r="I78" s="195"/>
      <c r="J78" s="10"/>
      <c r="K78" s="10"/>
      <c r="L78" s="10"/>
      <c r="M78" s="10"/>
      <c r="N78" s="10"/>
      <c r="O78" s="10"/>
      <c r="P78" s="10"/>
      <c r="Q78" s="10"/>
      <c r="R78" s="10"/>
      <c r="S78" s="10"/>
      <c r="T78" s="10"/>
      <c r="U78" s="10"/>
      <c r="V78" s="10"/>
      <c r="W78" s="10"/>
      <c r="X78" s="10"/>
      <c r="Y78" s="10"/>
      <c r="Z78" s="10"/>
      <c r="AA78" s="10"/>
      <c r="AB78" s="10"/>
      <c r="AC78" s="10"/>
      <c r="AD78" s="10"/>
      <c r="AE78" s="10"/>
    </row>
    <row r="79" ht="15.75" customHeight="1">
      <c r="A79" s="10"/>
      <c r="B79" s="10"/>
      <c r="C79" s="10"/>
      <c r="D79" s="10"/>
      <c r="E79" s="10"/>
      <c r="F79" s="10"/>
      <c r="G79" s="10"/>
      <c r="H79" s="10"/>
      <c r="I79" s="195"/>
      <c r="J79" s="10"/>
      <c r="K79" s="10"/>
      <c r="L79" s="10"/>
      <c r="M79" s="10"/>
      <c r="N79" s="10"/>
      <c r="O79" s="10"/>
      <c r="P79" s="10"/>
      <c r="Q79" s="10"/>
      <c r="R79" s="10"/>
      <c r="S79" s="10"/>
      <c r="T79" s="10"/>
      <c r="U79" s="10"/>
      <c r="V79" s="10"/>
      <c r="W79" s="10"/>
      <c r="X79" s="10"/>
      <c r="Y79" s="10"/>
      <c r="Z79" s="10"/>
      <c r="AA79" s="10"/>
      <c r="AB79" s="10"/>
      <c r="AC79" s="10"/>
      <c r="AD79" s="10"/>
      <c r="AE79" s="10"/>
    </row>
    <row r="80" ht="15.75" customHeight="1">
      <c r="A80" s="10"/>
      <c r="B80" s="10"/>
      <c r="C80" s="10"/>
      <c r="D80" s="10"/>
      <c r="E80" s="10"/>
      <c r="F80" s="10"/>
      <c r="G80" s="10"/>
      <c r="H80" s="10"/>
      <c r="I80" s="195"/>
      <c r="J80" s="10"/>
      <c r="K80" s="10"/>
      <c r="L80" s="10"/>
      <c r="M80" s="10"/>
      <c r="N80" s="10"/>
      <c r="O80" s="10"/>
      <c r="P80" s="10"/>
      <c r="Q80" s="10"/>
      <c r="R80" s="10"/>
      <c r="S80" s="10"/>
      <c r="T80" s="10"/>
      <c r="U80" s="10"/>
      <c r="V80" s="10"/>
      <c r="W80" s="10"/>
      <c r="X80" s="10"/>
      <c r="Y80" s="10"/>
      <c r="Z80" s="10"/>
      <c r="AA80" s="10"/>
      <c r="AB80" s="10"/>
      <c r="AC80" s="10"/>
      <c r="AD80" s="10"/>
      <c r="AE80" s="10"/>
    </row>
    <row r="81" ht="15.75" customHeight="1">
      <c r="A81" s="10"/>
      <c r="B81" s="10"/>
      <c r="C81" s="10"/>
      <c r="D81" s="10"/>
      <c r="E81" s="10"/>
      <c r="F81" s="10"/>
      <c r="G81" s="10"/>
      <c r="H81" s="10"/>
      <c r="I81" s="195"/>
      <c r="J81" s="10"/>
      <c r="K81" s="10"/>
      <c r="L81" s="10"/>
      <c r="M81" s="10"/>
      <c r="N81" s="10"/>
      <c r="O81" s="10"/>
      <c r="P81" s="10"/>
      <c r="Q81" s="10"/>
      <c r="R81" s="10"/>
      <c r="S81" s="10"/>
      <c r="T81" s="10"/>
      <c r="U81" s="10"/>
      <c r="V81" s="10"/>
      <c r="W81" s="10"/>
      <c r="X81" s="10"/>
      <c r="Y81" s="10"/>
      <c r="Z81" s="10"/>
      <c r="AA81" s="10"/>
      <c r="AB81" s="10"/>
      <c r="AC81" s="10"/>
      <c r="AD81" s="10"/>
      <c r="AE81" s="10"/>
    </row>
    <row r="82" ht="15.75" customHeight="1">
      <c r="A82" s="10"/>
      <c r="B82" s="10"/>
      <c r="C82" s="10"/>
      <c r="D82" s="10"/>
      <c r="E82" s="10"/>
      <c r="F82" s="10"/>
      <c r="G82" s="10"/>
      <c r="H82" s="10"/>
      <c r="I82" s="195"/>
      <c r="J82" s="10"/>
      <c r="K82" s="10"/>
      <c r="L82" s="10"/>
      <c r="M82" s="10"/>
      <c r="N82" s="10"/>
      <c r="O82" s="10"/>
      <c r="P82" s="10"/>
      <c r="Q82" s="10"/>
      <c r="R82" s="10"/>
      <c r="S82" s="10"/>
      <c r="T82" s="10"/>
      <c r="U82" s="10"/>
      <c r="V82" s="10"/>
      <c r="W82" s="10"/>
      <c r="X82" s="10"/>
      <c r="Y82" s="10"/>
      <c r="Z82" s="10"/>
      <c r="AA82" s="10"/>
      <c r="AB82" s="10"/>
      <c r="AC82" s="10"/>
      <c r="AD82" s="10"/>
      <c r="AE82" s="10"/>
    </row>
    <row r="83" ht="15.75" customHeight="1">
      <c r="A83" s="10"/>
      <c r="B83" s="10"/>
      <c r="C83" s="10"/>
      <c r="D83" s="10"/>
      <c r="E83" s="10"/>
      <c r="F83" s="10"/>
      <c r="G83" s="10"/>
      <c r="H83" s="10"/>
      <c r="I83" s="195"/>
      <c r="J83" s="10"/>
      <c r="K83" s="10"/>
      <c r="L83" s="10"/>
      <c r="M83" s="10"/>
      <c r="N83" s="10"/>
      <c r="O83" s="10"/>
      <c r="P83" s="10"/>
      <c r="Q83" s="10"/>
      <c r="R83" s="10"/>
      <c r="S83" s="10"/>
      <c r="T83" s="10"/>
      <c r="U83" s="10"/>
      <c r="V83" s="10"/>
      <c r="W83" s="10"/>
      <c r="X83" s="10"/>
      <c r="Y83" s="10"/>
      <c r="Z83" s="10"/>
      <c r="AA83" s="10"/>
      <c r="AB83" s="10"/>
      <c r="AC83" s="10"/>
      <c r="AD83" s="10"/>
      <c r="AE83" s="10"/>
    </row>
    <row r="84" ht="15.75" customHeight="1">
      <c r="A84" s="10"/>
      <c r="B84" s="10"/>
      <c r="C84" s="10"/>
      <c r="D84" s="10"/>
      <c r="E84" s="10"/>
      <c r="F84" s="10"/>
      <c r="G84" s="10"/>
      <c r="H84" s="10"/>
      <c r="I84" s="195"/>
      <c r="J84" s="10"/>
      <c r="K84" s="10"/>
      <c r="L84" s="10"/>
      <c r="M84" s="10"/>
      <c r="N84" s="10"/>
      <c r="O84" s="10"/>
      <c r="P84" s="10"/>
      <c r="Q84" s="10"/>
      <c r="R84" s="10"/>
      <c r="S84" s="10"/>
      <c r="T84" s="10"/>
      <c r="U84" s="10"/>
      <c r="V84" s="10"/>
      <c r="W84" s="10"/>
      <c r="X84" s="10"/>
      <c r="Y84" s="10"/>
      <c r="Z84" s="10"/>
      <c r="AA84" s="10"/>
      <c r="AB84" s="10"/>
      <c r="AC84" s="10"/>
      <c r="AD84" s="10"/>
      <c r="AE84" s="10"/>
    </row>
    <row r="85" ht="15.75" customHeight="1">
      <c r="A85" s="10"/>
      <c r="B85" s="10"/>
      <c r="C85" s="10"/>
      <c r="D85" s="10"/>
      <c r="E85" s="10"/>
      <c r="F85" s="10"/>
      <c r="G85" s="10"/>
      <c r="H85" s="10"/>
      <c r="I85" s="195"/>
      <c r="J85" s="10"/>
      <c r="K85" s="10"/>
      <c r="L85" s="10"/>
      <c r="M85" s="10"/>
      <c r="N85" s="10"/>
      <c r="O85" s="10"/>
      <c r="P85" s="10"/>
      <c r="Q85" s="10"/>
      <c r="R85" s="10"/>
      <c r="S85" s="10"/>
      <c r="T85" s="10"/>
      <c r="U85" s="10"/>
      <c r="V85" s="10"/>
      <c r="W85" s="10"/>
      <c r="X85" s="10"/>
      <c r="Y85" s="10"/>
      <c r="Z85" s="10"/>
      <c r="AA85" s="10"/>
      <c r="AB85" s="10"/>
      <c r="AC85" s="10"/>
      <c r="AD85" s="10"/>
      <c r="AE85" s="10"/>
    </row>
    <row r="86" ht="15.75" customHeight="1">
      <c r="A86" s="10"/>
      <c r="B86" s="10"/>
      <c r="C86" s="10"/>
      <c r="D86" s="10"/>
      <c r="E86" s="10"/>
      <c r="F86" s="10"/>
      <c r="G86" s="10"/>
      <c r="H86" s="10"/>
      <c r="I86" s="195"/>
      <c r="J86" s="10"/>
      <c r="K86" s="10"/>
      <c r="L86" s="10"/>
      <c r="M86" s="10"/>
      <c r="N86" s="10"/>
      <c r="O86" s="10"/>
      <c r="P86" s="10"/>
      <c r="Q86" s="10"/>
      <c r="R86" s="10"/>
      <c r="S86" s="10"/>
      <c r="T86" s="10"/>
      <c r="U86" s="10"/>
      <c r="V86" s="10"/>
      <c r="W86" s="10"/>
      <c r="X86" s="10"/>
      <c r="Y86" s="10"/>
      <c r="Z86" s="10"/>
      <c r="AA86" s="10"/>
      <c r="AB86" s="10"/>
      <c r="AC86" s="10"/>
      <c r="AD86" s="10"/>
      <c r="AE86" s="10"/>
    </row>
    <row r="87" ht="15.75" customHeight="1">
      <c r="A87" s="10"/>
      <c r="B87" s="10"/>
      <c r="C87" s="10"/>
      <c r="D87" s="10"/>
      <c r="E87" s="10"/>
      <c r="F87" s="10"/>
      <c r="G87" s="10"/>
      <c r="H87" s="10"/>
      <c r="I87" s="195"/>
      <c r="J87" s="10"/>
      <c r="K87" s="10"/>
      <c r="L87" s="10"/>
      <c r="M87" s="10"/>
      <c r="N87" s="10"/>
      <c r="O87" s="10"/>
      <c r="P87" s="10"/>
      <c r="Q87" s="10"/>
      <c r="R87" s="10"/>
      <c r="S87" s="10"/>
      <c r="T87" s="10"/>
      <c r="U87" s="10"/>
      <c r="V87" s="10"/>
      <c r="W87" s="10"/>
      <c r="X87" s="10"/>
      <c r="Y87" s="10"/>
      <c r="Z87" s="10"/>
      <c r="AA87" s="10"/>
      <c r="AB87" s="10"/>
      <c r="AC87" s="10"/>
      <c r="AD87" s="10"/>
      <c r="AE87" s="10"/>
    </row>
    <row r="88" ht="15.75" customHeight="1">
      <c r="A88" s="10"/>
      <c r="B88" s="10"/>
      <c r="C88" s="10"/>
      <c r="D88" s="10"/>
      <c r="E88" s="10"/>
      <c r="F88" s="10"/>
      <c r="G88" s="10"/>
      <c r="H88" s="10"/>
      <c r="I88" s="195"/>
      <c r="J88" s="10"/>
      <c r="K88" s="10"/>
      <c r="L88" s="10"/>
      <c r="M88" s="10"/>
      <c r="N88" s="10"/>
      <c r="O88" s="10"/>
      <c r="P88" s="10"/>
      <c r="Q88" s="10"/>
      <c r="R88" s="10"/>
      <c r="S88" s="10"/>
      <c r="T88" s="10"/>
      <c r="U88" s="10"/>
      <c r="V88" s="10"/>
      <c r="W88" s="10"/>
      <c r="X88" s="10"/>
      <c r="Y88" s="10"/>
      <c r="Z88" s="10"/>
      <c r="AA88" s="10"/>
      <c r="AB88" s="10"/>
      <c r="AC88" s="10"/>
      <c r="AD88" s="10"/>
      <c r="AE88" s="10"/>
    </row>
    <row r="89" ht="15.75" customHeight="1">
      <c r="A89" s="10"/>
      <c r="B89" s="10"/>
      <c r="C89" s="10"/>
      <c r="D89" s="10"/>
      <c r="E89" s="10"/>
      <c r="F89" s="10"/>
      <c r="G89" s="10"/>
      <c r="H89" s="10"/>
      <c r="I89" s="195"/>
      <c r="J89" s="10"/>
      <c r="K89" s="10"/>
      <c r="L89" s="10"/>
      <c r="M89" s="10"/>
      <c r="N89" s="10"/>
      <c r="O89" s="10"/>
      <c r="P89" s="10"/>
      <c r="Q89" s="10"/>
      <c r="R89" s="10"/>
      <c r="S89" s="10"/>
      <c r="T89" s="10"/>
      <c r="U89" s="10"/>
      <c r="V89" s="10"/>
      <c r="W89" s="10"/>
      <c r="X89" s="10"/>
      <c r="Y89" s="10"/>
      <c r="Z89" s="10"/>
      <c r="AA89" s="10"/>
      <c r="AB89" s="10"/>
      <c r="AC89" s="10"/>
      <c r="AD89" s="10"/>
      <c r="AE89" s="10"/>
    </row>
    <row r="90" ht="15.75" customHeight="1">
      <c r="A90" s="10"/>
      <c r="B90" s="10"/>
      <c r="C90" s="10"/>
      <c r="D90" s="10"/>
      <c r="E90" s="10"/>
      <c r="F90" s="10"/>
      <c r="G90" s="10"/>
      <c r="H90" s="10"/>
      <c r="I90" s="195"/>
      <c r="J90" s="10"/>
      <c r="K90" s="10"/>
      <c r="L90" s="10"/>
      <c r="M90" s="10"/>
      <c r="N90" s="10"/>
      <c r="O90" s="10"/>
      <c r="P90" s="10"/>
      <c r="Q90" s="10"/>
      <c r="R90" s="10"/>
      <c r="S90" s="10"/>
      <c r="T90" s="10"/>
      <c r="U90" s="10"/>
      <c r="V90" s="10"/>
      <c r="W90" s="10"/>
      <c r="X90" s="10"/>
      <c r="Y90" s="10"/>
      <c r="Z90" s="10"/>
      <c r="AA90" s="10"/>
      <c r="AB90" s="10"/>
      <c r="AC90" s="10"/>
      <c r="AD90" s="10"/>
      <c r="AE90" s="10"/>
    </row>
    <row r="91" ht="15.75" customHeight="1">
      <c r="A91" s="10"/>
      <c r="B91" s="10"/>
      <c r="C91" s="10"/>
      <c r="D91" s="10"/>
      <c r="E91" s="10"/>
      <c r="F91" s="10"/>
      <c r="G91" s="10"/>
      <c r="H91" s="10"/>
      <c r="I91" s="195"/>
      <c r="J91" s="10"/>
      <c r="K91" s="10"/>
      <c r="L91" s="10"/>
      <c r="M91" s="10"/>
      <c r="N91" s="10"/>
      <c r="O91" s="10"/>
      <c r="P91" s="10"/>
      <c r="Q91" s="10"/>
      <c r="R91" s="10"/>
      <c r="S91" s="10"/>
      <c r="T91" s="10"/>
      <c r="U91" s="10"/>
      <c r="V91" s="10"/>
      <c r="W91" s="10"/>
      <c r="X91" s="10"/>
      <c r="Y91" s="10"/>
      <c r="Z91" s="10"/>
      <c r="AA91" s="10"/>
      <c r="AB91" s="10"/>
      <c r="AC91" s="10"/>
      <c r="AD91" s="10"/>
      <c r="AE91" s="10"/>
    </row>
    <row r="92" ht="15.75" customHeight="1">
      <c r="A92" s="10"/>
      <c r="B92" s="10"/>
      <c r="C92" s="10"/>
      <c r="D92" s="10"/>
      <c r="E92" s="10"/>
      <c r="F92" s="10"/>
      <c r="G92" s="10"/>
      <c r="H92" s="10"/>
      <c r="I92" s="195"/>
      <c r="J92" s="10"/>
      <c r="K92" s="10"/>
      <c r="L92" s="10"/>
      <c r="M92" s="10"/>
      <c r="N92" s="10"/>
      <c r="O92" s="10"/>
      <c r="P92" s="10"/>
      <c r="Q92" s="10"/>
      <c r="R92" s="10"/>
      <c r="S92" s="10"/>
      <c r="T92" s="10"/>
      <c r="U92" s="10"/>
      <c r="V92" s="10"/>
      <c r="W92" s="10"/>
      <c r="X92" s="10"/>
      <c r="Y92" s="10"/>
      <c r="Z92" s="10"/>
      <c r="AA92" s="10"/>
      <c r="AB92" s="10"/>
      <c r="AC92" s="10"/>
      <c r="AD92" s="10"/>
      <c r="AE92" s="10"/>
    </row>
    <row r="93" ht="15.75" customHeight="1">
      <c r="A93" s="10"/>
      <c r="B93" s="10"/>
      <c r="C93" s="10"/>
      <c r="D93" s="10"/>
      <c r="E93" s="10"/>
      <c r="F93" s="10"/>
      <c r="G93" s="10"/>
      <c r="H93" s="10"/>
      <c r="I93" s="195"/>
      <c r="J93" s="10"/>
      <c r="K93" s="10"/>
      <c r="L93" s="10"/>
      <c r="M93" s="10"/>
      <c r="N93" s="10"/>
      <c r="O93" s="10"/>
      <c r="P93" s="10"/>
      <c r="Q93" s="10"/>
      <c r="R93" s="10"/>
      <c r="S93" s="10"/>
      <c r="T93" s="10"/>
      <c r="U93" s="10"/>
      <c r="V93" s="10"/>
      <c r="W93" s="10"/>
      <c r="X93" s="10"/>
      <c r="Y93" s="10"/>
      <c r="Z93" s="10"/>
      <c r="AA93" s="10"/>
      <c r="AB93" s="10"/>
      <c r="AC93" s="10"/>
      <c r="AD93" s="10"/>
      <c r="AE93" s="10"/>
    </row>
    <row r="94" ht="15.75" customHeight="1">
      <c r="A94" s="10"/>
      <c r="B94" s="10"/>
      <c r="C94" s="10"/>
      <c r="D94" s="10"/>
      <c r="E94" s="10"/>
      <c r="F94" s="10"/>
      <c r="G94" s="10"/>
      <c r="H94" s="10"/>
      <c r="I94" s="195"/>
      <c r="J94" s="10"/>
      <c r="K94" s="10"/>
      <c r="L94" s="10"/>
      <c r="M94" s="10"/>
      <c r="N94" s="10"/>
      <c r="O94" s="10"/>
      <c r="P94" s="10"/>
      <c r="Q94" s="10"/>
      <c r="R94" s="10"/>
      <c r="S94" s="10"/>
      <c r="T94" s="10"/>
      <c r="U94" s="10"/>
      <c r="V94" s="10"/>
      <c r="W94" s="10"/>
      <c r="X94" s="10"/>
      <c r="Y94" s="10"/>
      <c r="Z94" s="10"/>
      <c r="AA94" s="10"/>
      <c r="AB94" s="10"/>
      <c r="AC94" s="10"/>
      <c r="AD94" s="10"/>
      <c r="AE94" s="10"/>
    </row>
    <row r="95" ht="15.75" customHeight="1">
      <c r="A95" s="10"/>
      <c r="B95" s="10"/>
      <c r="C95" s="10"/>
      <c r="D95" s="10"/>
      <c r="E95" s="10"/>
      <c r="F95" s="10"/>
      <c r="G95" s="10"/>
      <c r="H95" s="10"/>
      <c r="I95" s="195"/>
      <c r="J95" s="10"/>
      <c r="K95" s="10"/>
      <c r="L95" s="10"/>
      <c r="M95" s="10"/>
      <c r="N95" s="10"/>
      <c r="O95" s="10"/>
      <c r="P95" s="10"/>
      <c r="Q95" s="10"/>
      <c r="R95" s="10"/>
      <c r="S95" s="10"/>
      <c r="T95" s="10"/>
      <c r="U95" s="10"/>
      <c r="V95" s="10"/>
      <c r="W95" s="10"/>
      <c r="X95" s="10"/>
      <c r="Y95" s="10"/>
      <c r="Z95" s="10"/>
      <c r="AA95" s="10"/>
      <c r="AB95" s="10"/>
      <c r="AC95" s="10"/>
      <c r="AD95" s="10"/>
      <c r="AE95" s="10"/>
    </row>
    <row r="96" ht="15.75" customHeight="1">
      <c r="A96" s="10"/>
      <c r="B96" s="10"/>
      <c r="C96" s="10"/>
      <c r="D96" s="10"/>
      <c r="E96" s="10"/>
      <c r="F96" s="10"/>
      <c r="G96" s="10"/>
      <c r="H96" s="10"/>
      <c r="I96" s="195"/>
      <c r="J96" s="10"/>
      <c r="K96" s="10"/>
      <c r="L96" s="10"/>
      <c r="M96" s="10"/>
      <c r="N96" s="10"/>
      <c r="O96" s="10"/>
      <c r="P96" s="10"/>
      <c r="Q96" s="10"/>
      <c r="R96" s="10"/>
      <c r="S96" s="10"/>
      <c r="T96" s="10"/>
      <c r="U96" s="10"/>
      <c r="V96" s="10"/>
      <c r="W96" s="10"/>
      <c r="X96" s="10"/>
      <c r="Y96" s="10"/>
      <c r="Z96" s="10"/>
      <c r="AA96" s="10"/>
      <c r="AB96" s="10"/>
      <c r="AC96" s="10"/>
      <c r="AD96" s="10"/>
      <c r="AE96" s="10"/>
    </row>
    <row r="97" ht="15.75" customHeight="1">
      <c r="A97" s="10"/>
      <c r="B97" s="10"/>
      <c r="C97" s="10"/>
      <c r="D97" s="10"/>
      <c r="E97" s="10"/>
      <c r="F97" s="10"/>
      <c r="G97" s="10"/>
      <c r="H97" s="10"/>
      <c r="I97" s="195"/>
      <c r="J97" s="10"/>
      <c r="K97" s="10"/>
      <c r="L97" s="10"/>
      <c r="M97" s="10"/>
      <c r="N97" s="10"/>
      <c r="O97" s="10"/>
      <c r="P97" s="10"/>
      <c r="Q97" s="10"/>
      <c r="R97" s="10"/>
      <c r="S97" s="10"/>
      <c r="T97" s="10"/>
      <c r="U97" s="10"/>
      <c r="V97" s="10"/>
      <c r="W97" s="10"/>
      <c r="X97" s="10"/>
      <c r="Y97" s="10"/>
      <c r="Z97" s="10"/>
      <c r="AA97" s="10"/>
      <c r="AB97" s="10"/>
      <c r="AC97" s="10"/>
      <c r="AD97" s="10"/>
      <c r="AE97" s="10"/>
    </row>
    <row r="98" ht="15.75" customHeight="1">
      <c r="A98" s="10"/>
      <c r="B98" s="10"/>
      <c r="C98" s="10"/>
      <c r="D98" s="10"/>
      <c r="E98" s="10"/>
      <c r="F98" s="10"/>
      <c r="G98" s="10"/>
      <c r="H98" s="10"/>
      <c r="I98" s="195"/>
      <c r="J98" s="10"/>
      <c r="K98" s="10"/>
      <c r="L98" s="10"/>
      <c r="M98" s="10"/>
      <c r="N98" s="10"/>
      <c r="O98" s="10"/>
      <c r="P98" s="10"/>
      <c r="Q98" s="10"/>
      <c r="R98" s="10"/>
      <c r="S98" s="10"/>
      <c r="T98" s="10"/>
      <c r="U98" s="10"/>
      <c r="V98" s="10"/>
      <c r="W98" s="10"/>
      <c r="X98" s="10"/>
      <c r="Y98" s="10"/>
      <c r="Z98" s="10"/>
      <c r="AA98" s="10"/>
      <c r="AB98" s="10"/>
      <c r="AC98" s="10"/>
      <c r="AD98" s="10"/>
      <c r="AE98" s="10"/>
    </row>
    <row r="99" ht="15.75" customHeight="1">
      <c r="A99" s="10"/>
      <c r="B99" s="10"/>
      <c r="C99" s="10"/>
      <c r="D99" s="10"/>
      <c r="E99" s="10"/>
      <c r="F99" s="10"/>
      <c r="G99" s="10"/>
      <c r="H99" s="10"/>
      <c r="I99" s="195"/>
      <c r="J99" s="10"/>
      <c r="K99" s="10"/>
      <c r="L99" s="10"/>
      <c r="M99" s="10"/>
      <c r="N99" s="10"/>
      <c r="O99" s="10"/>
      <c r="P99" s="10"/>
      <c r="Q99" s="10"/>
      <c r="R99" s="10"/>
      <c r="S99" s="10"/>
      <c r="T99" s="10"/>
      <c r="U99" s="10"/>
      <c r="V99" s="10"/>
      <c r="W99" s="10"/>
      <c r="X99" s="10"/>
      <c r="Y99" s="10"/>
      <c r="Z99" s="10"/>
      <c r="AA99" s="10"/>
      <c r="AB99" s="10"/>
      <c r="AC99" s="10"/>
      <c r="AD99" s="10"/>
      <c r="AE99" s="10"/>
    </row>
    <row r="100" ht="15.75" customHeight="1">
      <c r="A100" s="10"/>
      <c r="B100" s="10"/>
      <c r="C100" s="10"/>
      <c r="D100" s="10"/>
      <c r="E100" s="10"/>
      <c r="F100" s="10"/>
      <c r="G100" s="10"/>
      <c r="H100" s="10"/>
      <c r="I100" s="195"/>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ht="15.75" customHeight="1">
      <c r="A101" s="10"/>
      <c r="B101" s="10"/>
      <c r="C101" s="10"/>
      <c r="D101" s="10"/>
      <c r="E101" s="10"/>
      <c r="F101" s="10"/>
      <c r="G101" s="10"/>
      <c r="H101" s="10"/>
      <c r="I101" s="195"/>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ht="15.75" customHeight="1">
      <c r="A102" s="10"/>
      <c r="B102" s="10"/>
      <c r="C102" s="10"/>
      <c r="D102" s="10"/>
      <c r="E102" s="10"/>
      <c r="F102" s="10"/>
      <c r="G102" s="10"/>
      <c r="H102" s="10"/>
      <c r="I102" s="195"/>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ht="15.75" customHeight="1">
      <c r="A103" s="10"/>
      <c r="B103" s="10"/>
      <c r="C103" s="10"/>
      <c r="D103" s="10"/>
      <c r="E103" s="10"/>
      <c r="F103" s="10"/>
      <c r="G103" s="10"/>
      <c r="H103" s="10"/>
      <c r="I103" s="195"/>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ht="15.75" customHeight="1">
      <c r="A104" s="10"/>
      <c r="B104" s="10"/>
      <c r="C104" s="10"/>
      <c r="D104" s="10"/>
      <c r="E104" s="10"/>
      <c r="F104" s="10"/>
      <c r="G104" s="10"/>
      <c r="H104" s="10"/>
      <c r="I104" s="195"/>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ht="15.75" customHeight="1">
      <c r="A105" s="10"/>
      <c r="B105" s="10"/>
      <c r="C105" s="10"/>
      <c r="D105" s="10"/>
      <c r="E105" s="10"/>
      <c r="F105" s="10"/>
      <c r="G105" s="10"/>
      <c r="H105" s="10"/>
      <c r="I105" s="195"/>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ht="15.75" customHeight="1">
      <c r="A106" s="10"/>
      <c r="B106" s="10"/>
      <c r="C106" s="10"/>
      <c r="D106" s="10"/>
      <c r="E106" s="10"/>
      <c r="F106" s="10"/>
      <c r="G106" s="10"/>
      <c r="H106" s="10"/>
      <c r="I106" s="195"/>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ht="15.75" customHeight="1">
      <c r="A107" s="10"/>
      <c r="B107" s="10"/>
      <c r="C107" s="10"/>
      <c r="D107" s="10"/>
      <c r="E107" s="10"/>
      <c r="F107" s="10"/>
      <c r="G107" s="10"/>
      <c r="H107" s="10"/>
      <c r="I107" s="195"/>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ht="15.75" customHeight="1">
      <c r="A108" s="10"/>
      <c r="B108" s="10"/>
      <c r="C108" s="10"/>
      <c r="D108" s="10"/>
      <c r="E108" s="10"/>
      <c r="F108" s="10"/>
      <c r="G108" s="10"/>
      <c r="H108" s="10"/>
      <c r="I108" s="195"/>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ht="15.75" customHeight="1">
      <c r="A109" s="10"/>
      <c r="B109" s="10"/>
      <c r="C109" s="10"/>
      <c r="D109" s="10"/>
      <c r="E109" s="10"/>
      <c r="F109" s="10"/>
      <c r="G109" s="10"/>
      <c r="H109" s="10"/>
      <c r="I109" s="195"/>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ht="15.75" customHeight="1">
      <c r="A110" s="10"/>
      <c r="B110" s="10"/>
      <c r="C110" s="10"/>
      <c r="D110" s="10"/>
      <c r="E110" s="10"/>
      <c r="F110" s="10"/>
      <c r="G110" s="10"/>
      <c r="H110" s="10"/>
      <c r="I110" s="195"/>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ht="15.75" customHeight="1">
      <c r="A111" s="10"/>
      <c r="B111" s="10"/>
      <c r="C111" s="10"/>
      <c r="D111" s="10"/>
      <c r="E111" s="10"/>
      <c r="F111" s="10"/>
      <c r="G111" s="10"/>
      <c r="H111" s="10"/>
      <c r="I111" s="195"/>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ht="15.75" customHeight="1">
      <c r="A112" s="10"/>
      <c r="B112" s="10"/>
      <c r="C112" s="10"/>
      <c r="D112" s="10"/>
      <c r="E112" s="10"/>
      <c r="F112" s="10"/>
      <c r="G112" s="10"/>
      <c r="H112" s="10"/>
      <c r="I112" s="195"/>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ht="15.75" customHeight="1">
      <c r="A113" s="10"/>
      <c r="B113" s="10"/>
      <c r="C113" s="10"/>
      <c r="D113" s="10"/>
      <c r="E113" s="10"/>
      <c r="F113" s="10"/>
      <c r="G113" s="10"/>
      <c r="H113" s="10"/>
      <c r="I113" s="195"/>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ht="15.75" customHeight="1">
      <c r="A114" s="10"/>
      <c r="B114" s="10"/>
      <c r="C114" s="10"/>
      <c r="D114" s="10"/>
      <c r="E114" s="10"/>
      <c r="F114" s="10"/>
      <c r="G114" s="10"/>
      <c r="H114" s="10"/>
      <c r="I114" s="195"/>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ht="15.75" customHeight="1">
      <c r="A115" s="10"/>
      <c r="B115" s="10"/>
      <c r="C115" s="10"/>
      <c r="D115" s="10"/>
      <c r="E115" s="10"/>
      <c r="F115" s="10"/>
      <c r="G115" s="10"/>
      <c r="H115" s="10"/>
      <c r="I115" s="195"/>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ht="15.75" customHeight="1">
      <c r="A116" s="10"/>
      <c r="B116" s="10"/>
      <c r="C116" s="10"/>
      <c r="D116" s="10"/>
      <c r="E116" s="10"/>
      <c r="F116" s="10"/>
      <c r="G116" s="10"/>
      <c r="H116" s="10"/>
      <c r="I116" s="195"/>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ht="15.75" customHeight="1">
      <c r="A117" s="10"/>
      <c r="B117" s="10"/>
      <c r="C117" s="10"/>
      <c r="D117" s="10"/>
      <c r="E117" s="10"/>
      <c r="F117" s="10"/>
      <c r="G117" s="10"/>
      <c r="H117" s="10"/>
      <c r="I117" s="195"/>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ht="15.75" customHeight="1">
      <c r="A118" s="10"/>
      <c r="B118" s="10"/>
      <c r="C118" s="10"/>
      <c r="D118" s="10"/>
      <c r="E118" s="10"/>
      <c r="F118" s="10"/>
      <c r="G118" s="10"/>
      <c r="H118" s="10"/>
      <c r="I118" s="195"/>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ht="15.75" customHeight="1">
      <c r="A119" s="10"/>
      <c r="B119" s="10"/>
      <c r="C119" s="10"/>
      <c r="D119" s="10"/>
      <c r="E119" s="10"/>
      <c r="F119" s="10"/>
      <c r="G119" s="10"/>
      <c r="H119" s="10"/>
      <c r="I119" s="195"/>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ht="15.75" customHeight="1">
      <c r="A120" s="10"/>
      <c r="B120" s="10"/>
      <c r="C120" s="10"/>
      <c r="D120" s="10"/>
      <c r="E120" s="10"/>
      <c r="F120" s="10"/>
      <c r="G120" s="10"/>
      <c r="H120" s="10"/>
      <c r="I120" s="195"/>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ht="15.75" customHeight="1">
      <c r="A121" s="10"/>
      <c r="B121" s="10"/>
      <c r="C121" s="10"/>
      <c r="D121" s="10"/>
      <c r="E121" s="10"/>
      <c r="F121" s="10"/>
      <c r="G121" s="10"/>
      <c r="H121" s="10"/>
      <c r="I121" s="195"/>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ht="15.75" customHeight="1">
      <c r="A122" s="10"/>
      <c r="B122" s="10"/>
      <c r="C122" s="10"/>
      <c r="D122" s="10"/>
      <c r="E122" s="10"/>
      <c r="F122" s="10"/>
      <c r="G122" s="10"/>
      <c r="H122" s="10"/>
      <c r="I122" s="195"/>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ht="15.75" customHeight="1">
      <c r="A123" s="10"/>
      <c r="B123" s="10"/>
      <c r="C123" s="10"/>
      <c r="D123" s="10"/>
      <c r="E123" s="10"/>
      <c r="F123" s="10"/>
      <c r="G123" s="10"/>
      <c r="H123" s="10"/>
      <c r="I123" s="195"/>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ht="15.75" customHeight="1">
      <c r="A124" s="10"/>
      <c r="B124" s="10"/>
      <c r="C124" s="10"/>
      <c r="D124" s="10"/>
      <c r="E124" s="10"/>
      <c r="F124" s="10"/>
      <c r="G124" s="10"/>
      <c r="H124" s="10"/>
      <c r="I124" s="195"/>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ht="15.75" customHeight="1">
      <c r="A125" s="10"/>
      <c r="B125" s="10"/>
      <c r="C125" s="10"/>
      <c r="D125" s="10"/>
      <c r="E125" s="10"/>
      <c r="F125" s="10"/>
      <c r="G125" s="10"/>
      <c r="H125" s="10"/>
      <c r="I125" s="195"/>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ht="15.75" customHeight="1">
      <c r="A126" s="10"/>
      <c r="B126" s="10"/>
      <c r="C126" s="10"/>
      <c r="D126" s="10"/>
      <c r="E126" s="10"/>
      <c r="F126" s="10"/>
      <c r="G126" s="10"/>
      <c r="H126" s="10"/>
      <c r="I126" s="195"/>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ht="15.75" customHeight="1">
      <c r="A127" s="10"/>
      <c r="B127" s="10"/>
      <c r="C127" s="10"/>
      <c r="D127" s="10"/>
      <c r="E127" s="10"/>
      <c r="F127" s="10"/>
      <c r="G127" s="10"/>
      <c r="H127" s="10"/>
      <c r="I127" s="195"/>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ht="15.75" customHeight="1">
      <c r="A128" s="10"/>
      <c r="B128" s="10"/>
      <c r="C128" s="10"/>
      <c r="D128" s="10"/>
      <c r="E128" s="10"/>
      <c r="F128" s="10"/>
      <c r="G128" s="10"/>
      <c r="H128" s="10"/>
      <c r="I128" s="195"/>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ht="15.75" customHeight="1">
      <c r="A129" s="10"/>
      <c r="B129" s="10"/>
      <c r="C129" s="10"/>
      <c r="D129" s="10"/>
      <c r="E129" s="10"/>
      <c r="F129" s="10"/>
      <c r="G129" s="10"/>
      <c r="H129" s="10"/>
      <c r="I129" s="195"/>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ht="15.75" customHeight="1">
      <c r="A130" s="10"/>
      <c r="B130" s="10"/>
      <c r="C130" s="10"/>
      <c r="D130" s="10"/>
      <c r="E130" s="10"/>
      <c r="F130" s="10"/>
      <c r="G130" s="10"/>
      <c r="H130" s="10"/>
      <c r="I130" s="195"/>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ht="15.75" customHeight="1">
      <c r="A131" s="10"/>
      <c r="B131" s="10"/>
      <c r="C131" s="10"/>
      <c r="D131" s="10"/>
      <c r="E131" s="10"/>
      <c r="F131" s="10"/>
      <c r="G131" s="10"/>
      <c r="H131" s="10"/>
      <c r="I131" s="195"/>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ht="15.75" customHeight="1">
      <c r="A132" s="10"/>
      <c r="B132" s="10"/>
      <c r="C132" s="10"/>
      <c r="D132" s="10"/>
      <c r="E132" s="10"/>
      <c r="F132" s="10"/>
      <c r="G132" s="10"/>
      <c r="H132" s="10"/>
      <c r="I132" s="195"/>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ht="15.75" customHeight="1">
      <c r="A133" s="10"/>
      <c r="B133" s="10"/>
      <c r="C133" s="10"/>
      <c r="D133" s="10"/>
      <c r="E133" s="10"/>
      <c r="F133" s="10"/>
      <c r="G133" s="10"/>
      <c r="H133" s="10"/>
      <c r="I133" s="195"/>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ht="15.75" customHeight="1">
      <c r="A134" s="10"/>
      <c r="B134" s="10"/>
      <c r="C134" s="10"/>
      <c r="D134" s="10"/>
      <c r="E134" s="10"/>
      <c r="F134" s="10"/>
      <c r="G134" s="10"/>
      <c r="H134" s="10"/>
      <c r="I134" s="195"/>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ht="15.75" customHeight="1">
      <c r="A135" s="10"/>
      <c r="B135" s="10"/>
      <c r="C135" s="10"/>
      <c r="D135" s="10"/>
      <c r="E135" s="10"/>
      <c r="F135" s="10"/>
      <c r="G135" s="10"/>
      <c r="H135" s="10"/>
      <c r="I135" s="195"/>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ht="15.75" customHeight="1">
      <c r="A136" s="10"/>
      <c r="B136" s="10"/>
      <c r="C136" s="10"/>
      <c r="D136" s="10"/>
      <c r="E136" s="10"/>
      <c r="F136" s="10"/>
      <c r="G136" s="10"/>
      <c r="H136" s="10"/>
      <c r="I136" s="195"/>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ht="15.75" customHeight="1">
      <c r="A137" s="10"/>
      <c r="B137" s="10"/>
      <c r="C137" s="10"/>
      <c r="D137" s="10"/>
      <c r="E137" s="10"/>
      <c r="F137" s="10"/>
      <c r="G137" s="10"/>
      <c r="H137" s="10"/>
      <c r="I137" s="195"/>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ht="15.75" customHeight="1">
      <c r="A138" s="10"/>
      <c r="B138" s="10"/>
      <c r="C138" s="10"/>
      <c r="D138" s="10"/>
      <c r="E138" s="10"/>
      <c r="F138" s="10"/>
      <c r="G138" s="10"/>
      <c r="H138" s="10"/>
      <c r="I138" s="195"/>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ht="15.75" customHeight="1">
      <c r="A139" s="10"/>
      <c r="B139" s="10"/>
      <c r="C139" s="10"/>
      <c r="D139" s="10"/>
      <c r="E139" s="10"/>
      <c r="F139" s="10"/>
      <c r="G139" s="10"/>
      <c r="H139" s="10"/>
      <c r="I139" s="195"/>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ht="15.75" customHeight="1">
      <c r="A140" s="10"/>
      <c r="B140" s="10"/>
      <c r="C140" s="10"/>
      <c r="D140" s="10"/>
      <c r="E140" s="10"/>
      <c r="F140" s="10"/>
      <c r="G140" s="10"/>
      <c r="H140" s="10"/>
      <c r="I140" s="195"/>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ht="15.75" customHeight="1">
      <c r="A141" s="10"/>
      <c r="B141" s="10"/>
      <c r="C141" s="10"/>
      <c r="D141" s="10"/>
      <c r="E141" s="10"/>
      <c r="F141" s="10"/>
      <c r="G141" s="10"/>
      <c r="H141" s="10"/>
      <c r="I141" s="195"/>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ht="15.75" customHeight="1">
      <c r="A142" s="10"/>
      <c r="B142" s="10"/>
      <c r="C142" s="10"/>
      <c r="D142" s="10"/>
      <c r="E142" s="10"/>
      <c r="F142" s="10"/>
      <c r="G142" s="10"/>
      <c r="H142" s="10"/>
      <c r="I142" s="195"/>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ht="15.75" customHeight="1">
      <c r="A143" s="10"/>
      <c r="B143" s="10"/>
      <c r="C143" s="10"/>
      <c r="D143" s="10"/>
      <c r="E143" s="10"/>
      <c r="F143" s="10"/>
      <c r="G143" s="10"/>
      <c r="H143" s="10"/>
      <c r="I143" s="195"/>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ht="15.75" customHeight="1">
      <c r="A144" s="10"/>
      <c r="B144" s="10"/>
      <c r="C144" s="10"/>
      <c r="D144" s="10"/>
      <c r="E144" s="10"/>
      <c r="F144" s="10"/>
      <c r="G144" s="10"/>
      <c r="H144" s="10"/>
      <c r="I144" s="195"/>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ht="15.75" customHeight="1">
      <c r="A145" s="10"/>
      <c r="B145" s="10"/>
      <c r="C145" s="10"/>
      <c r="D145" s="10"/>
      <c r="E145" s="10"/>
      <c r="F145" s="10"/>
      <c r="G145" s="10"/>
      <c r="H145" s="10"/>
      <c r="I145" s="195"/>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ht="15.75" customHeight="1">
      <c r="A146" s="10"/>
      <c r="B146" s="10"/>
      <c r="C146" s="10"/>
      <c r="D146" s="10"/>
      <c r="E146" s="10"/>
      <c r="F146" s="10"/>
      <c r="G146" s="10"/>
      <c r="H146" s="10"/>
      <c r="I146" s="195"/>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ht="15.75" customHeight="1">
      <c r="A147" s="10"/>
      <c r="B147" s="10"/>
      <c r="C147" s="10"/>
      <c r="D147" s="10"/>
      <c r="E147" s="10"/>
      <c r="F147" s="10"/>
      <c r="G147" s="10"/>
      <c r="H147" s="10"/>
      <c r="I147" s="195"/>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ht="15.75" customHeight="1">
      <c r="A148" s="10"/>
      <c r="B148" s="10"/>
      <c r="C148" s="10"/>
      <c r="D148" s="10"/>
      <c r="E148" s="10"/>
      <c r="F148" s="10"/>
      <c r="G148" s="10"/>
      <c r="H148" s="10"/>
      <c r="I148" s="195"/>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ht="15.75" customHeight="1">
      <c r="A149" s="10"/>
      <c r="B149" s="10"/>
      <c r="C149" s="10"/>
      <c r="D149" s="10"/>
      <c r="E149" s="10"/>
      <c r="F149" s="10"/>
      <c r="G149" s="10"/>
      <c r="H149" s="10"/>
      <c r="I149" s="195"/>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ht="15.75" customHeight="1">
      <c r="A150" s="10"/>
      <c r="B150" s="10"/>
      <c r="C150" s="10"/>
      <c r="D150" s="10"/>
      <c r="E150" s="10"/>
      <c r="F150" s="10"/>
      <c r="G150" s="10"/>
      <c r="H150" s="10"/>
      <c r="I150" s="195"/>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ht="15.75" customHeight="1">
      <c r="A151" s="10"/>
      <c r="B151" s="10"/>
      <c r="C151" s="10"/>
      <c r="D151" s="10"/>
      <c r="E151" s="10"/>
      <c r="F151" s="10"/>
      <c r="G151" s="10"/>
      <c r="H151" s="10"/>
      <c r="I151" s="195"/>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ht="15.75" customHeight="1">
      <c r="A152" s="10"/>
      <c r="B152" s="10"/>
      <c r="C152" s="10"/>
      <c r="D152" s="10"/>
      <c r="E152" s="10"/>
      <c r="F152" s="10"/>
      <c r="G152" s="10"/>
      <c r="H152" s="10"/>
      <c r="I152" s="195"/>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ht="15.75" customHeight="1">
      <c r="A153" s="10"/>
      <c r="B153" s="10"/>
      <c r="C153" s="10"/>
      <c r="D153" s="10"/>
      <c r="E153" s="10"/>
      <c r="F153" s="10"/>
      <c r="G153" s="10"/>
      <c r="H153" s="10"/>
      <c r="I153" s="195"/>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ht="15.75" customHeight="1">
      <c r="A154" s="10"/>
      <c r="B154" s="10"/>
      <c r="C154" s="10"/>
      <c r="D154" s="10"/>
      <c r="E154" s="10"/>
      <c r="F154" s="10"/>
      <c r="G154" s="10"/>
      <c r="H154" s="10"/>
      <c r="I154" s="195"/>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ht="15.75" customHeight="1">
      <c r="A155" s="10"/>
      <c r="B155" s="10"/>
      <c r="C155" s="10"/>
      <c r="D155" s="10"/>
      <c r="E155" s="10"/>
      <c r="F155" s="10"/>
      <c r="G155" s="10"/>
      <c r="H155" s="10"/>
      <c r="I155" s="195"/>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ht="15.75" customHeight="1">
      <c r="A156" s="10"/>
      <c r="B156" s="10"/>
      <c r="C156" s="10"/>
      <c r="D156" s="10"/>
      <c r="E156" s="10"/>
      <c r="F156" s="10"/>
      <c r="G156" s="10"/>
      <c r="H156" s="10"/>
      <c r="I156" s="195"/>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ht="15.75" customHeight="1">
      <c r="A157" s="10"/>
      <c r="B157" s="10"/>
      <c r="C157" s="10"/>
      <c r="D157" s="10"/>
      <c r="E157" s="10"/>
      <c r="F157" s="10"/>
      <c r="G157" s="10"/>
      <c r="H157" s="10"/>
      <c r="I157" s="195"/>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ht="15.75" customHeight="1">
      <c r="A158" s="10"/>
      <c r="B158" s="10"/>
      <c r="C158" s="10"/>
      <c r="D158" s="10"/>
      <c r="E158" s="10"/>
      <c r="F158" s="10"/>
      <c r="G158" s="10"/>
      <c r="H158" s="10"/>
      <c r="I158" s="195"/>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ht="15.75" customHeight="1">
      <c r="A159" s="10"/>
      <c r="B159" s="10"/>
      <c r="C159" s="10"/>
      <c r="D159" s="10"/>
      <c r="E159" s="10"/>
      <c r="F159" s="10"/>
      <c r="G159" s="10"/>
      <c r="H159" s="10"/>
      <c r="I159" s="195"/>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ht="15.75" customHeight="1">
      <c r="A160" s="10"/>
      <c r="B160" s="10"/>
      <c r="C160" s="10"/>
      <c r="D160" s="10"/>
      <c r="E160" s="10"/>
      <c r="F160" s="10"/>
      <c r="G160" s="10"/>
      <c r="H160" s="10"/>
      <c r="I160" s="195"/>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ht="15.75" customHeight="1">
      <c r="A161" s="10"/>
      <c r="B161" s="10"/>
      <c r="C161" s="10"/>
      <c r="D161" s="10"/>
      <c r="E161" s="10"/>
      <c r="F161" s="10"/>
      <c r="G161" s="10"/>
      <c r="H161" s="10"/>
      <c r="I161" s="195"/>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ht="15.75" customHeight="1">
      <c r="A162" s="10"/>
      <c r="B162" s="10"/>
      <c r="C162" s="10"/>
      <c r="D162" s="10"/>
      <c r="E162" s="10"/>
      <c r="F162" s="10"/>
      <c r="G162" s="10"/>
      <c r="H162" s="10"/>
      <c r="I162" s="195"/>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ht="15.75" customHeight="1">
      <c r="A163" s="10"/>
      <c r="B163" s="10"/>
      <c r="C163" s="10"/>
      <c r="D163" s="10"/>
      <c r="E163" s="10"/>
      <c r="F163" s="10"/>
      <c r="G163" s="10"/>
      <c r="H163" s="10"/>
      <c r="I163" s="195"/>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ht="15.75" customHeight="1">
      <c r="A164" s="10"/>
      <c r="B164" s="10"/>
      <c r="C164" s="10"/>
      <c r="D164" s="10"/>
      <c r="E164" s="10"/>
      <c r="F164" s="10"/>
      <c r="G164" s="10"/>
      <c r="H164" s="10"/>
      <c r="I164" s="195"/>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ht="15.75" customHeight="1">
      <c r="A165" s="10"/>
      <c r="B165" s="10"/>
      <c r="C165" s="10"/>
      <c r="D165" s="10"/>
      <c r="E165" s="10"/>
      <c r="F165" s="10"/>
      <c r="G165" s="10"/>
      <c r="H165" s="10"/>
      <c r="I165" s="195"/>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ht="15.75" customHeight="1">
      <c r="A166" s="10"/>
      <c r="B166" s="10"/>
      <c r="C166" s="10"/>
      <c r="D166" s="10"/>
      <c r="E166" s="10"/>
      <c r="F166" s="10"/>
      <c r="G166" s="10"/>
      <c r="H166" s="10"/>
      <c r="I166" s="195"/>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ht="15.75" customHeight="1">
      <c r="A167" s="10"/>
      <c r="B167" s="10"/>
      <c r="C167" s="10"/>
      <c r="D167" s="10"/>
      <c r="E167" s="10"/>
      <c r="F167" s="10"/>
      <c r="G167" s="10"/>
      <c r="H167" s="10"/>
      <c r="I167" s="195"/>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ht="15.75" customHeight="1">
      <c r="A168" s="10"/>
      <c r="B168" s="10"/>
      <c r="C168" s="10"/>
      <c r="D168" s="10"/>
      <c r="E168" s="10"/>
      <c r="F168" s="10"/>
      <c r="G168" s="10"/>
      <c r="H168" s="10"/>
      <c r="I168" s="195"/>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ht="15.75" customHeight="1">
      <c r="A169" s="10"/>
      <c r="B169" s="10"/>
      <c r="C169" s="10"/>
      <c r="D169" s="10"/>
      <c r="E169" s="10"/>
      <c r="F169" s="10"/>
      <c r="G169" s="10"/>
      <c r="H169" s="10"/>
      <c r="I169" s="195"/>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ht="15.75" customHeight="1">
      <c r="A170" s="10"/>
      <c r="B170" s="10"/>
      <c r="C170" s="10"/>
      <c r="D170" s="10"/>
      <c r="E170" s="10"/>
      <c r="F170" s="10"/>
      <c r="G170" s="10"/>
      <c r="H170" s="10"/>
      <c r="I170" s="195"/>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ht="15.75" customHeight="1">
      <c r="A171" s="10"/>
      <c r="B171" s="10"/>
      <c r="C171" s="10"/>
      <c r="D171" s="10"/>
      <c r="E171" s="10"/>
      <c r="F171" s="10"/>
      <c r="G171" s="10"/>
      <c r="H171" s="10"/>
      <c r="I171" s="195"/>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ht="15.75" customHeight="1">
      <c r="A172" s="10"/>
      <c r="B172" s="10"/>
      <c r="C172" s="10"/>
      <c r="D172" s="10"/>
      <c r="E172" s="10"/>
      <c r="F172" s="10"/>
      <c r="G172" s="10"/>
      <c r="H172" s="10"/>
      <c r="I172" s="195"/>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ht="15.75" customHeight="1">
      <c r="A173" s="10"/>
      <c r="B173" s="10"/>
      <c r="C173" s="10"/>
      <c r="D173" s="10"/>
      <c r="E173" s="10"/>
      <c r="F173" s="10"/>
      <c r="G173" s="10"/>
      <c r="H173" s="10"/>
      <c r="I173" s="195"/>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ht="15.75" customHeight="1">
      <c r="A174" s="10"/>
      <c r="B174" s="10"/>
      <c r="C174" s="10"/>
      <c r="D174" s="10"/>
      <c r="E174" s="10"/>
      <c r="F174" s="10"/>
      <c r="G174" s="10"/>
      <c r="H174" s="10"/>
      <c r="I174" s="195"/>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ht="15.75" customHeight="1">
      <c r="A175" s="10"/>
      <c r="B175" s="10"/>
      <c r="C175" s="10"/>
      <c r="D175" s="10"/>
      <c r="E175" s="10"/>
      <c r="F175" s="10"/>
      <c r="G175" s="10"/>
      <c r="H175" s="10"/>
      <c r="I175" s="195"/>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ht="15.75" customHeight="1">
      <c r="A176" s="10"/>
      <c r="B176" s="10"/>
      <c r="C176" s="10"/>
      <c r="D176" s="10"/>
      <c r="E176" s="10"/>
      <c r="F176" s="10"/>
      <c r="G176" s="10"/>
      <c r="H176" s="10"/>
      <c r="I176" s="195"/>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ht="15.75" customHeight="1">
      <c r="A177" s="10"/>
      <c r="B177" s="10"/>
      <c r="C177" s="10"/>
      <c r="D177" s="10"/>
      <c r="E177" s="10"/>
      <c r="F177" s="10"/>
      <c r="G177" s="10"/>
      <c r="H177" s="10"/>
      <c r="I177" s="195"/>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ht="15.75" customHeight="1">
      <c r="A178" s="10"/>
      <c r="B178" s="10"/>
      <c r="C178" s="10"/>
      <c r="D178" s="10"/>
      <c r="E178" s="10"/>
      <c r="F178" s="10"/>
      <c r="G178" s="10"/>
      <c r="H178" s="10"/>
      <c r="I178" s="195"/>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ht="15.75" customHeight="1">
      <c r="A179" s="10"/>
      <c r="B179" s="10"/>
      <c r="C179" s="10"/>
      <c r="D179" s="10"/>
      <c r="E179" s="10"/>
      <c r="F179" s="10"/>
      <c r="G179" s="10"/>
      <c r="H179" s="10"/>
      <c r="I179" s="195"/>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ht="15.75" customHeight="1">
      <c r="A180" s="10"/>
      <c r="B180" s="10"/>
      <c r="C180" s="10"/>
      <c r="D180" s="10"/>
      <c r="E180" s="10"/>
      <c r="F180" s="10"/>
      <c r="G180" s="10"/>
      <c r="H180" s="10"/>
      <c r="I180" s="195"/>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ht="15.75" customHeight="1">
      <c r="A181" s="10"/>
      <c r="B181" s="10"/>
      <c r="C181" s="10"/>
      <c r="D181" s="10"/>
      <c r="E181" s="10"/>
      <c r="F181" s="10"/>
      <c r="G181" s="10"/>
      <c r="H181" s="10"/>
      <c r="I181" s="195"/>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ht="15.75" customHeight="1">
      <c r="A182" s="10"/>
      <c r="B182" s="10"/>
      <c r="C182" s="10"/>
      <c r="D182" s="10"/>
      <c r="E182" s="10"/>
      <c r="F182" s="10"/>
      <c r="G182" s="10"/>
      <c r="H182" s="10"/>
      <c r="I182" s="195"/>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ht="15.75" customHeight="1">
      <c r="A183" s="10"/>
      <c r="B183" s="10"/>
      <c r="C183" s="10"/>
      <c r="D183" s="10"/>
      <c r="E183" s="10"/>
      <c r="F183" s="10"/>
      <c r="G183" s="10"/>
      <c r="H183" s="10"/>
      <c r="I183" s="195"/>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ht="15.75" customHeight="1">
      <c r="A184" s="10"/>
      <c r="B184" s="10"/>
      <c r="C184" s="10"/>
      <c r="D184" s="10"/>
      <c r="E184" s="10"/>
      <c r="F184" s="10"/>
      <c r="G184" s="10"/>
      <c r="H184" s="10"/>
      <c r="I184" s="195"/>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ht="15.75" customHeight="1">
      <c r="A185" s="10"/>
      <c r="B185" s="10"/>
      <c r="C185" s="10"/>
      <c r="D185" s="10"/>
      <c r="E185" s="10"/>
      <c r="F185" s="10"/>
      <c r="G185" s="10"/>
      <c r="H185" s="10"/>
      <c r="I185" s="195"/>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ht="15.75" customHeight="1">
      <c r="A186" s="10"/>
      <c r="B186" s="10"/>
      <c r="C186" s="10"/>
      <c r="D186" s="10"/>
      <c r="E186" s="10"/>
      <c r="F186" s="10"/>
      <c r="G186" s="10"/>
      <c r="H186" s="10"/>
      <c r="I186" s="195"/>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ht="15.75" customHeight="1">
      <c r="A187" s="10"/>
      <c r="B187" s="10"/>
      <c r="C187" s="10"/>
      <c r="D187" s="10"/>
      <c r="E187" s="10"/>
      <c r="F187" s="10"/>
      <c r="G187" s="10"/>
      <c r="H187" s="10"/>
      <c r="I187" s="195"/>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ht="15.75" customHeight="1">
      <c r="A188" s="10"/>
      <c r="B188" s="10"/>
      <c r="C188" s="10"/>
      <c r="D188" s="10"/>
      <c r="E188" s="10"/>
      <c r="F188" s="10"/>
      <c r="G188" s="10"/>
      <c r="H188" s="10"/>
      <c r="I188" s="195"/>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ht="15.75" customHeight="1">
      <c r="A189" s="10"/>
      <c r="B189" s="10"/>
      <c r="C189" s="10"/>
      <c r="D189" s="10"/>
      <c r="E189" s="10"/>
      <c r="F189" s="10"/>
      <c r="G189" s="10"/>
      <c r="H189" s="10"/>
      <c r="I189" s="195"/>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ht="15.75" customHeight="1">
      <c r="A190" s="10"/>
      <c r="B190" s="10"/>
      <c r="C190" s="10"/>
      <c r="D190" s="10"/>
      <c r="E190" s="10"/>
      <c r="F190" s="10"/>
      <c r="G190" s="10"/>
      <c r="H190" s="10"/>
      <c r="I190" s="195"/>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ht="15.75" customHeight="1">
      <c r="A191" s="10"/>
      <c r="B191" s="10"/>
      <c r="C191" s="10"/>
      <c r="D191" s="10"/>
      <c r="E191" s="10"/>
      <c r="F191" s="10"/>
      <c r="G191" s="10"/>
      <c r="H191" s="10"/>
      <c r="I191" s="195"/>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ht="15.75" customHeight="1">
      <c r="A192" s="10"/>
      <c r="B192" s="10"/>
      <c r="C192" s="10"/>
      <c r="D192" s="10"/>
      <c r="E192" s="10"/>
      <c r="F192" s="10"/>
      <c r="G192" s="10"/>
      <c r="H192" s="10"/>
      <c r="I192" s="195"/>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ht="15.75" customHeight="1">
      <c r="A193" s="10"/>
      <c r="B193" s="10"/>
      <c r="C193" s="10"/>
      <c r="D193" s="10"/>
      <c r="E193" s="10"/>
      <c r="F193" s="10"/>
      <c r="G193" s="10"/>
      <c r="H193" s="10"/>
      <c r="I193" s="195"/>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ht="15.75" customHeight="1">
      <c r="A194" s="10"/>
      <c r="B194" s="10"/>
      <c r="C194" s="10"/>
      <c r="D194" s="10"/>
      <c r="E194" s="10"/>
      <c r="F194" s="10"/>
      <c r="G194" s="10"/>
      <c r="H194" s="10"/>
      <c r="I194" s="195"/>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ht="15.75" customHeight="1">
      <c r="A195" s="10"/>
      <c r="B195" s="10"/>
      <c r="C195" s="10"/>
      <c r="D195" s="10"/>
      <c r="E195" s="10"/>
      <c r="F195" s="10"/>
      <c r="G195" s="10"/>
      <c r="H195" s="10"/>
      <c r="I195" s="195"/>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ht="15.75" customHeight="1">
      <c r="A196" s="10"/>
      <c r="B196" s="10"/>
      <c r="C196" s="10"/>
      <c r="D196" s="10"/>
      <c r="E196" s="10"/>
      <c r="F196" s="10"/>
      <c r="G196" s="10"/>
      <c r="H196" s="10"/>
      <c r="I196" s="195"/>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ht="15.75" customHeight="1">
      <c r="A197" s="10"/>
      <c r="B197" s="10"/>
      <c r="C197" s="10"/>
      <c r="D197" s="10"/>
      <c r="E197" s="10"/>
      <c r="F197" s="10"/>
      <c r="G197" s="10"/>
      <c r="H197" s="10"/>
      <c r="I197" s="195"/>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ht="15.75" customHeight="1">
      <c r="A198" s="10"/>
      <c r="B198" s="10"/>
      <c r="C198" s="10"/>
      <c r="D198" s="10"/>
      <c r="E198" s="10"/>
      <c r="F198" s="10"/>
      <c r="G198" s="10"/>
      <c r="H198" s="10"/>
      <c r="I198" s="195"/>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ht="15.75" customHeight="1">
      <c r="A199" s="10"/>
      <c r="B199" s="10"/>
      <c r="C199" s="10"/>
      <c r="D199" s="10"/>
      <c r="E199" s="10"/>
      <c r="F199" s="10"/>
      <c r="G199" s="10"/>
      <c r="H199" s="10"/>
      <c r="I199" s="195"/>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ht="15.75" customHeight="1">
      <c r="A200" s="10"/>
      <c r="B200" s="10"/>
      <c r="C200" s="10"/>
      <c r="D200" s="10"/>
      <c r="E200" s="10"/>
      <c r="F200" s="10"/>
      <c r="G200" s="10"/>
      <c r="H200" s="10"/>
      <c r="I200" s="195"/>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ht="15.75" customHeight="1">
      <c r="A201" s="10"/>
      <c r="B201" s="10"/>
      <c r="C201" s="10"/>
      <c r="D201" s="10"/>
      <c r="E201" s="10"/>
      <c r="F201" s="10"/>
      <c r="G201" s="10"/>
      <c r="H201" s="10"/>
      <c r="I201" s="195"/>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ht="15.75" customHeight="1">
      <c r="A202" s="10"/>
      <c r="B202" s="10"/>
      <c r="C202" s="10"/>
      <c r="D202" s="10"/>
      <c r="E202" s="10"/>
      <c r="F202" s="10"/>
      <c r="G202" s="10"/>
      <c r="H202" s="10"/>
      <c r="I202" s="195"/>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ht="15.75" customHeight="1">
      <c r="A203" s="10"/>
      <c r="B203" s="10"/>
      <c r="C203" s="10"/>
      <c r="D203" s="10"/>
      <c r="E203" s="10"/>
      <c r="F203" s="10"/>
      <c r="G203" s="10"/>
      <c r="H203" s="10"/>
      <c r="I203" s="195"/>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ht="15.75" customHeight="1">
      <c r="A204" s="10"/>
      <c r="B204" s="10"/>
      <c r="C204" s="10"/>
      <c r="D204" s="10"/>
      <c r="E204" s="10"/>
      <c r="F204" s="10"/>
      <c r="G204" s="10"/>
      <c r="H204" s="10"/>
      <c r="I204" s="195"/>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ht="15.75" customHeight="1">
      <c r="A205" s="10"/>
      <c r="B205" s="10"/>
      <c r="C205" s="10"/>
      <c r="D205" s="10"/>
      <c r="E205" s="10"/>
      <c r="F205" s="10"/>
      <c r="G205" s="10"/>
      <c r="H205" s="10"/>
      <c r="I205" s="195"/>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ht="15.75" customHeight="1">
      <c r="A206" s="10"/>
      <c r="B206" s="10"/>
      <c r="C206" s="10"/>
      <c r="D206" s="10"/>
      <c r="E206" s="10"/>
      <c r="F206" s="10"/>
      <c r="G206" s="10"/>
      <c r="H206" s="10"/>
      <c r="I206" s="195"/>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ht="15.75" customHeight="1">
      <c r="A207" s="10"/>
      <c r="B207" s="10"/>
      <c r="C207" s="10"/>
      <c r="D207" s="10"/>
      <c r="E207" s="10"/>
      <c r="F207" s="10"/>
      <c r="G207" s="10"/>
      <c r="H207" s="10"/>
      <c r="I207" s="195"/>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ht="15.75" customHeight="1">
      <c r="A208" s="10"/>
      <c r="B208" s="10"/>
      <c r="C208" s="10"/>
      <c r="D208" s="10"/>
      <c r="E208" s="10"/>
      <c r="F208" s="10"/>
      <c r="G208" s="10"/>
      <c r="H208" s="10"/>
      <c r="I208" s="195"/>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ht="15.75" customHeight="1">
      <c r="A209" s="10"/>
      <c r="B209" s="10"/>
      <c r="C209" s="10"/>
      <c r="D209" s="10"/>
      <c r="E209" s="10"/>
      <c r="F209" s="10"/>
      <c r="G209" s="10"/>
      <c r="H209" s="10"/>
      <c r="I209" s="195"/>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ht="15.75" customHeight="1">
      <c r="A210" s="10"/>
      <c r="B210" s="10"/>
      <c r="C210" s="10"/>
      <c r="D210" s="10"/>
      <c r="E210" s="10"/>
      <c r="F210" s="10"/>
      <c r="G210" s="10"/>
      <c r="H210" s="10"/>
      <c r="I210" s="195"/>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ht="15.75" customHeight="1">
      <c r="A211" s="10"/>
      <c r="B211" s="10"/>
      <c r="C211" s="10"/>
      <c r="D211" s="10"/>
      <c r="E211" s="10"/>
      <c r="F211" s="10"/>
      <c r="G211" s="10"/>
      <c r="H211" s="10"/>
      <c r="I211" s="195"/>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ht="15.75" customHeight="1">
      <c r="A212" s="10"/>
      <c r="B212" s="10"/>
      <c r="C212" s="10"/>
      <c r="D212" s="10"/>
      <c r="E212" s="10"/>
      <c r="F212" s="10"/>
      <c r="G212" s="10"/>
      <c r="H212" s="10"/>
      <c r="I212" s="195"/>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ht="15.75" customHeight="1">
      <c r="A213" s="10"/>
      <c r="B213" s="10"/>
      <c r="C213" s="10"/>
      <c r="D213" s="10"/>
      <c r="E213" s="10"/>
      <c r="F213" s="10"/>
      <c r="G213" s="10"/>
      <c r="H213" s="10"/>
      <c r="I213" s="195"/>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ht="15.75" customHeight="1">
      <c r="A214" s="10"/>
      <c r="B214" s="10"/>
      <c r="C214" s="10"/>
      <c r="D214" s="10"/>
      <c r="E214" s="10"/>
      <c r="F214" s="10"/>
      <c r="G214" s="10"/>
      <c r="H214" s="10"/>
      <c r="I214" s="195"/>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ht="15.75" customHeight="1">
      <c r="A215" s="10"/>
      <c r="B215" s="10"/>
      <c r="C215" s="10"/>
      <c r="D215" s="10"/>
      <c r="E215" s="10"/>
      <c r="F215" s="10"/>
      <c r="G215" s="10"/>
      <c r="H215" s="10"/>
      <c r="I215" s="195"/>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ht="15.75" customHeight="1">
      <c r="A216" s="10"/>
      <c r="B216" s="10"/>
      <c r="C216" s="10"/>
      <c r="D216" s="10"/>
      <c r="E216" s="10"/>
      <c r="F216" s="10"/>
      <c r="G216" s="10"/>
      <c r="H216" s="10"/>
      <c r="I216" s="195"/>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ht="15.75" customHeight="1">
      <c r="A217" s="10"/>
      <c r="B217" s="10"/>
      <c r="C217" s="10"/>
      <c r="D217" s="10"/>
      <c r="E217" s="10"/>
      <c r="F217" s="10"/>
      <c r="G217" s="10"/>
      <c r="H217" s="10"/>
      <c r="I217" s="195"/>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ht="15.75" customHeight="1">
      <c r="A218" s="10"/>
      <c r="B218" s="10"/>
      <c r="C218" s="10"/>
      <c r="D218" s="10"/>
      <c r="E218" s="10"/>
      <c r="F218" s="10"/>
      <c r="G218" s="10"/>
      <c r="H218" s="10"/>
      <c r="I218" s="195"/>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ht="15.75" customHeight="1">
      <c r="A219" s="10"/>
      <c r="B219" s="10"/>
      <c r="C219" s="10"/>
      <c r="D219" s="10"/>
      <c r="E219" s="10"/>
      <c r="F219" s="10"/>
      <c r="G219" s="10"/>
      <c r="H219" s="10"/>
      <c r="I219" s="195"/>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ht="15.75" customHeight="1">
      <c r="A220" s="10"/>
      <c r="B220" s="10"/>
      <c r="C220" s="10"/>
      <c r="D220" s="10"/>
      <c r="E220" s="10"/>
      <c r="F220" s="10"/>
      <c r="G220" s="10"/>
      <c r="H220" s="10"/>
      <c r="I220" s="195"/>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ht="15.75" customHeight="1">
      <c r="A221" s="10"/>
      <c r="B221" s="10"/>
      <c r="C221" s="10"/>
      <c r="D221" s="10"/>
      <c r="E221" s="10"/>
      <c r="F221" s="10"/>
      <c r="G221" s="10"/>
      <c r="H221" s="10"/>
      <c r="I221" s="195"/>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ht="15.75" customHeight="1">
      <c r="A222" s="10"/>
      <c r="B222" s="10"/>
      <c r="C222" s="10"/>
      <c r="D222" s="10"/>
      <c r="E222" s="10"/>
      <c r="F222" s="10"/>
      <c r="G222" s="10"/>
      <c r="H222" s="10"/>
      <c r="I222" s="195"/>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ht="15.75" customHeight="1">
      <c r="A223" s="10"/>
      <c r="B223" s="10"/>
      <c r="C223" s="10"/>
      <c r="D223" s="10"/>
      <c r="E223" s="10"/>
      <c r="F223" s="10"/>
      <c r="G223" s="10"/>
      <c r="H223" s="10"/>
      <c r="I223" s="195"/>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ht="15.75" customHeight="1">
      <c r="A224" s="10"/>
      <c r="B224" s="10"/>
      <c r="C224" s="10"/>
      <c r="D224" s="10"/>
      <c r="E224" s="10"/>
      <c r="F224" s="10"/>
      <c r="G224" s="10"/>
      <c r="H224" s="10"/>
      <c r="I224" s="195"/>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ht="15.75" customHeight="1">
      <c r="A225" s="10"/>
      <c r="B225" s="10"/>
      <c r="C225" s="10"/>
      <c r="D225" s="10"/>
      <c r="E225" s="10"/>
      <c r="F225" s="10"/>
      <c r="G225" s="10"/>
      <c r="H225" s="10"/>
      <c r="I225" s="195"/>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ht="15.75" customHeight="1">
      <c r="A226" s="10"/>
      <c r="B226" s="10"/>
      <c r="C226" s="10"/>
      <c r="D226" s="10"/>
      <c r="E226" s="10"/>
      <c r="F226" s="10"/>
      <c r="G226" s="10"/>
      <c r="H226" s="10"/>
      <c r="I226" s="195"/>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ht="15.75" customHeight="1">
      <c r="A227" s="10"/>
      <c r="B227" s="10"/>
      <c r="C227" s="10"/>
      <c r="D227" s="10"/>
      <c r="E227" s="10"/>
      <c r="F227" s="10"/>
      <c r="G227" s="10"/>
      <c r="H227" s="10"/>
      <c r="I227" s="195"/>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ht="15.75" customHeight="1">
      <c r="A228" s="10"/>
      <c r="B228" s="10"/>
      <c r="C228" s="10"/>
      <c r="D228" s="10"/>
      <c r="E228" s="10"/>
      <c r="F228" s="10"/>
      <c r="G228" s="10"/>
      <c r="H228" s="10"/>
      <c r="I228" s="195"/>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ht="15.75" customHeight="1">
      <c r="A229" s="10"/>
      <c r="B229" s="10"/>
      <c r="C229" s="10"/>
      <c r="D229" s="10"/>
      <c r="E229" s="10"/>
      <c r="F229" s="10"/>
      <c r="G229" s="10"/>
      <c r="H229" s="10"/>
      <c r="I229" s="195"/>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ht="15.75" customHeight="1">
      <c r="A230" s="10"/>
      <c r="B230" s="10"/>
      <c r="C230" s="10"/>
      <c r="D230" s="10"/>
      <c r="E230" s="10"/>
      <c r="F230" s="10"/>
      <c r="G230" s="10"/>
      <c r="H230" s="10"/>
      <c r="I230" s="195"/>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ht="15.75" customHeight="1">
      <c r="A231" s="10"/>
      <c r="B231" s="10"/>
      <c r="C231" s="10"/>
      <c r="D231" s="10"/>
      <c r="E231" s="10"/>
      <c r="F231" s="10"/>
      <c r="G231" s="10"/>
      <c r="H231" s="10"/>
      <c r="I231" s="195"/>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ht="15.75" customHeight="1">
      <c r="A232" s="10"/>
      <c r="B232" s="10"/>
      <c r="C232" s="10"/>
      <c r="D232" s="10"/>
      <c r="E232" s="10"/>
      <c r="F232" s="10"/>
      <c r="G232" s="10"/>
      <c r="H232" s="10"/>
      <c r="I232" s="195"/>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ht="15.75" customHeight="1">
      <c r="A233" s="10"/>
      <c r="B233" s="10"/>
      <c r="C233" s="10"/>
      <c r="D233" s="10"/>
      <c r="E233" s="10"/>
      <c r="F233" s="10"/>
      <c r="G233" s="10"/>
      <c r="H233" s="10"/>
      <c r="I233" s="195"/>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ht="15.75" customHeight="1">
      <c r="A234" s="10"/>
      <c r="B234" s="10"/>
      <c r="C234" s="10"/>
      <c r="D234" s="10"/>
      <c r="E234" s="10"/>
      <c r="F234" s="10"/>
      <c r="G234" s="10"/>
      <c r="H234" s="10"/>
      <c r="I234" s="195"/>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ht="15.75" customHeight="1">
      <c r="A235" s="10"/>
      <c r="B235" s="10"/>
      <c r="C235" s="10"/>
      <c r="D235" s="10"/>
      <c r="E235" s="10"/>
      <c r="F235" s="10"/>
      <c r="G235" s="10"/>
      <c r="H235" s="10"/>
      <c r="I235" s="195"/>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ht="15.75" customHeight="1">
      <c r="A236" s="10"/>
      <c r="B236" s="10"/>
      <c r="C236" s="10"/>
      <c r="D236" s="10"/>
      <c r="E236" s="10"/>
      <c r="F236" s="10"/>
      <c r="G236" s="10"/>
      <c r="H236" s="10"/>
      <c r="I236" s="195"/>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ht="15.75" customHeight="1">
      <c r="A237" s="10"/>
      <c r="B237" s="10"/>
      <c r="C237" s="10"/>
      <c r="D237" s="10"/>
      <c r="E237" s="10"/>
      <c r="F237" s="10"/>
      <c r="G237" s="10"/>
      <c r="H237" s="10"/>
      <c r="I237" s="195"/>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ht="15.75" customHeight="1">
      <c r="A238" s="10"/>
      <c r="B238" s="10"/>
      <c r="C238" s="10"/>
      <c r="D238" s="10"/>
      <c r="E238" s="10"/>
      <c r="F238" s="10"/>
      <c r="G238" s="10"/>
      <c r="H238" s="10"/>
      <c r="I238" s="195"/>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ht="15.75" customHeight="1">
      <c r="A239" s="10"/>
      <c r="B239" s="10"/>
      <c r="C239" s="10"/>
      <c r="D239" s="10"/>
      <c r="E239" s="10"/>
      <c r="F239" s="10"/>
      <c r="G239" s="10"/>
      <c r="H239" s="10"/>
      <c r="I239" s="195"/>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ht="15.75" customHeight="1">
      <c r="A240" s="10"/>
      <c r="B240" s="10"/>
      <c r="C240" s="10"/>
      <c r="D240" s="10"/>
      <c r="E240" s="10"/>
      <c r="F240" s="10"/>
      <c r="G240" s="10"/>
      <c r="H240" s="10"/>
      <c r="I240" s="195"/>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ht="15.75" customHeight="1">
      <c r="A241" s="10"/>
      <c r="B241" s="10"/>
      <c r="C241" s="10"/>
      <c r="D241" s="10"/>
      <c r="E241" s="10"/>
      <c r="F241" s="10"/>
      <c r="G241" s="10"/>
      <c r="H241" s="10"/>
      <c r="I241" s="195"/>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Y3"/>
    <mergeCell ref="A4:Y4"/>
  </mergeCells>
  <printOptions/>
  <pageMargins bottom="0.75" footer="0.0" header="0.0" left="0.2496199868886472" right="0.2193630187809324" top="0.37064785931950645"/>
  <pageSetup paperSize="9" scale="4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22.25"/>
    <col customWidth="1" min="3" max="3" width="28.75"/>
    <col customWidth="1" min="4" max="4" width="16.13"/>
    <col customWidth="1" min="5" max="5" width="14.25"/>
    <col customWidth="1" min="6" max="7" width="10.5"/>
    <col customWidth="1" min="8" max="8" width="17.75"/>
    <col customWidth="1" min="9" max="9" width="74.5"/>
    <col customWidth="1" min="10" max="10" width="18.25"/>
    <col customWidth="1" min="11" max="11" width="19.13"/>
    <col customWidth="1" min="12" max="12" width="15.0"/>
    <col customWidth="1" min="13" max="13" width="30.0"/>
    <col customWidth="1" min="14" max="14" width="10.5"/>
    <col customWidth="1" min="15" max="15" width="22.88"/>
    <col customWidth="1" min="16" max="16" width="40.25"/>
    <col customWidth="1" min="17" max="17" width="42.38"/>
    <col customWidth="1" min="18" max="18" width="26.5"/>
    <col customWidth="1" min="19" max="19" width="127.0"/>
    <col customWidth="1" min="20" max="20" width="6.75"/>
    <col customWidth="1" min="21" max="21" width="6.38"/>
    <col customWidth="1" min="22" max="22" width="4.38"/>
    <col customWidth="1" min="23" max="23" width="4.75"/>
    <col customWidth="1" min="24" max="24" width="51.13"/>
    <col customWidth="1" min="25" max="25" width="46.25"/>
    <col customWidth="1" min="26" max="26" width="56.38"/>
    <col customWidth="1" min="27" max="30" width="10.5"/>
  </cols>
  <sheetData>
    <row r="1" ht="15.0" customHeight="1">
      <c r="A1" s="9" t="s">
        <v>2</v>
      </c>
      <c r="B1" s="11"/>
      <c r="C1" s="11"/>
      <c r="D1" s="11"/>
      <c r="E1" s="11"/>
      <c r="F1" s="11"/>
      <c r="G1" s="11"/>
      <c r="H1" s="11"/>
      <c r="I1" s="11"/>
      <c r="J1" s="11"/>
      <c r="K1" s="11"/>
      <c r="L1" s="11"/>
      <c r="M1" s="11"/>
      <c r="N1" s="11"/>
      <c r="O1" s="11"/>
      <c r="P1" s="11"/>
      <c r="Q1" s="11"/>
      <c r="R1" s="11"/>
      <c r="S1" s="11"/>
      <c r="T1" s="11"/>
      <c r="U1" s="11"/>
      <c r="V1" s="11"/>
      <c r="W1" s="11"/>
      <c r="X1" s="11"/>
      <c r="Y1" s="17"/>
      <c r="Z1" s="10"/>
      <c r="AA1" s="10"/>
      <c r="AB1" s="10"/>
      <c r="AC1" s="10"/>
      <c r="AD1" s="10"/>
    </row>
    <row r="2">
      <c r="A2" s="22"/>
      <c r="Y2" s="24"/>
      <c r="Z2" s="10"/>
      <c r="AA2" s="10"/>
      <c r="AB2" s="10"/>
      <c r="AC2" s="10"/>
      <c r="AD2" s="10"/>
    </row>
    <row r="3">
      <c r="A3" s="26"/>
      <c r="B3" s="20"/>
      <c r="C3" s="20"/>
      <c r="D3" s="20"/>
      <c r="E3" s="20"/>
      <c r="F3" s="20"/>
      <c r="G3" s="20"/>
      <c r="H3" s="20"/>
      <c r="I3" s="20"/>
      <c r="J3" s="20"/>
      <c r="K3" s="20"/>
      <c r="L3" s="20"/>
      <c r="M3" s="20"/>
      <c r="N3" s="20"/>
      <c r="O3" s="20"/>
      <c r="P3" s="20"/>
      <c r="Q3" s="20"/>
      <c r="R3" s="20"/>
      <c r="S3" s="20"/>
      <c r="T3" s="20"/>
      <c r="U3" s="20"/>
      <c r="V3" s="20"/>
      <c r="W3" s="20"/>
      <c r="X3" s="20"/>
      <c r="Y3" s="29"/>
      <c r="Z3" s="10"/>
      <c r="AA3" s="10"/>
      <c r="AB3" s="10"/>
      <c r="AC3" s="10"/>
      <c r="AD3" s="10"/>
    </row>
    <row r="4" ht="15.0" customHeight="1">
      <c r="A4" s="33" t="s">
        <v>4</v>
      </c>
      <c r="B4" s="34"/>
      <c r="C4" s="34"/>
      <c r="D4" s="34"/>
      <c r="E4" s="34"/>
      <c r="F4" s="34"/>
      <c r="G4" s="34"/>
      <c r="H4" s="34"/>
      <c r="I4" s="34"/>
      <c r="J4" s="34"/>
      <c r="K4" s="34"/>
      <c r="L4" s="34"/>
      <c r="M4" s="34"/>
      <c r="N4" s="34"/>
      <c r="O4" s="34"/>
      <c r="P4" s="34"/>
      <c r="Q4" s="34"/>
      <c r="R4" s="34"/>
      <c r="S4" s="34"/>
      <c r="T4" s="34"/>
      <c r="U4" s="34"/>
      <c r="V4" s="34"/>
      <c r="W4" s="34"/>
      <c r="X4" s="34"/>
      <c r="Y4" s="34"/>
      <c r="Z4" s="36"/>
      <c r="AA4" s="10"/>
      <c r="AB4" s="10"/>
      <c r="AC4" s="10"/>
      <c r="AD4" s="10"/>
    </row>
    <row r="5">
      <c r="A5" s="39" t="s">
        <v>5</v>
      </c>
      <c r="B5" s="39" t="s">
        <v>6</v>
      </c>
      <c r="C5" s="39" t="s">
        <v>7</v>
      </c>
      <c r="D5" s="39" t="s">
        <v>8</v>
      </c>
      <c r="E5" s="41" t="s">
        <v>9</v>
      </c>
      <c r="F5" s="39" t="s">
        <v>10</v>
      </c>
      <c r="G5" s="39" t="s">
        <v>12</v>
      </c>
      <c r="H5" s="39" t="s">
        <v>13</v>
      </c>
      <c r="I5" s="44" t="s">
        <v>14</v>
      </c>
      <c r="J5" s="39" t="s">
        <v>15</v>
      </c>
      <c r="K5" s="39" t="s">
        <v>16</v>
      </c>
      <c r="L5" s="39" t="s">
        <v>17</v>
      </c>
      <c r="M5" s="39" t="s">
        <v>23</v>
      </c>
      <c r="N5" s="39" t="s">
        <v>25</v>
      </c>
      <c r="O5" s="39" t="s">
        <v>19</v>
      </c>
      <c r="P5" s="39" t="s">
        <v>20</v>
      </c>
      <c r="Q5" s="39" t="s">
        <v>21</v>
      </c>
      <c r="R5" s="39" t="s">
        <v>20</v>
      </c>
      <c r="S5" s="39" t="s">
        <v>22</v>
      </c>
      <c r="T5" s="39" t="s">
        <v>24</v>
      </c>
      <c r="U5" s="39" t="s">
        <v>26</v>
      </c>
      <c r="V5" s="39" t="s">
        <v>27</v>
      </c>
      <c r="W5" s="39" t="s">
        <v>29</v>
      </c>
      <c r="X5" s="39" t="s">
        <v>30</v>
      </c>
      <c r="Y5" s="39" t="s">
        <v>31</v>
      </c>
      <c r="Z5" s="39" t="s">
        <v>33</v>
      </c>
      <c r="AA5" s="10"/>
      <c r="AB5" s="10"/>
      <c r="AC5" s="10"/>
      <c r="AD5" s="10"/>
    </row>
    <row r="6" ht="43.5" customHeight="1">
      <c r="A6" s="50">
        <v>1.0</v>
      </c>
      <c r="B6" s="51" t="s">
        <v>34</v>
      </c>
      <c r="C6" s="51" t="s">
        <v>35</v>
      </c>
      <c r="D6" s="54">
        <v>44853.0</v>
      </c>
      <c r="E6" s="55">
        <v>44874.0</v>
      </c>
      <c r="F6" s="56">
        <v>16918.0</v>
      </c>
      <c r="G6" s="56" t="s">
        <v>42</v>
      </c>
      <c r="H6" s="51" t="s">
        <v>43</v>
      </c>
      <c r="I6" s="60" t="s">
        <v>44</v>
      </c>
      <c r="J6" s="51" t="s">
        <v>46</v>
      </c>
      <c r="K6" s="51" t="s">
        <v>47</v>
      </c>
      <c r="L6" s="51" t="s">
        <v>47</v>
      </c>
      <c r="M6" s="51" t="s">
        <v>49</v>
      </c>
      <c r="N6" s="50" t="s">
        <v>50</v>
      </c>
      <c r="O6" s="51" t="s">
        <v>51</v>
      </c>
      <c r="P6" s="51">
        <v>2300600.0</v>
      </c>
      <c r="Q6" s="51" t="s">
        <v>53</v>
      </c>
      <c r="R6" s="51" t="s">
        <v>55</v>
      </c>
      <c r="S6" s="51" t="s">
        <v>57</v>
      </c>
      <c r="T6" s="51">
        <v>7.0</v>
      </c>
      <c r="U6" s="51">
        <v>0.0</v>
      </c>
      <c r="V6" s="51">
        <v>17.0</v>
      </c>
      <c r="W6" s="51">
        <v>0.0</v>
      </c>
      <c r="X6" s="51" t="s">
        <v>58</v>
      </c>
      <c r="Y6" s="51" t="s">
        <v>61</v>
      </c>
      <c r="Z6" s="64"/>
      <c r="AA6" s="69" t="s">
        <v>32</v>
      </c>
      <c r="AB6" s="53">
        <f>COUNTIF(N6:N597,"PRIVADO")</f>
        <v>7</v>
      </c>
      <c r="AC6" s="72"/>
      <c r="AD6" s="72"/>
    </row>
    <row r="7" ht="28.5" customHeight="1">
      <c r="A7" s="10">
        <v>2.0</v>
      </c>
      <c r="B7" s="50" t="s">
        <v>78</v>
      </c>
      <c r="C7" s="50" t="s">
        <v>80</v>
      </c>
      <c r="D7" s="76">
        <v>44895.0</v>
      </c>
      <c r="E7" s="77">
        <v>44909.0</v>
      </c>
      <c r="F7" s="78">
        <v>6208.0</v>
      </c>
      <c r="G7" s="78" t="s">
        <v>42</v>
      </c>
      <c r="H7" s="78" t="s">
        <v>43</v>
      </c>
      <c r="I7" s="80" t="s">
        <v>94</v>
      </c>
      <c r="J7" s="50" t="s">
        <v>47</v>
      </c>
      <c r="K7" s="50" t="s">
        <v>47</v>
      </c>
      <c r="L7" s="50" t="s">
        <v>47</v>
      </c>
      <c r="M7" s="10" t="s">
        <v>97</v>
      </c>
      <c r="N7" s="50" t="s">
        <v>50</v>
      </c>
      <c r="O7" s="10" t="s">
        <v>98</v>
      </c>
      <c r="P7" s="50" t="s">
        <v>100</v>
      </c>
      <c r="Q7" s="50" t="s">
        <v>101</v>
      </c>
      <c r="R7" s="50" t="s">
        <v>102</v>
      </c>
      <c r="S7" s="50" t="s">
        <v>103</v>
      </c>
      <c r="T7" s="50">
        <v>2.0</v>
      </c>
      <c r="U7" s="50">
        <v>0.0</v>
      </c>
      <c r="V7" s="50">
        <v>13.0</v>
      </c>
      <c r="W7" s="50">
        <v>0.0</v>
      </c>
      <c r="X7" s="10" t="s">
        <v>105</v>
      </c>
      <c r="Y7" s="50" t="s">
        <v>61</v>
      </c>
      <c r="Z7" s="50"/>
      <c r="AA7" s="87" t="s">
        <v>50</v>
      </c>
      <c r="AB7" s="53">
        <f>COUNTIF(N6:N99,"MINSA")</f>
        <v>51</v>
      </c>
      <c r="AC7" s="10"/>
      <c r="AD7" s="10"/>
    </row>
    <row r="8" ht="23.25" customHeight="1">
      <c r="A8" s="57">
        <v>3.0</v>
      </c>
      <c r="B8" s="57" t="s">
        <v>118</v>
      </c>
      <c r="C8" s="57" t="s">
        <v>119</v>
      </c>
      <c r="D8" s="91">
        <v>44897.0</v>
      </c>
      <c r="E8" s="94">
        <v>44999.0</v>
      </c>
      <c r="F8" s="95">
        <v>7397.0</v>
      </c>
      <c r="G8" s="95" t="s">
        <v>42</v>
      </c>
      <c r="H8" s="78" t="s">
        <v>140</v>
      </c>
      <c r="I8" s="80" t="s">
        <v>141</v>
      </c>
      <c r="J8" s="50" t="s">
        <v>142</v>
      </c>
      <c r="K8" s="50" t="s">
        <v>142</v>
      </c>
      <c r="L8" s="50" t="s">
        <v>142</v>
      </c>
      <c r="M8" s="50" t="s">
        <v>145</v>
      </c>
      <c r="N8" s="50" t="s">
        <v>50</v>
      </c>
      <c r="O8" s="50" t="s">
        <v>148</v>
      </c>
      <c r="P8" s="50" t="s">
        <v>149</v>
      </c>
      <c r="Q8" s="50" t="s">
        <v>150</v>
      </c>
      <c r="R8" s="50" t="s">
        <v>151</v>
      </c>
      <c r="S8" s="50" t="s">
        <v>152</v>
      </c>
      <c r="T8" s="50">
        <v>1.0</v>
      </c>
      <c r="U8" s="50">
        <v>0.0</v>
      </c>
      <c r="V8" s="50">
        <v>2.0</v>
      </c>
      <c r="W8" s="50">
        <v>5.0</v>
      </c>
      <c r="X8" s="57" t="s">
        <v>154</v>
      </c>
      <c r="Y8" s="50" t="s">
        <v>61</v>
      </c>
      <c r="Z8" s="50"/>
      <c r="AA8" s="101" t="s">
        <v>69</v>
      </c>
      <c r="AB8" s="53">
        <f>COUNTIF(N6:N599,"ESSALUD")</f>
        <v>18</v>
      </c>
      <c r="AC8" s="10"/>
      <c r="AD8" s="10"/>
    </row>
    <row r="9" ht="30.0" customHeight="1">
      <c r="A9" s="50">
        <v>4.0</v>
      </c>
      <c r="B9" s="50" t="s">
        <v>169</v>
      </c>
      <c r="C9" s="50" t="s">
        <v>171</v>
      </c>
      <c r="D9" s="76">
        <v>44909.0</v>
      </c>
      <c r="E9" s="77">
        <v>44926.0</v>
      </c>
      <c r="F9" s="78">
        <v>9989.0</v>
      </c>
      <c r="G9" s="78" t="s">
        <v>63</v>
      </c>
      <c r="H9" s="78" t="s">
        <v>172</v>
      </c>
      <c r="I9" s="80" t="s">
        <v>174</v>
      </c>
      <c r="J9" s="50" t="s">
        <v>176</v>
      </c>
      <c r="K9" s="50" t="s">
        <v>47</v>
      </c>
      <c r="L9" s="50" t="s">
        <v>47</v>
      </c>
      <c r="M9" s="50" t="s">
        <v>180</v>
      </c>
      <c r="N9" s="50" t="s">
        <v>32</v>
      </c>
      <c r="O9" s="50" t="s">
        <v>182</v>
      </c>
      <c r="P9" s="109" t="s">
        <v>185</v>
      </c>
      <c r="Q9" s="113" t="s">
        <v>196</v>
      </c>
      <c r="R9" s="50"/>
      <c r="S9" s="50" t="s">
        <v>204</v>
      </c>
      <c r="T9" s="50">
        <v>2.0</v>
      </c>
      <c r="U9" s="50">
        <v>2.0</v>
      </c>
      <c r="V9" s="50">
        <v>6.0</v>
      </c>
      <c r="W9" s="50">
        <v>0.0</v>
      </c>
      <c r="X9" s="50" t="s">
        <v>211</v>
      </c>
      <c r="Y9" s="67" t="s">
        <v>213</v>
      </c>
      <c r="Z9" s="50" t="s">
        <v>215</v>
      </c>
      <c r="AA9" s="117" t="s">
        <v>146</v>
      </c>
      <c r="AB9" s="53">
        <f>COUNTIF(N6:N600,"FFAA")</f>
        <v>3</v>
      </c>
      <c r="AC9" s="10"/>
      <c r="AD9" s="10"/>
    </row>
    <row r="10" ht="27.75" customHeight="1">
      <c r="A10" s="50"/>
      <c r="B10" s="103" t="s">
        <v>224</v>
      </c>
      <c r="C10" s="103" t="s">
        <v>226</v>
      </c>
      <c r="D10" s="121">
        <v>44938.0</v>
      </c>
      <c r="E10" s="122">
        <v>44953.0</v>
      </c>
      <c r="F10" s="124">
        <v>28025.0</v>
      </c>
      <c r="G10" s="124"/>
      <c r="H10" s="103" t="s">
        <v>76</v>
      </c>
      <c r="I10" s="118" t="s">
        <v>243</v>
      </c>
      <c r="J10" s="103" t="s">
        <v>245</v>
      </c>
      <c r="K10" s="103" t="s">
        <v>47</v>
      </c>
      <c r="L10" s="103"/>
      <c r="M10" s="103" t="s">
        <v>253</v>
      </c>
      <c r="N10" s="103"/>
      <c r="O10" s="103" t="s">
        <v>255</v>
      </c>
      <c r="P10" s="103"/>
      <c r="Q10" s="103" t="s">
        <v>257</v>
      </c>
      <c r="R10" s="103" t="s">
        <v>258</v>
      </c>
      <c r="S10" s="103" t="s">
        <v>260</v>
      </c>
      <c r="T10" s="103">
        <v>3.0</v>
      </c>
      <c r="U10" s="103">
        <v>0.0</v>
      </c>
      <c r="V10" s="103">
        <v>10.0</v>
      </c>
      <c r="W10" s="103">
        <v>0.0</v>
      </c>
      <c r="X10" s="103" t="s">
        <v>262</v>
      </c>
      <c r="Y10" s="103" t="s">
        <v>61</v>
      </c>
      <c r="Z10" s="103"/>
      <c r="AA10" s="129" t="s">
        <v>221</v>
      </c>
      <c r="AB10" s="53">
        <f>COUNTIF(N6:N601,"PNP")</f>
        <v>1</v>
      </c>
      <c r="AC10" s="10"/>
      <c r="AD10" s="10"/>
    </row>
    <row r="11" ht="28.5" customHeight="1">
      <c r="A11" s="50">
        <v>5.0</v>
      </c>
      <c r="B11" s="50" t="s">
        <v>269</v>
      </c>
      <c r="C11" s="50" t="s">
        <v>270</v>
      </c>
      <c r="D11" s="61">
        <v>44953.0</v>
      </c>
      <c r="E11" s="82">
        <v>44960.0</v>
      </c>
      <c r="F11" s="78">
        <v>8577.0</v>
      </c>
      <c r="G11" s="78" t="s">
        <v>123</v>
      </c>
      <c r="H11" s="78" t="s">
        <v>273</v>
      </c>
      <c r="I11" s="80" t="s">
        <v>275</v>
      </c>
      <c r="J11" s="50" t="s">
        <v>277</v>
      </c>
      <c r="K11" s="50" t="s">
        <v>277</v>
      </c>
      <c r="L11" s="50" t="s">
        <v>281</v>
      </c>
      <c r="M11" s="50" t="s">
        <v>282</v>
      </c>
      <c r="N11" s="50" t="s">
        <v>69</v>
      </c>
      <c r="O11" s="50" t="s">
        <v>287</v>
      </c>
      <c r="P11" s="50" t="s">
        <v>289</v>
      </c>
      <c r="Q11" s="50" t="s">
        <v>291</v>
      </c>
      <c r="R11" s="50" t="s">
        <v>293</v>
      </c>
      <c r="S11" s="50" t="s">
        <v>294</v>
      </c>
      <c r="T11" s="50">
        <v>2.0</v>
      </c>
      <c r="U11" s="50">
        <v>2.0</v>
      </c>
      <c r="V11" s="50">
        <v>14.0</v>
      </c>
      <c r="W11" s="50">
        <v>1.0</v>
      </c>
      <c r="X11" s="50" t="s">
        <v>300</v>
      </c>
      <c r="Y11" s="50" t="s">
        <v>61</v>
      </c>
      <c r="Z11" s="50"/>
      <c r="AA11" s="50" t="s">
        <v>195</v>
      </c>
      <c r="AB11" s="111">
        <f>COUNTIF(N6:N602,"APP")</f>
        <v>1</v>
      </c>
      <c r="AC11" s="10"/>
      <c r="AD11" s="10"/>
    </row>
    <row r="12" ht="27.0" customHeight="1">
      <c r="A12" s="50">
        <v>6.0</v>
      </c>
      <c r="B12" s="50" t="s">
        <v>309</v>
      </c>
      <c r="C12" s="50" t="s">
        <v>312</v>
      </c>
      <c r="D12" s="81">
        <v>44971.0</v>
      </c>
      <c r="E12" s="82">
        <v>44984.0</v>
      </c>
      <c r="F12" s="78">
        <v>23159.0</v>
      </c>
      <c r="G12" s="78" t="s">
        <v>123</v>
      </c>
      <c r="H12" s="78" t="s">
        <v>172</v>
      </c>
      <c r="I12" s="80" t="s">
        <v>314</v>
      </c>
      <c r="J12" s="50" t="s">
        <v>316</v>
      </c>
      <c r="K12" s="50" t="s">
        <v>47</v>
      </c>
      <c r="L12" s="50" t="s">
        <v>47</v>
      </c>
      <c r="M12" s="50" t="s">
        <v>321</v>
      </c>
      <c r="N12" s="50" t="s">
        <v>50</v>
      </c>
      <c r="O12" s="50" t="s">
        <v>325</v>
      </c>
      <c r="P12" s="50"/>
      <c r="Q12" s="50" t="s">
        <v>328</v>
      </c>
      <c r="R12" s="50"/>
      <c r="S12" s="50" t="s">
        <v>332</v>
      </c>
      <c r="T12" s="50">
        <v>3.0</v>
      </c>
      <c r="U12" s="50">
        <v>0.0</v>
      </c>
      <c r="V12" s="50">
        <v>13.0</v>
      </c>
      <c r="W12" s="50">
        <v>0.0</v>
      </c>
      <c r="X12" s="50" t="s">
        <v>337</v>
      </c>
      <c r="Y12" s="50" t="s">
        <v>340</v>
      </c>
      <c r="Z12" s="50" t="s">
        <v>341</v>
      </c>
      <c r="AC12" s="10"/>
      <c r="AD12" s="10"/>
    </row>
    <row r="13" ht="24.0" customHeight="1">
      <c r="A13" s="50">
        <v>7.0</v>
      </c>
      <c r="B13" s="50" t="s">
        <v>342</v>
      </c>
      <c r="C13" s="50" t="s">
        <v>345</v>
      </c>
      <c r="D13" s="81">
        <v>44972.0</v>
      </c>
      <c r="E13" s="82">
        <v>44984.0</v>
      </c>
      <c r="F13" s="78">
        <v>9251.0</v>
      </c>
      <c r="G13" s="78" t="s">
        <v>123</v>
      </c>
      <c r="H13" s="78" t="s">
        <v>43</v>
      </c>
      <c r="I13" s="80" t="s">
        <v>351</v>
      </c>
      <c r="J13" s="50" t="s">
        <v>353</v>
      </c>
      <c r="K13" s="50" t="s">
        <v>47</v>
      </c>
      <c r="L13" s="50" t="s">
        <v>47</v>
      </c>
      <c r="M13" s="50" t="s">
        <v>358</v>
      </c>
      <c r="N13" s="50" t="s">
        <v>69</v>
      </c>
      <c r="O13" s="50" t="s">
        <v>359</v>
      </c>
      <c r="P13" s="50" t="s">
        <v>360</v>
      </c>
      <c r="Q13" s="50" t="s">
        <v>363</v>
      </c>
      <c r="R13" s="50" t="s">
        <v>365</v>
      </c>
      <c r="S13" s="10" t="s">
        <v>367</v>
      </c>
      <c r="T13" s="50">
        <v>5.0</v>
      </c>
      <c r="U13" s="50">
        <v>0.0</v>
      </c>
      <c r="V13" s="50">
        <v>24.0</v>
      </c>
      <c r="W13" s="50">
        <v>0.0</v>
      </c>
      <c r="X13" s="50" t="s">
        <v>373</v>
      </c>
      <c r="Y13" s="50" t="s">
        <v>61</v>
      </c>
      <c r="Z13" s="50"/>
      <c r="AA13" s="10"/>
      <c r="AB13" s="10"/>
      <c r="AC13" s="10"/>
      <c r="AD13" s="10"/>
    </row>
    <row r="14" ht="30.75" customHeight="1">
      <c r="A14" s="50">
        <v>8.0</v>
      </c>
      <c r="B14" s="50" t="s">
        <v>381</v>
      </c>
      <c r="C14" s="50" t="s">
        <v>382</v>
      </c>
      <c r="D14" s="81">
        <v>44977.0</v>
      </c>
      <c r="E14" s="82">
        <v>45000.0</v>
      </c>
      <c r="F14" s="78">
        <v>5987.0</v>
      </c>
      <c r="G14" s="78" t="s">
        <v>123</v>
      </c>
      <c r="H14" s="78" t="s">
        <v>172</v>
      </c>
      <c r="I14" s="80" t="s">
        <v>387</v>
      </c>
      <c r="J14" s="50" t="s">
        <v>389</v>
      </c>
      <c r="K14" s="50" t="s">
        <v>47</v>
      </c>
      <c r="L14" s="50" t="s">
        <v>47</v>
      </c>
      <c r="M14" s="10" t="s">
        <v>392</v>
      </c>
      <c r="N14" s="50" t="s">
        <v>50</v>
      </c>
      <c r="O14" s="10" t="s">
        <v>394</v>
      </c>
      <c r="P14" s="50" t="s">
        <v>395</v>
      </c>
      <c r="Q14" s="50" t="s">
        <v>398</v>
      </c>
      <c r="R14" s="50" t="s">
        <v>400</v>
      </c>
      <c r="S14" s="50" t="s">
        <v>402</v>
      </c>
      <c r="T14" s="50">
        <v>2.0</v>
      </c>
      <c r="U14" s="50">
        <v>0.0</v>
      </c>
      <c r="V14" s="50">
        <v>11.0</v>
      </c>
      <c r="W14" s="50">
        <v>0.0</v>
      </c>
      <c r="X14" s="50" t="s">
        <v>406</v>
      </c>
      <c r="Y14" s="50" t="s">
        <v>408</v>
      </c>
      <c r="Z14" s="50"/>
      <c r="AA14" s="10"/>
      <c r="AB14" s="10"/>
      <c r="AC14" s="10"/>
      <c r="AD14" s="10"/>
    </row>
    <row r="15" ht="23.25" customHeight="1">
      <c r="A15" s="50">
        <v>9.0</v>
      </c>
      <c r="B15" s="50" t="s">
        <v>418</v>
      </c>
      <c r="C15" s="50" t="s">
        <v>420</v>
      </c>
      <c r="D15" s="81">
        <v>44978.0</v>
      </c>
      <c r="E15" s="82">
        <v>44988.0</v>
      </c>
      <c r="F15" s="78">
        <v>20925.0</v>
      </c>
      <c r="G15" s="78" t="s">
        <v>425</v>
      </c>
      <c r="H15" s="78" t="s">
        <v>85</v>
      </c>
      <c r="I15" s="80" t="s">
        <v>428</v>
      </c>
      <c r="J15" s="50" t="s">
        <v>430</v>
      </c>
      <c r="K15" s="50" t="s">
        <v>125</v>
      </c>
      <c r="L15" s="50" t="s">
        <v>88</v>
      </c>
      <c r="M15" s="50" t="s">
        <v>435</v>
      </c>
      <c r="N15" s="50" t="s">
        <v>69</v>
      </c>
      <c r="O15" s="50" t="s">
        <v>438</v>
      </c>
      <c r="P15" s="150" t="s">
        <v>439</v>
      </c>
      <c r="Q15" s="57" t="s">
        <v>445</v>
      </c>
      <c r="R15" s="50" t="s">
        <v>446</v>
      </c>
      <c r="S15" s="50" t="s">
        <v>457</v>
      </c>
      <c r="T15" s="50">
        <v>2.0</v>
      </c>
      <c r="U15" s="50">
        <v>0.0</v>
      </c>
      <c r="V15" s="50">
        <v>5.0</v>
      </c>
      <c r="W15" s="50">
        <v>0.0</v>
      </c>
      <c r="X15" s="57" t="s">
        <v>463</v>
      </c>
      <c r="Y15" s="50" t="s">
        <v>61</v>
      </c>
      <c r="Z15" s="50"/>
      <c r="AA15" s="10"/>
      <c r="AB15" s="10"/>
      <c r="AC15" s="10"/>
      <c r="AD15" s="10"/>
    </row>
    <row r="16" ht="20.25" customHeight="1">
      <c r="A16" s="50">
        <v>10.0</v>
      </c>
      <c r="B16" s="50" t="s">
        <v>473</v>
      </c>
      <c r="C16" s="50" t="s">
        <v>475</v>
      </c>
      <c r="D16" s="81">
        <v>44992.0</v>
      </c>
      <c r="E16" s="82">
        <v>45003.0</v>
      </c>
      <c r="F16" s="78">
        <v>6206.0</v>
      </c>
      <c r="G16" s="78" t="s">
        <v>123</v>
      </c>
      <c r="H16" s="78" t="s">
        <v>43</v>
      </c>
      <c r="I16" s="80" t="s">
        <v>486</v>
      </c>
      <c r="J16" s="50" t="s">
        <v>47</v>
      </c>
      <c r="K16" s="50" t="s">
        <v>47</v>
      </c>
      <c r="L16" s="50" t="s">
        <v>47</v>
      </c>
      <c r="M16" s="50" t="s">
        <v>490</v>
      </c>
      <c r="N16" s="50" t="s">
        <v>50</v>
      </c>
      <c r="O16" s="50" t="s">
        <v>494</v>
      </c>
      <c r="P16" s="50" t="s">
        <v>495</v>
      </c>
      <c r="Q16" s="50" t="s">
        <v>497</v>
      </c>
      <c r="R16" s="50">
        <v>9.9996616E7</v>
      </c>
      <c r="S16" s="50" t="s">
        <v>498</v>
      </c>
      <c r="T16" s="50">
        <v>0.0</v>
      </c>
      <c r="U16" s="50">
        <v>1.0</v>
      </c>
      <c r="V16" s="50">
        <v>16.0</v>
      </c>
      <c r="W16" s="50">
        <v>0.0</v>
      </c>
      <c r="X16" s="50" t="s">
        <v>501</v>
      </c>
      <c r="Y16" s="50" t="s">
        <v>61</v>
      </c>
      <c r="Z16" s="50"/>
      <c r="AA16" s="10"/>
      <c r="AB16" s="10"/>
      <c r="AC16" s="10"/>
      <c r="AD16" s="10"/>
    </row>
    <row r="17" ht="20.25" customHeight="1">
      <c r="A17" s="50">
        <v>11.0</v>
      </c>
      <c r="B17" s="50" t="s">
        <v>504</v>
      </c>
      <c r="C17" s="50" t="s">
        <v>505</v>
      </c>
      <c r="D17" s="81">
        <v>45015.0</v>
      </c>
      <c r="E17" s="63">
        <v>45028.0</v>
      </c>
      <c r="F17" s="50">
        <v>6207.0</v>
      </c>
      <c r="G17" s="78" t="s">
        <v>123</v>
      </c>
      <c r="H17" s="78" t="s">
        <v>43</v>
      </c>
      <c r="I17" s="80" t="s">
        <v>513</v>
      </c>
      <c r="J17" s="50" t="s">
        <v>47</v>
      </c>
      <c r="K17" s="50" t="s">
        <v>47</v>
      </c>
      <c r="L17" s="50" t="s">
        <v>47</v>
      </c>
      <c r="M17" s="50" t="s">
        <v>518</v>
      </c>
      <c r="N17" s="50" t="s">
        <v>50</v>
      </c>
      <c r="O17" s="50" t="s">
        <v>522</v>
      </c>
      <c r="P17" s="150" t="s">
        <v>524</v>
      </c>
      <c r="Q17" s="50" t="s">
        <v>527</v>
      </c>
      <c r="R17" s="50">
        <v>9.91411737E8</v>
      </c>
      <c r="S17" s="50" t="s">
        <v>531</v>
      </c>
      <c r="T17" s="50">
        <v>3.0</v>
      </c>
      <c r="U17" s="50">
        <v>0.0</v>
      </c>
      <c r="V17" s="50">
        <v>11.0</v>
      </c>
      <c r="W17" s="50">
        <v>0.0</v>
      </c>
      <c r="X17" s="50" t="s">
        <v>538</v>
      </c>
      <c r="Y17" s="50" t="s">
        <v>61</v>
      </c>
      <c r="Z17" s="50"/>
      <c r="AA17" s="148" t="s">
        <v>385</v>
      </c>
      <c r="AB17" s="148" t="s">
        <v>391</v>
      </c>
      <c r="AC17" s="10"/>
      <c r="AD17" s="10"/>
    </row>
    <row r="18" ht="19.5" customHeight="1">
      <c r="A18" s="50">
        <v>12.0</v>
      </c>
      <c r="B18" s="50" t="s">
        <v>542</v>
      </c>
      <c r="C18" s="75" t="s">
        <v>544</v>
      </c>
      <c r="D18" s="81">
        <v>45035.0</v>
      </c>
      <c r="E18" s="63">
        <v>45042.0</v>
      </c>
      <c r="F18" s="50">
        <v>7732.0</v>
      </c>
      <c r="G18" s="50" t="s">
        <v>63</v>
      </c>
      <c r="H18" s="50" t="s">
        <v>462</v>
      </c>
      <c r="I18" s="159" t="s">
        <v>552</v>
      </c>
      <c r="J18" s="50" t="s">
        <v>469</v>
      </c>
      <c r="K18" s="16" t="s">
        <v>470</v>
      </c>
      <c r="L18" s="50" t="s">
        <v>469</v>
      </c>
      <c r="M18" s="50" t="s">
        <v>560</v>
      </c>
      <c r="N18" s="50" t="s">
        <v>50</v>
      </c>
      <c r="O18" s="50" t="s">
        <v>563</v>
      </c>
      <c r="P18" s="57" t="s">
        <v>565</v>
      </c>
      <c r="Q18" s="57" t="s">
        <v>566</v>
      </c>
      <c r="R18" s="57">
        <v>9.8660027E8</v>
      </c>
      <c r="S18" s="57" t="s">
        <v>569</v>
      </c>
      <c r="T18" s="57">
        <v>1.0</v>
      </c>
      <c r="U18" s="57">
        <v>0.0</v>
      </c>
      <c r="V18" s="57">
        <v>1.0</v>
      </c>
      <c r="W18" s="57">
        <v>5.0</v>
      </c>
      <c r="X18" s="57" t="s">
        <v>573</v>
      </c>
      <c r="Y18" s="57" t="s">
        <v>61</v>
      </c>
      <c r="Z18" s="50"/>
      <c r="AA18" s="162" t="s">
        <v>142</v>
      </c>
      <c r="AB18" s="152">
        <f t="shared" ref="AB18:AB43" si="1">COUNTIF($L$6:$L$597,AA18)</f>
        <v>3</v>
      </c>
      <c r="AC18" s="10"/>
      <c r="AD18" s="10"/>
    </row>
    <row r="19" ht="19.5" customHeight="1">
      <c r="A19" s="50">
        <v>13.0</v>
      </c>
      <c r="B19" s="50" t="s">
        <v>591</v>
      </c>
      <c r="C19" s="75" t="s">
        <v>593</v>
      </c>
      <c r="D19" s="81">
        <v>45040.0</v>
      </c>
      <c r="E19" s="63">
        <v>45058.0</v>
      </c>
      <c r="F19" s="50">
        <v>19049.0</v>
      </c>
      <c r="G19" s="50" t="s">
        <v>123</v>
      </c>
      <c r="H19" s="50" t="s">
        <v>43</v>
      </c>
      <c r="I19" s="80" t="s">
        <v>602</v>
      </c>
      <c r="J19" s="50" t="s">
        <v>67</v>
      </c>
      <c r="K19" s="50" t="s">
        <v>47</v>
      </c>
      <c r="L19" s="50" t="s">
        <v>47</v>
      </c>
      <c r="M19" s="50" t="s">
        <v>609</v>
      </c>
      <c r="N19" s="50" t="s">
        <v>32</v>
      </c>
      <c r="O19" s="50" t="s">
        <v>614</v>
      </c>
      <c r="P19" s="50" t="s">
        <v>615</v>
      </c>
      <c r="Q19" s="50" t="s">
        <v>618</v>
      </c>
      <c r="R19" s="50">
        <v>9.75369497E8</v>
      </c>
      <c r="S19" s="50" t="s">
        <v>621</v>
      </c>
      <c r="T19" s="50">
        <v>6.0</v>
      </c>
      <c r="U19" s="50">
        <v>0.0</v>
      </c>
      <c r="V19" s="50">
        <v>16.0</v>
      </c>
      <c r="W19" s="50">
        <v>0.0</v>
      </c>
      <c r="X19" s="50" t="s">
        <v>632</v>
      </c>
      <c r="Y19" s="50" t="s">
        <v>635</v>
      </c>
      <c r="Z19" s="50"/>
      <c r="AA19" s="162" t="s">
        <v>496</v>
      </c>
      <c r="AB19" s="152">
        <f t="shared" si="1"/>
        <v>2</v>
      </c>
      <c r="AC19" s="10"/>
      <c r="AD19" s="10"/>
    </row>
    <row r="20" ht="23.25" customHeight="1">
      <c r="A20" s="50">
        <v>14.0</v>
      </c>
      <c r="B20" s="50" t="s">
        <v>643</v>
      </c>
      <c r="C20" s="163" t="s">
        <v>646</v>
      </c>
      <c r="D20" s="164">
        <v>45071.0</v>
      </c>
      <c r="E20" s="63">
        <v>45076.0</v>
      </c>
      <c r="F20" s="113">
        <v>5044.0</v>
      </c>
      <c r="G20" s="50" t="s">
        <v>84</v>
      </c>
      <c r="H20" s="50" t="s">
        <v>656</v>
      </c>
      <c r="I20" s="80" t="s">
        <v>658</v>
      </c>
      <c r="J20" s="50" t="s">
        <v>659</v>
      </c>
      <c r="K20" s="50" t="s">
        <v>659</v>
      </c>
      <c r="L20" s="50" t="s">
        <v>663</v>
      </c>
      <c r="M20" s="50" t="s">
        <v>667</v>
      </c>
      <c r="N20" s="50" t="s">
        <v>50</v>
      </c>
      <c r="O20" s="50" t="s">
        <v>669</v>
      </c>
      <c r="P20" s="50" t="s">
        <v>672</v>
      </c>
      <c r="Q20" s="50" t="s">
        <v>674</v>
      </c>
      <c r="R20" s="50">
        <v>9.7663836E8</v>
      </c>
      <c r="S20" s="138" t="s">
        <v>679</v>
      </c>
      <c r="T20" s="50">
        <v>1.0</v>
      </c>
      <c r="U20" s="50">
        <v>0.0</v>
      </c>
      <c r="V20" s="50">
        <v>6.0</v>
      </c>
      <c r="W20" s="50">
        <v>0.0</v>
      </c>
      <c r="X20" s="165" t="s">
        <v>686</v>
      </c>
      <c r="Y20" s="50" t="s">
        <v>61</v>
      </c>
      <c r="Z20" s="50"/>
      <c r="AA20" s="162" t="s">
        <v>240</v>
      </c>
      <c r="AB20" s="152">
        <f t="shared" si="1"/>
        <v>3</v>
      </c>
      <c r="AC20" s="10"/>
      <c r="AD20" s="10"/>
    </row>
    <row r="21" ht="17.25" customHeight="1">
      <c r="A21" s="50">
        <v>15.0</v>
      </c>
      <c r="B21" s="50" t="s">
        <v>691</v>
      </c>
      <c r="C21" s="75" t="s">
        <v>693</v>
      </c>
      <c r="D21" s="164">
        <v>45076.0</v>
      </c>
      <c r="E21" s="63">
        <v>45084.0</v>
      </c>
      <c r="F21" s="50">
        <v>10185.0</v>
      </c>
      <c r="G21" s="50" t="s">
        <v>63</v>
      </c>
      <c r="H21" s="50" t="s">
        <v>697</v>
      </c>
      <c r="I21" s="168" t="s">
        <v>699</v>
      </c>
      <c r="J21" s="50" t="s">
        <v>712</v>
      </c>
      <c r="K21" s="50" t="s">
        <v>715</v>
      </c>
      <c r="L21" s="50" t="s">
        <v>718</v>
      </c>
      <c r="M21" s="50" t="s">
        <v>720</v>
      </c>
      <c r="N21" s="50" t="s">
        <v>69</v>
      </c>
      <c r="O21" s="50" t="s">
        <v>722</v>
      </c>
      <c r="P21" s="50" t="s">
        <v>725</v>
      </c>
      <c r="Q21" s="50" t="s">
        <v>727</v>
      </c>
      <c r="R21" s="50">
        <v>9.52009045E8</v>
      </c>
      <c r="S21" s="50" t="s">
        <v>730</v>
      </c>
      <c r="T21" s="50">
        <v>1.0</v>
      </c>
      <c r="U21" s="50">
        <v>0.0</v>
      </c>
      <c r="V21" s="50">
        <v>7.0</v>
      </c>
      <c r="W21" s="50">
        <v>0.0</v>
      </c>
      <c r="X21" s="50" t="s">
        <v>734</v>
      </c>
      <c r="Y21" s="50" t="s">
        <v>736</v>
      </c>
      <c r="Z21" s="50"/>
      <c r="AA21" s="162" t="s">
        <v>586</v>
      </c>
      <c r="AB21" s="152">
        <f t="shared" si="1"/>
        <v>3</v>
      </c>
      <c r="AC21" s="10"/>
      <c r="AD21" s="10"/>
    </row>
    <row r="22" ht="18.75" customHeight="1">
      <c r="A22" s="50">
        <v>16.0</v>
      </c>
      <c r="B22" s="50" t="s">
        <v>743</v>
      </c>
      <c r="C22" s="75" t="s">
        <v>744</v>
      </c>
      <c r="D22" s="164">
        <v>45110.0</v>
      </c>
      <c r="E22" s="63">
        <v>45114.0</v>
      </c>
      <c r="F22" s="50">
        <v>13290.0</v>
      </c>
      <c r="G22" s="50" t="s">
        <v>123</v>
      </c>
      <c r="H22" s="50" t="s">
        <v>140</v>
      </c>
      <c r="I22" s="73" t="s">
        <v>751</v>
      </c>
      <c r="J22" s="50" t="s">
        <v>142</v>
      </c>
      <c r="K22" s="50" t="s">
        <v>142</v>
      </c>
      <c r="L22" s="50" t="s">
        <v>142</v>
      </c>
      <c r="M22" s="14" t="s">
        <v>755</v>
      </c>
      <c r="N22" s="50" t="s">
        <v>69</v>
      </c>
      <c r="O22" s="169" t="s">
        <v>760</v>
      </c>
      <c r="P22" s="50" t="s">
        <v>764</v>
      </c>
      <c r="Q22" s="50" t="s">
        <v>765</v>
      </c>
      <c r="R22" s="50" t="s">
        <v>766</v>
      </c>
      <c r="S22" s="50" t="s">
        <v>769</v>
      </c>
      <c r="T22" s="50">
        <v>2.0</v>
      </c>
      <c r="U22" s="50">
        <v>0.0</v>
      </c>
      <c r="V22" s="50">
        <v>4.0</v>
      </c>
      <c r="W22" s="50">
        <v>5.0</v>
      </c>
      <c r="X22" s="170" t="s">
        <v>771</v>
      </c>
      <c r="Y22" s="50" t="s">
        <v>777</v>
      </c>
      <c r="Z22" s="50"/>
      <c r="AA22" s="162" t="s">
        <v>634</v>
      </c>
      <c r="AB22" s="152">
        <f t="shared" si="1"/>
        <v>1</v>
      </c>
      <c r="AC22" s="10"/>
      <c r="AD22" s="10"/>
    </row>
    <row r="23" ht="18.0" customHeight="1">
      <c r="A23" s="50">
        <v>17.0</v>
      </c>
      <c r="B23" s="50" t="s">
        <v>786</v>
      </c>
      <c r="C23" s="75" t="s">
        <v>789</v>
      </c>
      <c r="D23" s="164">
        <v>45104.0</v>
      </c>
      <c r="E23" s="63">
        <v>45118.0</v>
      </c>
      <c r="F23" s="50">
        <v>754.0</v>
      </c>
      <c r="G23" s="50" t="s">
        <v>63</v>
      </c>
      <c r="H23" s="50" t="s">
        <v>773</v>
      </c>
      <c r="I23" s="80" t="s">
        <v>796</v>
      </c>
      <c r="J23" s="50" t="s">
        <v>419</v>
      </c>
      <c r="K23" s="50" t="s">
        <v>419</v>
      </c>
      <c r="L23" s="50" t="s">
        <v>419</v>
      </c>
      <c r="M23" s="50" t="s">
        <v>798</v>
      </c>
      <c r="N23" s="50" t="s">
        <v>50</v>
      </c>
      <c r="O23" s="50" t="s">
        <v>799</v>
      </c>
      <c r="P23" s="50"/>
      <c r="Q23" s="50" t="s">
        <v>804</v>
      </c>
      <c r="R23" s="50">
        <v>9.62583625E8</v>
      </c>
      <c r="S23" s="50" t="s">
        <v>807</v>
      </c>
      <c r="T23" s="50">
        <v>0.0</v>
      </c>
      <c r="U23" s="50">
        <v>1.0</v>
      </c>
      <c r="V23" s="50">
        <v>5.0</v>
      </c>
      <c r="W23" s="50">
        <v>0.0</v>
      </c>
      <c r="X23" s="50" t="s">
        <v>813</v>
      </c>
      <c r="Y23" s="50" t="s">
        <v>816</v>
      </c>
      <c r="Z23" s="50"/>
      <c r="AA23" s="162" t="s">
        <v>419</v>
      </c>
      <c r="AB23" s="152">
        <f t="shared" si="1"/>
        <v>2</v>
      </c>
      <c r="AC23" s="10"/>
      <c r="AD23" s="10"/>
    </row>
    <row r="24" ht="15.75" customHeight="1">
      <c r="A24" s="50">
        <v>18.0</v>
      </c>
      <c r="B24" s="50" t="s">
        <v>828</v>
      </c>
      <c r="C24" s="75" t="s">
        <v>830</v>
      </c>
      <c r="D24" s="164">
        <v>45121.0</v>
      </c>
      <c r="E24" s="63">
        <v>45127.0</v>
      </c>
      <c r="F24" s="50">
        <v>4210.0</v>
      </c>
      <c r="G24" s="50" t="s">
        <v>63</v>
      </c>
      <c r="H24" s="50" t="s">
        <v>506</v>
      </c>
      <c r="I24" s="80" t="s">
        <v>837</v>
      </c>
      <c r="J24" s="50" t="s">
        <v>839</v>
      </c>
      <c r="K24" s="50" t="s">
        <v>839</v>
      </c>
      <c r="L24" s="50" t="s">
        <v>496</v>
      </c>
      <c r="M24" s="50" t="s">
        <v>840</v>
      </c>
      <c r="N24" s="50" t="s">
        <v>50</v>
      </c>
      <c r="O24" s="50" t="s">
        <v>841</v>
      </c>
      <c r="P24" s="50" t="s">
        <v>843</v>
      </c>
      <c r="Q24" s="50" t="s">
        <v>846</v>
      </c>
      <c r="R24" s="50">
        <v>9.32122822E8</v>
      </c>
      <c r="S24" s="50" t="s">
        <v>850</v>
      </c>
      <c r="T24" s="50">
        <v>2.0</v>
      </c>
      <c r="U24" s="50">
        <v>0.0</v>
      </c>
      <c r="V24" s="50">
        <v>8.0</v>
      </c>
      <c r="W24" s="50">
        <v>0.0</v>
      </c>
      <c r="X24" s="50" t="s">
        <v>855</v>
      </c>
      <c r="Y24" s="50" t="s">
        <v>61</v>
      </c>
      <c r="Z24" s="50"/>
      <c r="AA24" s="162" t="s">
        <v>210</v>
      </c>
      <c r="AB24" s="152">
        <f t="shared" si="1"/>
        <v>2</v>
      </c>
      <c r="AC24" s="10"/>
      <c r="AD24" s="10"/>
    </row>
    <row r="25" ht="16.5" customHeight="1">
      <c r="A25" s="50">
        <v>19.0</v>
      </c>
      <c r="B25" s="50" t="s">
        <v>867</v>
      </c>
      <c r="C25" s="50" t="s">
        <v>869</v>
      </c>
      <c r="D25" s="164">
        <v>45131.0</v>
      </c>
      <c r="E25" s="63">
        <v>45145.0</v>
      </c>
      <c r="F25" s="50">
        <v>8265.0</v>
      </c>
      <c r="G25" s="50" t="s">
        <v>123</v>
      </c>
      <c r="H25" s="50" t="s">
        <v>235</v>
      </c>
      <c r="I25" s="80" t="s">
        <v>875</v>
      </c>
      <c r="J25" s="50" t="s">
        <v>876</v>
      </c>
      <c r="K25" s="50" t="s">
        <v>240</v>
      </c>
      <c r="L25" s="50" t="s">
        <v>240</v>
      </c>
      <c r="M25" s="50" t="s">
        <v>879</v>
      </c>
      <c r="N25" s="50" t="s">
        <v>69</v>
      </c>
      <c r="O25" s="50" t="s">
        <v>881</v>
      </c>
      <c r="P25" s="50" t="s">
        <v>882</v>
      </c>
      <c r="Q25" s="50" t="s">
        <v>884</v>
      </c>
      <c r="R25" s="50">
        <v>9.61102649E8</v>
      </c>
      <c r="S25" s="50" t="s">
        <v>889</v>
      </c>
      <c r="T25" s="50">
        <v>6.0</v>
      </c>
      <c r="U25" s="50">
        <v>0.0</v>
      </c>
      <c r="V25" s="50">
        <v>16.0</v>
      </c>
      <c r="W25" s="50">
        <v>0.0</v>
      </c>
      <c r="X25" s="50" t="s">
        <v>892</v>
      </c>
      <c r="Y25" s="50" t="s">
        <v>61</v>
      </c>
      <c r="Z25" s="50"/>
      <c r="AA25" s="162" t="s">
        <v>179</v>
      </c>
      <c r="AB25" s="152">
        <f t="shared" si="1"/>
        <v>4</v>
      </c>
      <c r="AC25" s="10"/>
      <c r="AD25" s="10"/>
    </row>
    <row r="26" ht="18.0" customHeight="1">
      <c r="A26" s="50">
        <v>20.0</v>
      </c>
      <c r="B26" s="50" t="s">
        <v>910</v>
      </c>
      <c r="C26" s="173" t="s">
        <v>911</v>
      </c>
      <c r="D26" s="174">
        <v>45166.0</v>
      </c>
      <c r="E26" s="63">
        <v>45166.0</v>
      </c>
      <c r="F26" s="50">
        <v>9988.0</v>
      </c>
      <c r="G26" s="50" t="s">
        <v>123</v>
      </c>
      <c r="H26" s="50" t="s">
        <v>172</v>
      </c>
      <c r="I26" s="80" t="s">
        <v>919</v>
      </c>
      <c r="J26" s="50" t="s">
        <v>176</v>
      </c>
      <c r="K26" s="50" t="s">
        <v>47</v>
      </c>
      <c r="L26" s="50" t="s">
        <v>47</v>
      </c>
      <c r="M26" s="50" t="s">
        <v>920</v>
      </c>
      <c r="N26" s="50" t="s">
        <v>32</v>
      </c>
      <c r="O26" s="50" t="s">
        <v>923</v>
      </c>
      <c r="P26" s="50" t="s">
        <v>927</v>
      </c>
      <c r="Q26" s="50" t="s">
        <v>932</v>
      </c>
      <c r="R26" s="50">
        <v>9.99964951E8</v>
      </c>
      <c r="S26" s="176" t="s">
        <v>939</v>
      </c>
      <c r="T26" s="50">
        <v>2.0</v>
      </c>
      <c r="U26" s="50"/>
      <c r="V26" s="50">
        <v>5.0</v>
      </c>
      <c r="W26" s="50">
        <v>0.0</v>
      </c>
      <c r="X26" s="50" t="s">
        <v>949</v>
      </c>
      <c r="Y26" s="50" t="s">
        <v>951</v>
      </c>
      <c r="Z26" s="50"/>
      <c r="AA26" s="162" t="s">
        <v>826</v>
      </c>
      <c r="AB26" s="152">
        <f t="shared" si="1"/>
        <v>0</v>
      </c>
      <c r="AC26" s="10"/>
      <c r="AD26" s="10"/>
    </row>
    <row r="27" ht="21.0" customHeight="1">
      <c r="A27" s="50">
        <v>21.0</v>
      </c>
      <c r="B27" s="50" t="s">
        <v>958</v>
      </c>
      <c r="C27" s="173" t="s">
        <v>961</v>
      </c>
      <c r="D27" s="174">
        <v>45166.0</v>
      </c>
      <c r="E27" s="63">
        <v>45166.0</v>
      </c>
      <c r="F27" s="50">
        <v>9886.0</v>
      </c>
      <c r="G27" s="50" t="s">
        <v>123</v>
      </c>
      <c r="H27" s="50" t="s">
        <v>43</v>
      </c>
      <c r="I27" s="80" t="s">
        <v>967</v>
      </c>
      <c r="J27" s="50" t="s">
        <v>46</v>
      </c>
      <c r="K27" s="50" t="s">
        <v>47</v>
      </c>
      <c r="L27" s="50" t="s">
        <v>47</v>
      </c>
      <c r="M27" s="50" t="s">
        <v>970</v>
      </c>
      <c r="N27" s="50" t="s">
        <v>32</v>
      </c>
      <c r="O27" s="50" t="s">
        <v>973</v>
      </c>
      <c r="P27" s="50" t="s">
        <v>974</v>
      </c>
      <c r="Q27" s="14" t="s">
        <v>976</v>
      </c>
      <c r="R27" s="50">
        <v>9.43466826E8</v>
      </c>
      <c r="S27" s="176" t="s">
        <v>979</v>
      </c>
      <c r="T27" s="50">
        <v>2.0</v>
      </c>
      <c r="U27" s="50">
        <v>0.0</v>
      </c>
      <c r="V27" s="50">
        <v>12.0</v>
      </c>
      <c r="W27" s="50">
        <v>0.0</v>
      </c>
      <c r="X27" s="50" t="s">
        <v>987</v>
      </c>
      <c r="Y27" s="50" t="s">
        <v>989</v>
      </c>
      <c r="Z27" s="50"/>
      <c r="AA27" s="162" t="s">
        <v>88</v>
      </c>
      <c r="AB27" s="152">
        <f t="shared" si="1"/>
        <v>4</v>
      </c>
      <c r="AC27" s="10"/>
      <c r="AD27" s="10"/>
    </row>
    <row r="28" ht="27.75" customHeight="1">
      <c r="A28" s="50">
        <v>22.0</v>
      </c>
      <c r="B28" s="50" t="s">
        <v>997</v>
      </c>
      <c r="C28" s="75" t="s">
        <v>998</v>
      </c>
      <c r="D28" s="146">
        <v>45191.0</v>
      </c>
      <c r="E28" s="63">
        <v>45201.0</v>
      </c>
      <c r="F28" s="50">
        <v>18580.0</v>
      </c>
      <c r="G28" s="50" t="s">
        <v>63</v>
      </c>
      <c r="H28" s="50" t="s">
        <v>172</v>
      </c>
      <c r="I28" s="80" t="s">
        <v>1004</v>
      </c>
      <c r="J28" s="50" t="s">
        <v>1005</v>
      </c>
      <c r="K28" s="50" t="s">
        <v>47</v>
      </c>
      <c r="L28" s="50" t="s">
        <v>47</v>
      </c>
      <c r="M28" s="57" t="s">
        <v>1009</v>
      </c>
      <c r="N28" s="57" t="s">
        <v>195</v>
      </c>
      <c r="O28" s="57" t="s">
        <v>1011</v>
      </c>
      <c r="P28" s="57" t="s">
        <v>1013</v>
      </c>
      <c r="Q28" s="57" t="s">
        <v>1015</v>
      </c>
      <c r="R28" s="57">
        <v>9.46518303E8</v>
      </c>
      <c r="S28" s="57" t="s">
        <v>1020</v>
      </c>
      <c r="T28" s="57">
        <v>1.0</v>
      </c>
      <c r="U28" s="57">
        <v>1.0</v>
      </c>
      <c r="V28" s="57">
        <v>11.0</v>
      </c>
      <c r="W28" s="57">
        <v>0.0</v>
      </c>
      <c r="X28" s="50" t="s">
        <v>1023</v>
      </c>
      <c r="Y28" s="50" t="s">
        <v>61</v>
      </c>
      <c r="Z28" s="50"/>
      <c r="AA28" s="162" t="s">
        <v>281</v>
      </c>
      <c r="AB28" s="152">
        <f t="shared" si="1"/>
        <v>2</v>
      </c>
      <c r="AC28" s="10"/>
      <c r="AD28" s="57"/>
    </row>
    <row r="29" ht="15.75" customHeight="1">
      <c r="A29" s="50">
        <v>23.0</v>
      </c>
      <c r="B29" s="50" t="s">
        <v>1031</v>
      </c>
      <c r="C29" s="75" t="s">
        <v>1033</v>
      </c>
      <c r="D29" s="146">
        <v>45191.0</v>
      </c>
      <c r="E29" s="63">
        <v>45201.0</v>
      </c>
      <c r="F29" s="50">
        <v>1703.0</v>
      </c>
      <c r="G29" s="50" t="s">
        <v>63</v>
      </c>
      <c r="H29" s="50" t="s">
        <v>942</v>
      </c>
      <c r="I29" s="80" t="s">
        <v>966</v>
      </c>
      <c r="J29" s="50" t="s">
        <v>1037</v>
      </c>
      <c r="K29" s="50" t="s">
        <v>946</v>
      </c>
      <c r="L29" s="113" t="s">
        <v>948</v>
      </c>
      <c r="M29" s="16" t="s">
        <v>1038</v>
      </c>
      <c r="N29" s="50" t="s">
        <v>50</v>
      </c>
      <c r="O29" s="50" t="s">
        <v>1041</v>
      </c>
      <c r="P29" s="50" t="s">
        <v>1043</v>
      </c>
      <c r="Q29" s="50" t="s">
        <v>1044</v>
      </c>
      <c r="R29" s="50">
        <v>9.38708151E8</v>
      </c>
      <c r="S29" s="50" t="s">
        <v>1047</v>
      </c>
      <c r="T29" s="50">
        <v>1.0</v>
      </c>
      <c r="U29" s="50">
        <v>0.0</v>
      </c>
      <c r="V29" s="50">
        <v>7.0</v>
      </c>
      <c r="W29" s="50">
        <v>0.0</v>
      </c>
      <c r="X29" s="50" t="s">
        <v>1054</v>
      </c>
      <c r="Y29" s="50" t="s">
        <v>61</v>
      </c>
      <c r="Z29" s="50"/>
      <c r="AA29" s="162" t="s">
        <v>47</v>
      </c>
      <c r="AB29" s="152">
        <f t="shared" si="1"/>
        <v>29</v>
      </c>
      <c r="AC29" s="10"/>
      <c r="AD29" s="10"/>
    </row>
    <row r="30" ht="15.75" customHeight="1">
      <c r="A30" s="50">
        <v>24.0</v>
      </c>
      <c r="B30" s="50" t="s">
        <v>1061</v>
      </c>
      <c r="C30" s="75" t="s">
        <v>1063</v>
      </c>
      <c r="D30" s="183">
        <v>45209.0</v>
      </c>
      <c r="E30" s="142">
        <v>45212.0</v>
      </c>
      <c r="F30" s="50">
        <v>6215.0</v>
      </c>
      <c r="G30" s="50" t="s">
        <v>425</v>
      </c>
      <c r="H30" s="50" t="s">
        <v>43</v>
      </c>
      <c r="I30" s="80" t="s">
        <v>1066</v>
      </c>
      <c r="J30" s="50" t="s">
        <v>47</v>
      </c>
      <c r="K30" s="50" t="s">
        <v>47</v>
      </c>
      <c r="L30" s="50" t="s">
        <v>47</v>
      </c>
      <c r="M30" s="50" t="s">
        <v>1068</v>
      </c>
      <c r="N30" s="50" t="s">
        <v>50</v>
      </c>
      <c r="O30" s="50" t="s">
        <v>1069</v>
      </c>
      <c r="P30" s="50"/>
      <c r="Q30" s="50" t="s">
        <v>1070</v>
      </c>
      <c r="R30" s="50" t="s">
        <v>1072</v>
      </c>
      <c r="S30" s="50" t="s">
        <v>1073</v>
      </c>
      <c r="T30" s="50">
        <v>1.0</v>
      </c>
      <c r="U30" s="50">
        <v>0.0</v>
      </c>
      <c r="V30" s="50">
        <v>8.0</v>
      </c>
      <c r="W30" s="50">
        <v>0.0</v>
      </c>
      <c r="X30" s="50" t="s">
        <v>1076</v>
      </c>
      <c r="Y30" s="135" t="s">
        <v>1077</v>
      </c>
      <c r="Z30" s="50"/>
      <c r="AA30" s="162" t="s">
        <v>1003</v>
      </c>
      <c r="AB30" s="152">
        <f t="shared" si="1"/>
        <v>2</v>
      </c>
      <c r="AC30" s="10"/>
      <c r="AD30" s="10"/>
    </row>
    <row r="31" ht="15.0" customHeight="1">
      <c r="A31" s="50">
        <v>25.0</v>
      </c>
      <c r="B31" s="50" t="s">
        <v>1085</v>
      </c>
      <c r="C31" s="75" t="s">
        <v>1087</v>
      </c>
      <c r="D31" s="183">
        <v>45209.0</v>
      </c>
      <c r="E31" s="142">
        <v>45211.0</v>
      </c>
      <c r="F31" s="50">
        <v>8720.0</v>
      </c>
      <c r="G31" s="50" t="s">
        <v>42</v>
      </c>
      <c r="H31" s="50" t="s">
        <v>43</v>
      </c>
      <c r="I31" s="80" t="s">
        <v>1090</v>
      </c>
      <c r="J31" s="50" t="s">
        <v>1091</v>
      </c>
      <c r="K31" s="50" t="s">
        <v>47</v>
      </c>
      <c r="L31" s="50" t="s">
        <v>47</v>
      </c>
      <c r="M31" s="50" t="s">
        <v>1093</v>
      </c>
      <c r="N31" s="50" t="s">
        <v>69</v>
      </c>
      <c r="O31" s="50" t="s">
        <v>1096</v>
      </c>
      <c r="P31" s="50" t="s">
        <v>1098</v>
      </c>
      <c r="Q31" s="50" t="s">
        <v>1100</v>
      </c>
      <c r="R31" s="50">
        <v>9.7582304E7</v>
      </c>
      <c r="S31" s="50" t="s">
        <v>1105</v>
      </c>
      <c r="T31" s="50">
        <v>1.0</v>
      </c>
      <c r="U31" s="50">
        <v>0.0</v>
      </c>
      <c r="V31" s="50">
        <v>33.0</v>
      </c>
      <c r="W31" s="50">
        <v>0.0</v>
      </c>
      <c r="X31" s="50" t="s">
        <v>1108</v>
      </c>
      <c r="Y31" s="50" t="s">
        <v>61</v>
      </c>
      <c r="Z31" s="50"/>
      <c r="AA31" s="162" t="s">
        <v>610</v>
      </c>
      <c r="AB31" s="152">
        <f t="shared" si="1"/>
        <v>5</v>
      </c>
      <c r="AC31" s="10"/>
      <c r="AD31" s="10"/>
    </row>
    <row r="32" ht="17.25" customHeight="1">
      <c r="A32" s="50">
        <v>26.0</v>
      </c>
      <c r="B32" s="50" t="s">
        <v>1113</v>
      </c>
      <c r="C32" s="50" t="s">
        <v>1115</v>
      </c>
      <c r="D32" s="183">
        <v>45230.0</v>
      </c>
      <c r="E32" s="63">
        <v>45236.0</v>
      </c>
      <c r="F32" s="50">
        <v>753.0</v>
      </c>
      <c r="G32" s="50" t="s">
        <v>425</v>
      </c>
      <c r="H32" s="50" t="s">
        <v>173</v>
      </c>
      <c r="I32" s="80" t="s">
        <v>1121</v>
      </c>
      <c r="J32" s="50" t="s">
        <v>666</v>
      </c>
      <c r="K32" s="50" t="s">
        <v>666</v>
      </c>
      <c r="L32" s="50" t="s">
        <v>179</v>
      </c>
      <c r="M32" s="50" t="s">
        <v>1126</v>
      </c>
      <c r="N32" s="50" t="s">
        <v>50</v>
      </c>
      <c r="O32" s="50" t="s">
        <v>1129</v>
      </c>
      <c r="P32" s="50" t="s">
        <v>1130</v>
      </c>
      <c r="Q32" s="50" t="s">
        <v>1133</v>
      </c>
      <c r="R32" s="50">
        <v>9.6460936E8</v>
      </c>
      <c r="S32" s="16" t="s">
        <v>1134</v>
      </c>
      <c r="T32" s="50">
        <v>3.0</v>
      </c>
      <c r="U32" s="50">
        <v>0.0</v>
      </c>
      <c r="V32" s="50">
        <v>6.0</v>
      </c>
      <c r="W32" s="50">
        <v>0.0</v>
      </c>
      <c r="X32" s="50" t="s">
        <v>1138</v>
      </c>
      <c r="Y32" s="50" t="s">
        <v>61</v>
      </c>
      <c r="Z32" s="50"/>
      <c r="AA32" s="162" t="s">
        <v>322</v>
      </c>
      <c r="AB32" s="152">
        <f t="shared" si="1"/>
        <v>1</v>
      </c>
      <c r="AC32" s="10"/>
      <c r="AD32" s="10"/>
    </row>
    <row r="33" ht="16.5" customHeight="1">
      <c r="A33" s="50">
        <v>27.0</v>
      </c>
      <c r="B33" s="50" t="s">
        <v>1146</v>
      </c>
      <c r="C33" s="50" t="s">
        <v>1147</v>
      </c>
      <c r="D33" s="183">
        <v>45219.0</v>
      </c>
      <c r="E33" s="142">
        <v>45219.0</v>
      </c>
      <c r="F33" s="50">
        <v>8652.0</v>
      </c>
      <c r="G33" s="50" t="s">
        <v>123</v>
      </c>
      <c r="H33" s="50" t="s">
        <v>173</v>
      </c>
      <c r="I33" s="80" t="s">
        <v>1151</v>
      </c>
      <c r="J33" s="50" t="s">
        <v>666</v>
      </c>
      <c r="K33" s="50" t="s">
        <v>666</v>
      </c>
      <c r="L33" s="50" t="s">
        <v>179</v>
      </c>
      <c r="M33" s="50" t="s">
        <v>1155</v>
      </c>
      <c r="N33" s="50" t="s">
        <v>69</v>
      </c>
      <c r="O33" s="113" t="s">
        <v>1158</v>
      </c>
      <c r="P33" s="50"/>
      <c r="Q33" s="113" t="s">
        <v>1161</v>
      </c>
      <c r="R33" s="50"/>
      <c r="S33" s="50" t="s">
        <v>1162</v>
      </c>
      <c r="T33" s="50">
        <v>1.0</v>
      </c>
      <c r="U33" s="50">
        <v>0.0</v>
      </c>
      <c r="V33" s="50">
        <v>7.0</v>
      </c>
      <c r="W33" s="50">
        <v>0.0</v>
      </c>
      <c r="X33" s="50" t="s">
        <v>1165</v>
      </c>
      <c r="Y33" s="50" t="s">
        <v>61</v>
      </c>
      <c r="Z33" s="50"/>
      <c r="AA33" s="162" t="s">
        <v>718</v>
      </c>
      <c r="AB33" s="152">
        <f t="shared" si="1"/>
        <v>2</v>
      </c>
      <c r="AC33" s="10"/>
      <c r="AD33" s="10"/>
    </row>
    <row r="34" ht="15.75" customHeight="1">
      <c r="A34" s="50">
        <v>28.0</v>
      </c>
      <c r="B34" s="50" t="s">
        <v>1172</v>
      </c>
      <c r="C34" s="50" t="s">
        <v>1173</v>
      </c>
      <c r="D34" s="141">
        <v>45232.0</v>
      </c>
      <c r="E34" s="63">
        <v>45236.0</v>
      </c>
      <c r="F34" s="50">
        <v>4838.0</v>
      </c>
      <c r="G34" s="50" t="s">
        <v>63</v>
      </c>
      <c r="H34" s="50" t="s">
        <v>656</v>
      </c>
      <c r="I34" s="80" t="s">
        <v>1177</v>
      </c>
      <c r="J34" s="50" t="s">
        <v>1179</v>
      </c>
      <c r="K34" s="50" t="s">
        <v>1179</v>
      </c>
      <c r="L34" s="50" t="s">
        <v>663</v>
      </c>
      <c r="M34" s="50" t="s">
        <v>1183</v>
      </c>
      <c r="N34" s="50" t="s">
        <v>50</v>
      </c>
      <c r="O34" s="50" t="s">
        <v>1185</v>
      </c>
      <c r="P34" s="50" t="s">
        <v>1187</v>
      </c>
      <c r="Q34" s="50" t="s">
        <v>1188</v>
      </c>
      <c r="R34" s="50">
        <v>9.81948633E8</v>
      </c>
      <c r="S34" s="16" t="s">
        <v>1189</v>
      </c>
      <c r="T34" s="50">
        <v>0.0</v>
      </c>
      <c r="U34" s="50">
        <v>1.0</v>
      </c>
      <c r="V34" s="50">
        <v>5.0</v>
      </c>
      <c r="W34" s="50">
        <v>0.0</v>
      </c>
      <c r="X34" s="57" t="s">
        <v>1192</v>
      </c>
      <c r="Y34" s="50" t="s">
        <v>61</v>
      </c>
      <c r="Z34" s="50"/>
      <c r="AA34" s="162" t="s">
        <v>1103</v>
      </c>
      <c r="AB34" s="152">
        <f t="shared" si="1"/>
        <v>1</v>
      </c>
      <c r="AC34" s="10"/>
      <c r="AD34" s="10"/>
    </row>
    <row r="35" ht="15.75" customHeight="1">
      <c r="A35" s="50">
        <v>29.0</v>
      </c>
      <c r="B35" s="50" t="s">
        <v>1197</v>
      </c>
      <c r="C35" s="50" t="s">
        <v>1198</v>
      </c>
      <c r="D35" s="120">
        <v>45271.0</v>
      </c>
      <c r="E35" s="142">
        <v>45278.0</v>
      </c>
      <c r="F35" s="50">
        <v>9409.0</v>
      </c>
      <c r="G35" s="50" t="s">
        <v>123</v>
      </c>
      <c r="H35" s="50" t="s">
        <v>43</v>
      </c>
      <c r="I35" s="80" t="s">
        <v>1203</v>
      </c>
      <c r="J35" s="50" t="s">
        <v>126</v>
      </c>
      <c r="K35" s="50" t="s">
        <v>47</v>
      </c>
      <c r="L35" s="50" t="s">
        <v>47</v>
      </c>
      <c r="M35" s="50" t="s">
        <v>1208</v>
      </c>
      <c r="N35" s="50" t="s">
        <v>32</v>
      </c>
      <c r="O35" s="50" t="s">
        <v>1211</v>
      </c>
      <c r="P35" s="50" t="s">
        <v>1213</v>
      </c>
      <c r="Q35" s="50" t="s">
        <v>1215</v>
      </c>
      <c r="R35" s="50">
        <v>9.89264171E8</v>
      </c>
      <c r="S35" s="50" t="s">
        <v>1219</v>
      </c>
      <c r="T35" s="50">
        <v>1.0</v>
      </c>
      <c r="U35" s="50">
        <v>0.0</v>
      </c>
      <c r="V35" s="50">
        <v>4.0</v>
      </c>
      <c r="W35" s="50">
        <v>0.0</v>
      </c>
      <c r="X35" s="50" t="s">
        <v>1220</v>
      </c>
      <c r="Y35" s="50" t="s">
        <v>61</v>
      </c>
      <c r="Z35" s="50"/>
      <c r="AA35" s="162" t="s">
        <v>469</v>
      </c>
      <c r="AB35" s="152">
        <f t="shared" si="1"/>
        <v>1</v>
      </c>
      <c r="AC35" s="10"/>
      <c r="AD35" s="10"/>
    </row>
    <row r="36" ht="15.75" customHeight="1">
      <c r="A36" s="50">
        <v>30.0</v>
      </c>
      <c r="B36" s="50" t="s">
        <v>1226</v>
      </c>
      <c r="C36" s="50" t="s">
        <v>1227</v>
      </c>
      <c r="D36" s="120">
        <v>45281.0</v>
      </c>
      <c r="E36" s="142">
        <v>45288.0</v>
      </c>
      <c r="F36" s="50">
        <v>7719.0</v>
      </c>
      <c r="G36" s="50" t="s">
        <v>63</v>
      </c>
      <c r="H36" s="50" t="s">
        <v>1014</v>
      </c>
      <c r="I36" s="153" t="s">
        <v>1232</v>
      </c>
      <c r="J36" s="50" t="s">
        <v>1022</v>
      </c>
      <c r="K36" s="50" t="s">
        <v>1022</v>
      </c>
      <c r="L36" s="50" t="s">
        <v>1024</v>
      </c>
      <c r="M36" s="50" t="s">
        <v>1239</v>
      </c>
      <c r="N36" s="50" t="s">
        <v>50</v>
      </c>
      <c r="O36" s="50" t="s">
        <v>1242</v>
      </c>
      <c r="P36" s="50" t="s">
        <v>1244</v>
      </c>
      <c r="Q36" s="50" t="s">
        <v>1245</v>
      </c>
      <c r="R36" s="50">
        <v>9.83637581E8</v>
      </c>
      <c r="S36" s="50" t="s">
        <v>1249</v>
      </c>
      <c r="T36" s="50">
        <v>1.0</v>
      </c>
      <c r="U36" s="50">
        <v>0.0</v>
      </c>
      <c r="V36" s="50">
        <v>6.0</v>
      </c>
      <c r="W36" s="50">
        <v>0.0</v>
      </c>
      <c r="X36" s="50" t="s">
        <v>1254</v>
      </c>
      <c r="Y36" s="50" t="s">
        <v>61</v>
      </c>
      <c r="Z36" s="50"/>
      <c r="AA36" s="162" t="s">
        <v>948</v>
      </c>
      <c r="AB36" s="152">
        <f t="shared" si="1"/>
        <v>3</v>
      </c>
      <c r="AC36" s="10"/>
      <c r="AD36" s="10"/>
    </row>
    <row r="37" ht="15.75" customHeight="1">
      <c r="A37" s="50">
        <v>31.0</v>
      </c>
      <c r="B37" s="50" t="s">
        <v>1258</v>
      </c>
      <c r="C37" s="50" t="s">
        <v>1259</v>
      </c>
      <c r="D37" s="120">
        <v>45281.0</v>
      </c>
      <c r="E37" s="142">
        <v>45288.0</v>
      </c>
      <c r="F37" s="50">
        <v>8108.0</v>
      </c>
      <c r="G37" s="50" t="s">
        <v>84</v>
      </c>
      <c r="H37" s="50" t="s">
        <v>1014</v>
      </c>
      <c r="I37" s="80" t="s">
        <v>1264</v>
      </c>
      <c r="J37" s="50" t="s">
        <v>1265</v>
      </c>
      <c r="K37" s="50" t="s">
        <v>1022</v>
      </c>
      <c r="L37" s="50" t="s">
        <v>1024</v>
      </c>
      <c r="M37" s="50" t="s">
        <v>1276</v>
      </c>
      <c r="N37" s="50" t="s">
        <v>32</v>
      </c>
      <c r="O37" s="50" t="s">
        <v>1279</v>
      </c>
      <c r="P37" s="50" t="s">
        <v>1280</v>
      </c>
      <c r="Q37" s="50" t="s">
        <v>1281</v>
      </c>
      <c r="R37" s="50">
        <v>9.10133952E8</v>
      </c>
      <c r="S37" s="50" t="s">
        <v>1283</v>
      </c>
      <c r="T37" s="50">
        <v>1.0</v>
      </c>
      <c r="U37" s="50">
        <v>0.0</v>
      </c>
      <c r="V37" s="50">
        <v>2.0</v>
      </c>
      <c r="W37" s="50">
        <v>0.0</v>
      </c>
      <c r="X37" s="50" t="s">
        <v>1286</v>
      </c>
      <c r="Y37" s="50" t="s">
        <v>61</v>
      </c>
      <c r="Z37" s="50"/>
      <c r="AA37" s="162" t="s">
        <v>663</v>
      </c>
      <c r="AB37" s="152">
        <f t="shared" si="1"/>
        <v>2</v>
      </c>
      <c r="AC37" s="10"/>
      <c r="AD37" s="10"/>
    </row>
    <row r="38" ht="15.75" customHeight="1">
      <c r="A38" s="50">
        <v>32.0</v>
      </c>
      <c r="B38" s="50" t="s">
        <v>1295</v>
      </c>
      <c r="C38" s="75" t="s">
        <v>1296</v>
      </c>
      <c r="D38" s="164">
        <v>45302.0</v>
      </c>
      <c r="E38" s="63">
        <v>45309.0</v>
      </c>
      <c r="F38" s="50">
        <v>10041.0</v>
      </c>
      <c r="G38" s="50" t="s">
        <v>123</v>
      </c>
      <c r="H38" s="50" t="s">
        <v>1299</v>
      </c>
      <c r="I38" s="80" t="s">
        <v>1300</v>
      </c>
      <c r="J38" s="50" t="s">
        <v>1301</v>
      </c>
      <c r="K38" s="50" t="s">
        <v>586</v>
      </c>
      <c r="L38" s="50" t="s">
        <v>586</v>
      </c>
      <c r="M38" s="50" t="s">
        <v>1304</v>
      </c>
      <c r="N38" s="50" t="s">
        <v>69</v>
      </c>
      <c r="O38" s="50" t="s">
        <v>1308</v>
      </c>
      <c r="P38" s="50" t="s">
        <v>1310</v>
      </c>
      <c r="Q38" s="50" t="s">
        <v>1311</v>
      </c>
      <c r="R38" s="50">
        <v>9.79722234E8</v>
      </c>
      <c r="S38" s="50" t="s">
        <v>1313</v>
      </c>
      <c r="T38" s="50">
        <v>3.0</v>
      </c>
      <c r="U38" s="50">
        <v>0.0</v>
      </c>
      <c r="V38" s="50">
        <v>6.0</v>
      </c>
      <c r="W38" s="50">
        <v>2.0</v>
      </c>
      <c r="X38" s="50" t="s">
        <v>1317</v>
      </c>
      <c r="Y38" s="50" t="s">
        <v>61</v>
      </c>
      <c r="Z38" s="50"/>
      <c r="AA38" s="162" t="s">
        <v>1191</v>
      </c>
      <c r="AB38" s="152">
        <f t="shared" si="1"/>
        <v>1</v>
      </c>
      <c r="AC38" s="10"/>
      <c r="AD38" s="10"/>
    </row>
    <row r="39" ht="15.75" customHeight="1">
      <c r="A39" s="50">
        <v>33.0</v>
      </c>
      <c r="B39" s="50" t="s">
        <v>1323</v>
      </c>
      <c r="C39" s="57" t="s">
        <v>1324</v>
      </c>
      <c r="D39" s="91">
        <v>45279.0</v>
      </c>
      <c r="E39" s="142">
        <v>45281.0</v>
      </c>
      <c r="F39" s="50">
        <v>6211.0</v>
      </c>
      <c r="G39" s="50" t="s">
        <v>123</v>
      </c>
      <c r="H39" s="50" t="s">
        <v>43</v>
      </c>
      <c r="I39" s="80" t="s">
        <v>147</v>
      </c>
      <c r="J39" s="50" t="s">
        <v>437</v>
      </c>
      <c r="K39" s="50" t="s">
        <v>47</v>
      </c>
      <c r="L39" s="50" t="s">
        <v>47</v>
      </c>
      <c r="M39" s="50" t="s">
        <v>1331</v>
      </c>
      <c r="N39" s="50" t="s">
        <v>50</v>
      </c>
      <c r="O39" s="50" t="s">
        <v>1333</v>
      </c>
      <c r="P39" s="50" t="s">
        <v>1334</v>
      </c>
      <c r="Q39" s="50" t="s">
        <v>1336</v>
      </c>
      <c r="R39" s="50">
        <v>9.99644512E8</v>
      </c>
      <c r="S39" s="50" t="s">
        <v>1340</v>
      </c>
      <c r="T39" s="50">
        <v>2.0</v>
      </c>
      <c r="U39" s="50">
        <v>0.0</v>
      </c>
      <c r="V39" s="50">
        <v>7.0</v>
      </c>
      <c r="W39" s="50">
        <v>0.0</v>
      </c>
      <c r="X39" s="50" t="s">
        <v>1343</v>
      </c>
      <c r="Y39" s="50" t="s">
        <v>1345</v>
      </c>
      <c r="Z39" s="50"/>
      <c r="AA39" s="162" t="s">
        <v>1222</v>
      </c>
      <c r="AB39" s="152">
        <f t="shared" si="1"/>
        <v>3</v>
      </c>
      <c r="AC39" s="10"/>
      <c r="AD39" s="10"/>
    </row>
    <row r="40" ht="15.75" customHeight="1">
      <c r="A40" s="50">
        <v>34.0</v>
      </c>
      <c r="B40" s="50" t="s">
        <v>1351</v>
      </c>
      <c r="C40" s="57" t="s">
        <v>1352</v>
      </c>
      <c r="D40" s="146">
        <v>45404.0</v>
      </c>
      <c r="E40" s="63">
        <v>45405.0</v>
      </c>
      <c r="F40" s="50">
        <v>27857.0</v>
      </c>
      <c r="G40" s="50" t="s">
        <v>170</v>
      </c>
      <c r="H40" s="50" t="s">
        <v>173</v>
      </c>
      <c r="I40" s="80" t="s">
        <v>1356</v>
      </c>
      <c r="J40" s="50" t="s">
        <v>1357</v>
      </c>
      <c r="K40" s="50" t="s">
        <v>1357</v>
      </c>
      <c r="L40" s="50" t="s">
        <v>179</v>
      </c>
      <c r="M40" s="50" t="s">
        <v>1361</v>
      </c>
      <c r="N40" s="50" t="s">
        <v>50</v>
      </c>
      <c r="O40" s="50" t="s">
        <v>1364</v>
      </c>
      <c r="P40" s="50"/>
      <c r="Q40" s="50"/>
      <c r="R40" s="50"/>
      <c r="S40" s="50"/>
      <c r="T40" s="50">
        <v>2.0</v>
      </c>
      <c r="U40" s="50">
        <v>0.0</v>
      </c>
      <c r="V40" s="50">
        <v>7.0</v>
      </c>
      <c r="W40" s="50">
        <v>0.0</v>
      </c>
      <c r="X40" s="50" t="s">
        <v>1372</v>
      </c>
      <c r="Y40" s="50" t="s">
        <v>61</v>
      </c>
      <c r="Z40" s="50"/>
      <c r="AA40" s="162" t="s">
        <v>1252</v>
      </c>
      <c r="AB40" s="152">
        <f t="shared" si="1"/>
        <v>1</v>
      </c>
      <c r="AC40" s="10"/>
      <c r="AD40" s="10"/>
    </row>
    <row r="41" ht="15.75" customHeight="1">
      <c r="A41" s="50">
        <v>35.0</v>
      </c>
      <c r="B41" s="50" t="s">
        <v>1378</v>
      </c>
      <c r="C41" s="57" t="s">
        <v>1379</v>
      </c>
      <c r="D41" s="146">
        <v>45475.0</v>
      </c>
      <c r="E41" s="63">
        <v>45481.0</v>
      </c>
      <c r="F41" s="50">
        <v>18011.0</v>
      </c>
      <c r="G41" s="50" t="s">
        <v>425</v>
      </c>
      <c r="H41" s="50" t="s">
        <v>43</v>
      </c>
      <c r="I41" s="80" t="s">
        <v>1382</v>
      </c>
      <c r="J41" s="50" t="s">
        <v>1091</v>
      </c>
      <c r="K41" s="50" t="s">
        <v>47</v>
      </c>
      <c r="L41" s="50" t="s">
        <v>47</v>
      </c>
      <c r="M41" s="50" t="s">
        <v>1385</v>
      </c>
      <c r="N41" s="50" t="s">
        <v>69</v>
      </c>
      <c r="O41" s="50" t="s">
        <v>1386</v>
      </c>
      <c r="P41" s="50" t="s">
        <v>1387</v>
      </c>
      <c r="Q41" s="50" t="s">
        <v>1389</v>
      </c>
      <c r="R41" s="50">
        <v>9.92774358E8</v>
      </c>
      <c r="S41" s="50" t="s">
        <v>1393</v>
      </c>
      <c r="T41" s="50">
        <v>2.0</v>
      </c>
      <c r="U41" s="50">
        <v>0.0</v>
      </c>
      <c r="V41" s="50">
        <v>7.0</v>
      </c>
      <c r="W41" s="50">
        <v>0.0</v>
      </c>
      <c r="X41" s="50"/>
      <c r="Y41" s="50" t="s">
        <v>61</v>
      </c>
      <c r="Z41" s="50"/>
      <c r="AA41" s="162" t="s">
        <v>1024</v>
      </c>
      <c r="AB41" s="152">
        <f t="shared" si="1"/>
        <v>3</v>
      </c>
      <c r="AC41" s="10"/>
      <c r="AD41" s="10"/>
    </row>
    <row r="42" ht="15.75" customHeight="1">
      <c r="A42" s="50">
        <v>36.0</v>
      </c>
      <c r="B42" s="50" t="s">
        <v>1403</v>
      </c>
      <c r="C42" s="57" t="s">
        <v>1406</v>
      </c>
      <c r="D42" s="146">
        <v>45488.0</v>
      </c>
      <c r="E42" s="63">
        <v>45497.0</v>
      </c>
      <c r="F42" s="50">
        <v>33381.0</v>
      </c>
      <c r="G42" s="50" t="s">
        <v>425</v>
      </c>
      <c r="H42" s="50" t="s">
        <v>76</v>
      </c>
      <c r="I42" s="80" t="s">
        <v>1409</v>
      </c>
      <c r="J42" s="50" t="s">
        <v>1412</v>
      </c>
      <c r="K42" s="50" t="s">
        <v>47</v>
      </c>
      <c r="L42" s="50" t="s">
        <v>47</v>
      </c>
      <c r="M42" s="50" t="s">
        <v>1414</v>
      </c>
      <c r="N42" s="50" t="s">
        <v>50</v>
      </c>
      <c r="O42" s="16" t="s">
        <v>1415</v>
      </c>
      <c r="P42" s="50" t="s">
        <v>1416</v>
      </c>
      <c r="Q42" s="16" t="s">
        <v>1418</v>
      </c>
      <c r="R42" s="50">
        <v>9.83686579E8</v>
      </c>
      <c r="S42" s="50" t="s">
        <v>1420</v>
      </c>
      <c r="T42" s="50">
        <v>3.0</v>
      </c>
      <c r="U42" s="50">
        <v>0.0</v>
      </c>
      <c r="V42" s="50">
        <v>17.0</v>
      </c>
      <c r="W42" s="50">
        <v>0.0</v>
      </c>
      <c r="X42" s="50" t="s">
        <v>1425</v>
      </c>
      <c r="Y42" s="50" t="s">
        <v>1427</v>
      </c>
      <c r="Z42" s="50"/>
      <c r="AA42" s="162" t="s">
        <v>1293</v>
      </c>
      <c r="AB42" s="152">
        <f t="shared" si="1"/>
        <v>1</v>
      </c>
      <c r="AC42" s="10"/>
      <c r="AD42" s="10"/>
    </row>
    <row r="43" ht="15.75" customHeight="1">
      <c r="A43" s="50">
        <v>37.0</v>
      </c>
      <c r="B43" s="50" t="s">
        <v>1432</v>
      </c>
      <c r="C43" s="75" t="s">
        <v>1434</v>
      </c>
      <c r="D43" s="146">
        <v>45547.0</v>
      </c>
      <c r="E43" s="63">
        <v>45558.0</v>
      </c>
      <c r="F43" s="50">
        <v>13591.0</v>
      </c>
      <c r="G43" s="50" t="s">
        <v>123</v>
      </c>
      <c r="H43" s="50" t="s">
        <v>43</v>
      </c>
      <c r="I43" s="80" t="s">
        <v>1438</v>
      </c>
      <c r="J43" s="50" t="s">
        <v>1091</v>
      </c>
      <c r="K43" s="50" t="s">
        <v>47</v>
      </c>
      <c r="L43" s="50" t="s">
        <v>47</v>
      </c>
      <c r="M43" s="50" t="s">
        <v>1442</v>
      </c>
      <c r="N43" s="50" t="s">
        <v>221</v>
      </c>
      <c r="O43" s="50" t="s">
        <v>1443</v>
      </c>
      <c r="P43" s="50" t="s">
        <v>1444</v>
      </c>
      <c r="Q43" s="50" t="s">
        <v>1445</v>
      </c>
      <c r="R43" s="50">
        <v>9.762724E8</v>
      </c>
      <c r="S43" s="50" t="s">
        <v>1446</v>
      </c>
      <c r="T43" s="50">
        <v>1.0</v>
      </c>
      <c r="U43" s="50">
        <v>0.0</v>
      </c>
      <c r="V43" s="50">
        <v>15.0</v>
      </c>
      <c r="W43" s="50">
        <v>0.0</v>
      </c>
      <c r="X43" s="50" t="s">
        <v>1452</v>
      </c>
      <c r="Y43" s="50" t="s">
        <v>61</v>
      </c>
      <c r="Z43" s="50" t="s">
        <v>1454</v>
      </c>
      <c r="AA43" s="162" t="s">
        <v>1319</v>
      </c>
      <c r="AB43" s="152">
        <f t="shared" si="1"/>
        <v>1</v>
      </c>
      <c r="AC43" s="10"/>
      <c r="AD43" s="10"/>
    </row>
    <row r="44" ht="15.75" customHeight="1">
      <c r="A44" s="50">
        <v>38.0</v>
      </c>
      <c r="B44" s="50" t="s">
        <v>1458</v>
      </c>
      <c r="C44" s="75" t="s">
        <v>1459</v>
      </c>
      <c r="D44" s="146">
        <v>45545.0</v>
      </c>
      <c r="E44" s="63">
        <v>45546.0</v>
      </c>
      <c r="F44" s="50">
        <v>11409.0</v>
      </c>
      <c r="G44" s="50" t="s">
        <v>123</v>
      </c>
      <c r="H44" s="50" t="s">
        <v>1462</v>
      </c>
      <c r="I44" s="80" t="s">
        <v>1463</v>
      </c>
      <c r="J44" s="50" t="s">
        <v>1464</v>
      </c>
      <c r="K44" s="50" t="s">
        <v>1466</v>
      </c>
      <c r="L44" s="50" t="s">
        <v>1003</v>
      </c>
      <c r="M44" s="50" t="s">
        <v>1468</v>
      </c>
      <c r="N44" s="50" t="s">
        <v>69</v>
      </c>
      <c r="O44" s="50" t="s">
        <v>1470</v>
      </c>
      <c r="P44" s="50" t="s">
        <v>1472</v>
      </c>
      <c r="Q44" s="50" t="s">
        <v>1473</v>
      </c>
      <c r="R44" s="50">
        <v>9.65797781E8</v>
      </c>
      <c r="S44" s="50" t="s">
        <v>1476</v>
      </c>
      <c r="T44" s="50">
        <v>2.0</v>
      </c>
      <c r="U44" s="50">
        <v>0.0</v>
      </c>
      <c r="V44" s="50">
        <v>6.0</v>
      </c>
      <c r="W44" s="50">
        <v>0.0</v>
      </c>
      <c r="X44" s="50" t="s">
        <v>1480</v>
      </c>
      <c r="Y44" s="50" t="s">
        <v>61</v>
      </c>
      <c r="Z44" s="50"/>
      <c r="AA44" s="16"/>
      <c r="AB44" s="16">
        <f>SUM(AB18:AB43)</f>
        <v>82</v>
      </c>
      <c r="AC44" s="10"/>
      <c r="AD44" s="10"/>
    </row>
    <row r="45" ht="15.75" customHeight="1">
      <c r="A45" s="50">
        <v>39.0</v>
      </c>
      <c r="B45" s="50" t="s">
        <v>1488</v>
      </c>
      <c r="C45" s="50" t="s">
        <v>1489</v>
      </c>
      <c r="D45" s="146">
        <v>45545.0</v>
      </c>
      <c r="E45" s="63">
        <v>45546.0</v>
      </c>
      <c r="F45" s="50">
        <v>5946.0</v>
      </c>
      <c r="G45" s="50" t="s">
        <v>123</v>
      </c>
      <c r="H45" s="50" t="s">
        <v>76</v>
      </c>
      <c r="I45" s="80" t="s">
        <v>1493</v>
      </c>
      <c r="J45" s="50" t="s">
        <v>1494</v>
      </c>
      <c r="K45" s="50" t="s">
        <v>47</v>
      </c>
      <c r="L45" s="50" t="s">
        <v>47</v>
      </c>
      <c r="M45" s="50" t="s">
        <v>1496</v>
      </c>
      <c r="N45" s="50" t="s">
        <v>50</v>
      </c>
      <c r="O45" s="50" t="s">
        <v>1500</v>
      </c>
      <c r="P45" s="50" t="s">
        <v>1502</v>
      </c>
      <c r="Q45" s="50" t="s">
        <v>1504</v>
      </c>
      <c r="R45" s="50" t="s">
        <v>1507</v>
      </c>
      <c r="S45" s="50" t="s">
        <v>1508</v>
      </c>
      <c r="T45" s="50">
        <v>1.0</v>
      </c>
      <c r="U45" s="50">
        <v>0.0</v>
      </c>
      <c r="V45" s="50">
        <v>15.0</v>
      </c>
      <c r="W45" s="50">
        <v>0.0</v>
      </c>
      <c r="X45" s="50" t="s">
        <v>1514</v>
      </c>
      <c r="Y45" s="50" t="s">
        <v>61</v>
      </c>
      <c r="Z45" s="50"/>
      <c r="AA45" s="10"/>
      <c r="AB45" s="10"/>
      <c r="AC45" s="10"/>
      <c r="AD45" s="10"/>
    </row>
    <row r="46" ht="15.75" customHeight="1">
      <c r="A46" s="50">
        <v>40.0</v>
      </c>
      <c r="B46" s="57" t="s">
        <v>1517</v>
      </c>
      <c r="C46" s="75" t="s">
        <v>1520</v>
      </c>
      <c r="D46" s="146">
        <v>45546.0</v>
      </c>
      <c r="E46" s="63">
        <v>45546.0</v>
      </c>
      <c r="F46" s="50">
        <v>6216.0</v>
      </c>
      <c r="G46" s="50" t="s">
        <v>42</v>
      </c>
      <c r="H46" s="50" t="s">
        <v>43</v>
      </c>
      <c r="I46" s="80" t="s">
        <v>1524</v>
      </c>
      <c r="J46" s="50" t="s">
        <v>1525</v>
      </c>
      <c r="K46" s="50" t="s">
        <v>47</v>
      </c>
      <c r="L46" s="50" t="s">
        <v>47</v>
      </c>
      <c r="M46" s="50" t="s">
        <v>1528</v>
      </c>
      <c r="N46" s="50" t="s">
        <v>50</v>
      </c>
      <c r="O46" s="50" t="s">
        <v>1532</v>
      </c>
      <c r="P46" s="50" t="s">
        <v>1535</v>
      </c>
      <c r="Q46" s="50" t="s">
        <v>1538</v>
      </c>
      <c r="R46" s="50">
        <v>9.5189256E8</v>
      </c>
      <c r="S46" s="196" t="s">
        <v>1544</v>
      </c>
      <c r="T46" s="50">
        <v>4.0</v>
      </c>
      <c r="U46" s="50">
        <v>0.0</v>
      </c>
      <c r="V46" s="50">
        <v>19.0</v>
      </c>
      <c r="W46" s="50">
        <v>0.0</v>
      </c>
      <c r="X46" s="50" t="s">
        <v>1553</v>
      </c>
      <c r="Y46" s="50" t="s">
        <v>61</v>
      </c>
      <c r="Z46" s="50"/>
      <c r="AA46" s="10"/>
      <c r="AB46" s="10"/>
      <c r="AC46" s="10"/>
      <c r="AD46" s="10"/>
    </row>
    <row r="47" ht="15.75" customHeight="1">
      <c r="A47" s="50">
        <v>41.0</v>
      </c>
      <c r="B47" s="57" t="s">
        <v>1557</v>
      </c>
      <c r="C47" s="75" t="s">
        <v>1560</v>
      </c>
      <c r="D47" s="146">
        <v>45551.0</v>
      </c>
      <c r="E47" s="63">
        <v>45553.0</v>
      </c>
      <c r="F47" s="50">
        <v>35125.0</v>
      </c>
      <c r="G47" s="50" t="s">
        <v>63</v>
      </c>
      <c r="H47" s="50" t="s">
        <v>1566</v>
      </c>
      <c r="I47" s="199" t="s">
        <v>1568</v>
      </c>
      <c r="J47" s="50" t="s">
        <v>1569</v>
      </c>
      <c r="K47" s="50" t="s">
        <v>1570</v>
      </c>
      <c r="L47" s="50" t="s">
        <v>1293</v>
      </c>
      <c r="M47" s="50" t="s">
        <v>1573</v>
      </c>
      <c r="N47" s="50" t="s">
        <v>50</v>
      </c>
      <c r="O47" s="50" t="s">
        <v>1575</v>
      </c>
      <c r="P47" s="50"/>
      <c r="Q47" s="50" t="s">
        <v>1576</v>
      </c>
      <c r="R47" s="50">
        <v>9.66648218E8</v>
      </c>
      <c r="S47" s="50" t="s">
        <v>1579</v>
      </c>
      <c r="T47" s="50">
        <v>1.0</v>
      </c>
      <c r="U47" s="50">
        <v>0.0</v>
      </c>
      <c r="V47" s="50">
        <v>6.0</v>
      </c>
      <c r="W47" s="50">
        <v>6.0</v>
      </c>
      <c r="X47" s="50" t="s">
        <v>1583</v>
      </c>
      <c r="Y47" s="50" t="s">
        <v>61</v>
      </c>
      <c r="Z47" s="50"/>
      <c r="AA47" s="10"/>
      <c r="AB47" s="10"/>
      <c r="AC47" s="10"/>
      <c r="AD47" s="10"/>
    </row>
    <row r="48" ht="15.75" customHeight="1">
      <c r="A48" s="50">
        <v>42.0</v>
      </c>
      <c r="B48" s="201" t="s">
        <v>1588</v>
      </c>
      <c r="C48" s="202" t="s">
        <v>1590</v>
      </c>
      <c r="D48" s="146">
        <v>45560.0</v>
      </c>
      <c r="E48" s="63">
        <v>45566.0</v>
      </c>
      <c r="F48" s="50">
        <v>9747.0</v>
      </c>
      <c r="G48" s="50" t="s">
        <v>63</v>
      </c>
      <c r="H48" s="50" t="s">
        <v>1604</v>
      </c>
      <c r="I48" s="80" t="s">
        <v>1606</v>
      </c>
      <c r="J48" s="50" t="s">
        <v>1609</v>
      </c>
      <c r="K48" s="50" t="s">
        <v>1319</v>
      </c>
      <c r="L48" s="50" t="s">
        <v>1319</v>
      </c>
      <c r="M48" s="50" t="s">
        <v>1612</v>
      </c>
      <c r="N48" s="50" t="s">
        <v>69</v>
      </c>
      <c r="O48" s="203" t="s">
        <v>1613</v>
      </c>
      <c r="P48" s="172" t="s">
        <v>1616</v>
      </c>
      <c r="Q48" s="16" t="s">
        <v>1618</v>
      </c>
      <c r="R48" s="50">
        <v>9.58638111E8</v>
      </c>
      <c r="S48" s="113" t="s">
        <v>1621</v>
      </c>
      <c r="T48" s="50">
        <v>1.0</v>
      </c>
      <c r="U48" s="50">
        <v>0.0</v>
      </c>
      <c r="V48" s="50">
        <v>4.0</v>
      </c>
      <c r="W48" s="50">
        <v>0.0</v>
      </c>
      <c r="X48" s="50" t="s">
        <v>1626</v>
      </c>
      <c r="Y48" s="50" t="s">
        <v>61</v>
      </c>
      <c r="Z48" s="50"/>
      <c r="AA48" s="10"/>
      <c r="AB48" s="10"/>
      <c r="AC48" s="10"/>
      <c r="AD48" s="10"/>
    </row>
    <row r="49" ht="15.75" customHeight="1">
      <c r="A49" s="50">
        <v>43.0</v>
      </c>
      <c r="B49" s="50" t="s">
        <v>1629</v>
      </c>
      <c r="C49" s="202" t="s">
        <v>1630</v>
      </c>
      <c r="D49" s="205">
        <v>45574.0</v>
      </c>
      <c r="E49" s="142">
        <v>45575.0</v>
      </c>
      <c r="F49" s="50">
        <v>6210.0</v>
      </c>
      <c r="G49" s="50" t="s">
        <v>42</v>
      </c>
      <c r="H49" s="50" t="s">
        <v>43</v>
      </c>
      <c r="I49" s="80" t="s">
        <v>1638</v>
      </c>
      <c r="J49" s="50" t="s">
        <v>1639</v>
      </c>
      <c r="K49" s="50" t="s">
        <v>47</v>
      </c>
      <c r="L49" s="50" t="s">
        <v>47</v>
      </c>
      <c r="M49" s="50" t="s">
        <v>1642</v>
      </c>
      <c r="N49" s="50" t="s">
        <v>50</v>
      </c>
      <c r="O49" s="50" t="s">
        <v>1643</v>
      </c>
      <c r="P49" s="50" t="s">
        <v>1645</v>
      </c>
      <c r="Q49" s="50" t="s">
        <v>1646</v>
      </c>
      <c r="R49" s="50">
        <v>9.99662448E8</v>
      </c>
      <c r="S49" s="50" t="s">
        <v>1649</v>
      </c>
      <c r="T49" s="50">
        <v>4.0</v>
      </c>
      <c r="U49" s="50">
        <v>1.0</v>
      </c>
      <c r="V49" s="50">
        <v>36.0</v>
      </c>
      <c r="W49" s="50">
        <v>3.0</v>
      </c>
      <c r="X49" s="50" t="s">
        <v>1654</v>
      </c>
      <c r="Y49" s="50" t="s">
        <v>61</v>
      </c>
      <c r="Z49" s="50"/>
      <c r="AA49" s="10"/>
      <c r="AB49" s="10"/>
      <c r="AC49" s="10"/>
      <c r="AD49" s="10"/>
    </row>
    <row r="50" ht="15.75" customHeight="1">
      <c r="A50" s="50">
        <v>44.0</v>
      </c>
      <c r="B50" s="50" t="s">
        <v>1657</v>
      </c>
      <c r="C50" s="202" t="s">
        <v>1658</v>
      </c>
      <c r="D50" s="205">
        <v>45574.0</v>
      </c>
      <c r="E50" s="142">
        <v>45576.0</v>
      </c>
      <c r="F50" s="50">
        <v>7634.0</v>
      </c>
      <c r="G50" s="50" t="s">
        <v>123</v>
      </c>
      <c r="H50" s="50" t="s">
        <v>153</v>
      </c>
      <c r="I50" s="80" t="s">
        <v>1666</v>
      </c>
      <c r="J50" s="50" t="s">
        <v>1668</v>
      </c>
      <c r="K50" s="50" t="s">
        <v>47</v>
      </c>
      <c r="L50" s="50" t="s">
        <v>47</v>
      </c>
      <c r="M50" s="50" t="s">
        <v>1671</v>
      </c>
      <c r="N50" s="50" t="s">
        <v>50</v>
      </c>
      <c r="O50" s="50" t="s">
        <v>1673</v>
      </c>
      <c r="P50" s="50" t="s">
        <v>1674</v>
      </c>
      <c r="Q50" s="50" t="s">
        <v>1676</v>
      </c>
      <c r="R50" s="50">
        <v>9.60254053E8</v>
      </c>
      <c r="S50" s="50" t="s">
        <v>1679</v>
      </c>
      <c r="T50" s="50">
        <v>1.0</v>
      </c>
      <c r="U50" s="50">
        <v>0.0</v>
      </c>
      <c r="V50" s="50">
        <v>14.0</v>
      </c>
      <c r="W50" s="50">
        <v>7.0</v>
      </c>
      <c r="X50" s="50" t="s">
        <v>1685</v>
      </c>
      <c r="Y50" s="50" t="s">
        <v>61</v>
      </c>
      <c r="Z50" s="50"/>
      <c r="AA50" s="10"/>
      <c r="AB50" s="10"/>
      <c r="AC50" s="10"/>
      <c r="AD50" s="10"/>
    </row>
    <row r="51" ht="15.75" customHeight="1">
      <c r="A51" s="50">
        <v>45.0</v>
      </c>
      <c r="B51" s="50" t="s">
        <v>1689</v>
      </c>
      <c r="C51" s="202" t="s">
        <v>1690</v>
      </c>
      <c r="D51" s="205">
        <v>45574.0</v>
      </c>
      <c r="E51" s="142">
        <v>45576.0</v>
      </c>
      <c r="F51" s="50">
        <v>7633.0</v>
      </c>
      <c r="G51" s="50" t="s">
        <v>123</v>
      </c>
      <c r="H51" s="50" t="s">
        <v>153</v>
      </c>
      <c r="I51" s="80" t="s">
        <v>1694</v>
      </c>
      <c r="J51" s="50" t="s">
        <v>322</v>
      </c>
      <c r="K51" s="50" t="s">
        <v>47</v>
      </c>
      <c r="L51" s="50" t="s">
        <v>47</v>
      </c>
      <c r="M51" s="50" t="s">
        <v>1696</v>
      </c>
      <c r="N51" s="50" t="s">
        <v>50</v>
      </c>
      <c r="O51" s="50" t="s">
        <v>1699</v>
      </c>
      <c r="P51" s="50"/>
      <c r="Q51" s="50" t="s">
        <v>1703</v>
      </c>
      <c r="R51" s="50">
        <v>9.57562639E8</v>
      </c>
      <c r="S51" s="50" t="s">
        <v>1706</v>
      </c>
      <c r="T51" s="50">
        <v>2.0</v>
      </c>
      <c r="U51" s="50">
        <v>0.0</v>
      </c>
      <c r="V51" s="50">
        <v>10.0</v>
      </c>
      <c r="W51" s="50">
        <v>0.0</v>
      </c>
      <c r="X51" s="50" t="s">
        <v>1712</v>
      </c>
      <c r="Y51" s="50" t="s">
        <v>1077</v>
      </c>
      <c r="Z51" s="50"/>
      <c r="AA51" s="10"/>
      <c r="AB51" s="10"/>
      <c r="AC51" s="10"/>
      <c r="AD51" s="10"/>
    </row>
    <row r="52" ht="18.0" customHeight="1">
      <c r="A52" s="50">
        <v>46.0</v>
      </c>
      <c r="B52" s="202" t="s">
        <v>1716</v>
      </c>
      <c r="C52" s="202" t="s">
        <v>1717</v>
      </c>
      <c r="D52" s="205">
        <v>45574.0</v>
      </c>
      <c r="E52" s="142">
        <v>45576.0</v>
      </c>
      <c r="F52" s="50">
        <v>8266.0</v>
      </c>
      <c r="G52" s="50" t="s">
        <v>123</v>
      </c>
      <c r="H52" s="50" t="s">
        <v>235</v>
      </c>
      <c r="I52" s="80" t="s">
        <v>1722</v>
      </c>
      <c r="J52" s="50" t="s">
        <v>876</v>
      </c>
      <c r="K52" s="50" t="s">
        <v>240</v>
      </c>
      <c r="L52" s="50" t="s">
        <v>240</v>
      </c>
      <c r="M52" s="14" t="s">
        <v>1728</v>
      </c>
      <c r="N52" s="50" t="s">
        <v>146</v>
      </c>
      <c r="O52" s="50" t="s">
        <v>1731</v>
      </c>
      <c r="P52" s="50"/>
      <c r="Q52" s="14" t="s">
        <v>1735</v>
      </c>
      <c r="R52" s="50">
        <v>9.98552174E8</v>
      </c>
      <c r="S52" s="50" t="s">
        <v>1738</v>
      </c>
      <c r="T52" s="50">
        <v>1.0</v>
      </c>
      <c r="U52" s="50">
        <v>0.0</v>
      </c>
      <c r="V52" s="50">
        <v>8.0</v>
      </c>
      <c r="W52" s="50">
        <v>0.0</v>
      </c>
      <c r="X52" s="50" t="s">
        <v>1742</v>
      </c>
      <c r="Y52" s="50" t="s">
        <v>61</v>
      </c>
      <c r="Z52" s="50"/>
      <c r="AA52" s="50"/>
      <c r="AB52" s="50"/>
      <c r="AC52" s="50"/>
      <c r="AD52" s="50"/>
    </row>
    <row r="53" ht="15.75" customHeight="1">
      <c r="A53" s="50">
        <v>47.0</v>
      </c>
      <c r="B53" s="202" t="s">
        <v>1745</v>
      </c>
      <c r="C53" s="202" t="s">
        <v>1748</v>
      </c>
      <c r="D53" s="212">
        <v>45582.0</v>
      </c>
      <c r="E53" s="142">
        <v>45586.0</v>
      </c>
      <c r="F53" s="50">
        <v>4131.0</v>
      </c>
      <c r="G53" s="50" t="s">
        <v>63</v>
      </c>
      <c r="H53" s="50" t="s">
        <v>1014</v>
      </c>
      <c r="I53" s="80" t="s">
        <v>1757</v>
      </c>
      <c r="J53" s="50" t="s">
        <v>1760</v>
      </c>
      <c r="K53" s="50" t="s">
        <v>1760</v>
      </c>
      <c r="L53" s="50" t="s">
        <v>1024</v>
      </c>
      <c r="M53" s="50" t="s">
        <v>1762</v>
      </c>
      <c r="N53" s="50" t="s">
        <v>50</v>
      </c>
      <c r="O53" s="50" t="s">
        <v>1765</v>
      </c>
      <c r="Q53" s="50" t="s">
        <v>1767</v>
      </c>
      <c r="R53" s="50" t="s">
        <v>1769</v>
      </c>
      <c r="S53" s="50" t="s">
        <v>1770</v>
      </c>
      <c r="T53" s="50">
        <v>1.0</v>
      </c>
      <c r="U53" s="50">
        <v>0.0</v>
      </c>
      <c r="V53" s="50">
        <v>1.0</v>
      </c>
      <c r="W53" s="50">
        <v>4.0</v>
      </c>
      <c r="X53" s="50" t="s">
        <v>1775</v>
      </c>
      <c r="Y53" s="50" t="s">
        <v>61</v>
      </c>
      <c r="Z53" s="50"/>
      <c r="AA53" s="10"/>
      <c r="AB53" s="10"/>
      <c r="AC53" s="10"/>
      <c r="AD53" s="10"/>
    </row>
    <row r="54" ht="15.75" customHeight="1">
      <c r="A54" s="50">
        <v>48.0</v>
      </c>
      <c r="B54" s="202" t="s">
        <v>1778</v>
      </c>
      <c r="C54" s="202" t="s">
        <v>1779</v>
      </c>
      <c r="D54" s="91">
        <v>45582.0</v>
      </c>
      <c r="E54" s="142">
        <v>45586.0</v>
      </c>
      <c r="F54" s="50">
        <v>16374.0</v>
      </c>
      <c r="G54" s="50" t="s">
        <v>63</v>
      </c>
      <c r="H54" s="50" t="s">
        <v>205</v>
      </c>
      <c r="I54" s="199" t="s">
        <v>1785</v>
      </c>
      <c r="J54" s="50" t="s">
        <v>210</v>
      </c>
      <c r="K54" s="50" t="s">
        <v>210</v>
      </c>
      <c r="L54" s="50" t="s">
        <v>210</v>
      </c>
      <c r="M54" s="50" t="s">
        <v>1790</v>
      </c>
      <c r="N54" s="50" t="s">
        <v>69</v>
      </c>
      <c r="O54" s="50" t="s">
        <v>1793</v>
      </c>
      <c r="P54" s="50"/>
      <c r="Q54" s="50" t="s">
        <v>1794</v>
      </c>
      <c r="R54" s="50">
        <v>9.5607207E8</v>
      </c>
      <c r="S54" s="50" t="s">
        <v>1796</v>
      </c>
      <c r="T54" s="50">
        <v>2.0</v>
      </c>
      <c r="U54" s="50">
        <v>0.0</v>
      </c>
      <c r="V54" s="50">
        <v>5.0</v>
      </c>
      <c r="W54" s="50">
        <v>0.0</v>
      </c>
      <c r="X54" s="50" t="s">
        <v>1799</v>
      </c>
      <c r="Y54" s="50" t="s">
        <v>61</v>
      </c>
      <c r="Z54" s="50"/>
      <c r="AA54" s="10"/>
      <c r="AB54" s="10"/>
      <c r="AC54" s="10"/>
      <c r="AD54" s="10"/>
    </row>
    <row r="55" ht="15.75" customHeight="1">
      <c r="A55" s="50">
        <v>49.0</v>
      </c>
      <c r="B55" s="202" t="s">
        <v>1804</v>
      </c>
      <c r="C55" s="202" t="s">
        <v>1805</v>
      </c>
      <c r="D55" s="166">
        <v>45617.0</v>
      </c>
      <c r="E55" s="142">
        <v>45624.0</v>
      </c>
      <c r="F55" s="50">
        <v>15230.0</v>
      </c>
      <c r="G55" s="50" t="s">
        <v>123</v>
      </c>
      <c r="H55" s="50" t="s">
        <v>603</v>
      </c>
      <c r="I55" s="80" t="s">
        <v>1812</v>
      </c>
      <c r="J55" s="50" t="s">
        <v>1815</v>
      </c>
      <c r="K55" s="50" t="s">
        <v>610</v>
      </c>
      <c r="L55" s="50" t="s">
        <v>610</v>
      </c>
      <c r="M55" s="50" t="s">
        <v>1819</v>
      </c>
      <c r="N55" s="50" t="s">
        <v>69</v>
      </c>
      <c r="O55" s="50" t="s">
        <v>1821</v>
      </c>
      <c r="P55" s="50"/>
      <c r="Q55" s="50" t="s">
        <v>1824</v>
      </c>
      <c r="R55" s="50">
        <v>9.57235484E8</v>
      </c>
      <c r="S55" s="50" t="s">
        <v>1825</v>
      </c>
      <c r="T55" s="50">
        <v>2.0</v>
      </c>
      <c r="U55" s="50">
        <v>0.0</v>
      </c>
      <c r="V55" s="50">
        <v>0.0</v>
      </c>
      <c r="W55" s="50">
        <v>7.0</v>
      </c>
      <c r="X55" s="16" t="s">
        <v>1828</v>
      </c>
      <c r="Y55" s="50" t="s">
        <v>61</v>
      </c>
      <c r="Z55" s="50"/>
      <c r="AA55" s="10"/>
      <c r="AB55" s="10"/>
      <c r="AC55" s="10"/>
      <c r="AD55" s="10"/>
    </row>
    <row r="56" ht="15.75" customHeight="1">
      <c r="A56" s="50">
        <v>50.0</v>
      </c>
      <c r="B56" s="14" t="s">
        <v>1835</v>
      </c>
      <c r="C56" s="202" t="s">
        <v>1837</v>
      </c>
      <c r="D56" s="166">
        <v>45604.0</v>
      </c>
      <c r="E56" s="68">
        <v>45614.0</v>
      </c>
      <c r="F56" s="14">
        <v>308.0</v>
      </c>
      <c r="G56" s="14" t="s">
        <v>63</v>
      </c>
      <c r="H56" s="14" t="s">
        <v>173</v>
      </c>
      <c r="I56" s="168" t="s">
        <v>1845</v>
      </c>
      <c r="J56" s="14" t="s">
        <v>177</v>
      </c>
      <c r="K56" s="14" t="s">
        <v>177</v>
      </c>
      <c r="L56" s="14" t="s">
        <v>179</v>
      </c>
      <c r="M56" s="14" t="s">
        <v>1849</v>
      </c>
      <c r="N56" s="50" t="s">
        <v>50</v>
      </c>
      <c r="O56" s="14" t="s">
        <v>1851</v>
      </c>
      <c r="P56" s="14" t="s">
        <v>1853</v>
      </c>
      <c r="Q56" s="14" t="s">
        <v>1854</v>
      </c>
      <c r="R56" s="14"/>
      <c r="S56" s="14" t="s">
        <v>1856</v>
      </c>
      <c r="T56" s="14">
        <v>1.0</v>
      </c>
      <c r="U56" s="14">
        <v>1.0</v>
      </c>
      <c r="V56" s="14">
        <v>5.0</v>
      </c>
      <c r="W56" s="14">
        <v>1.0</v>
      </c>
      <c r="X56" s="50" t="s">
        <v>1861</v>
      </c>
      <c r="Y56" s="50" t="s">
        <v>61</v>
      </c>
      <c r="Z56" s="14"/>
      <c r="AA56" s="214"/>
      <c r="AB56" s="214"/>
      <c r="AC56" s="214"/>
      <c r="AD56" s="214"/>
    </row>
    <row r="57" ht="15.75" customHeight="1">
      <c r="A57" s="50">
        <v>51.0</v>
      </c>
      <c r="B57" s="14" t="s">
        <v>1864</v>
      </c>
      <c r="C57" s="202" t="s">
        <v>1866</v>
      </c>
      <c r="D57" s="166">
        <v>45604.0</v>
      </c>
      <c r="E57" s="68">
        <v>45614.0</v>
      </c>
      <c r="F57" s="14">
        <v>5195.0</v>
      </c>
      <c r="G57" s="14" t="s">
        <v>123</v>
      </c>
      <c r="H57" s="14" t="s">
        <v>85</v>
      </c>
      <c r="I57" s="168" t="s">
        <v>491</v>
      </c>
      <c r="J57" s="14" t="s">
        <v>125</v>
      </c>
      <c r="K57" s="14" t="s">
        <v>125</v>
      </c>
      <c r="L57" s="14" t="s">
        <v>88</v>
      </c>
      <c r="M57" s="14" t="s">
        <v>1877</v>
      </c>
      <c r="N57" s="50" t="s">
        <v>50</v>
      </c>
      <c r="O57" s="14" t="s">
        <v>1881</v>
      </c>
      <c r="P57" s="14"/>
      <c r="Q57" s="14" t="s">
        <v>1882</v>
      </c>
      <c r="R57" s="14">
        <v>9.52247147E8</v>
      </c>
      <c r="S57" s="14" t="s">
        <v>1884</v>
      </c>
      <c r="T57" s="14">
        <v>1.0</v>
      </c>
      <c r="U57" s="14">
        <v>7.0</v>
      </c>
      <c r="V57" s="14">
        <v>1.0</v>
      </c>
      <c r="W57" s="14">
        <v>0.0</v>
      </c>
      <c r="X57" s="216" t="s">
        <v>1888</v>
      </c>
      <c r="Y57" s="50" t="s">
        <v>61</v>
      </c>
      <c r="Z57" s="14"/>
      <c r="AA57" s="10"/>
      <c r="AB57" s="10"/>
      <c r="AC57" s="10"/>
      <c r="AD57" s="10"/>
    </row>
    <row r="58" ht="15.75" customHeight="1">
      <c r="A58" s="50">
        <v>52.0</v>
      </c>
      <c r="B58" s="50" t="s">
        <v>1892</v>
      </c>
      <c r="C58" s="50" t="s">
        <v>1893</v>
      </c>
      <c r="D58" s="166">
        <v>45625.0</v>
      </c>
      <c r="E58" s="142">
        <v>45638.0</v>
      </c>
      <c r="F58" s="50">
        <v>20686.0</v>
      </c>
      <c r="G58" s="57" t="s">
        <v>1899</v>
      </c>
      <c r="H58" s="50" t="s">
        <v>1901</v>
      </c>
      <c r="I58" s="80" t="s">
        <v>537</v>
      </c>
      <c r="J58" s="50" t="s">
        <v>509</v>
      </c>
      <c r="K58" s="50" t="s">
        <v>322</v>
      </c>
      <c r="L58" s="50" t="s">
        <v>322</v>
      </c>
      <c r="M58" s="50" t="s">
        <v>1908</v>
      </c>
      <c r="N58" s="50" t="s">
        <v>50</v>
      </c>
      <c r="O58" s="50" t="s">
        <v>1909</v>
      </c>
      <c r="P58" s="50" t="s">
        <v>1910</v>
      </c>
      <c r="Q58" s="50" t="s">
        <v>1911</v>
      </c>
      <c r="R58" s="50" t="s">
        <v>1914</v>
      </c>
      <c r="S58" s="50" t="s">
        <v>1916</v>
      </c>
      <c r="T58" s="50">
        <v>3.0</v>
      </c>
      <c r="U58" s="50">
        <v>2.0</v>
      </c>
      <c r="V58" s="50">
        <v>9.0</v>
      </c>
      <c r="W58" s="50">
        <v>0.0</v>
      </c>
      <c r="X58" s="217" t="s">
        <v>1919</v>
      </c>
      <c r="Y58" s="50" t="s">
        <v>61</v>
      </c>
      <c r="Z58" s="50"/>
      <c r="AA58" s="10"/>
      <c r="AB58" s="10"/>
      <c r="AC58" s="10"/>
      <c r="AD58" s="10"/>
    </row>
    <row r="59" ht="15.75" customHeight="1">
      <c r="A59" s="50">
        <v>53.0</v>
      </c>
      <c r="B59" s="50" t="s">
        <v>1935</v>
      </c>
      <c r="C59" s="50" t="s">
        <v>1937</v>
      </c>
      <c r="D59" s="141">
        <v>45621.0</v>
      </c>
      <c r="E59" s="142">
        <v>45624.0</v>
      </c>
      <c r="F59" s="50">
        <v>2084.0</v>
      </c>
      <c r="G59" s="50" t="s">
        <v>63</v>
      </c>
      <c r="H59" s="50" t="s">
        <v>603</v>
      </c>
      <c r="I59" s="80" t="s">
        <v>1941</v>
      </c>
      <c r="J59" s="50" t="s">
        <v>1943</v>
      </c>
      <c r="K59" s="50" t="s">
        <v>610</v>
      </c>
      <c r="L59" s="50" t="s">
        <v>610</v>
      </c>
      <c r="M59" s="10" t="s">
        <v>1946</v>
      </c>
      <c r="N59" s="50" t="s">
        <v>50</v>
      </c>
      <c r="O59" s="50" t="s">
        <v>1949</v>
      </c>
      <c r="P59" s="50" t="s">
        <v>1951</v>
      </c>
      <c r="Q59" s="50" t="s">
        <v>1953</v>
      </c>
      <c r="R59" s="50">
        <v>9.65162804E8</v>
      </c>
      <c r="S59" s="50" t="s">
        <v>1957</v>
      </c>
      <c r="T59" s="50">
        <v>2.0</v>
      </c>
      <c r="U59" s="50">
        <v>1.0</v>
      </c>
      <c r="V59" s="50">
        <v>12.0</v>
      </c>
      <c r="W59" s="50"/>
      <c r="X59" s="16" t="s">
        <v>1960</v>
      </c>
      <c r="Y59" s="50" t="s">
        <v>61</v>
      </c>
      <c r="Z59" s="50"/>
      <c r="AA59" s="10"/>
      <c r="AB59" s="10"/>
      <c r="AC59" s="10"/>
      <c r="AD59" s="10"/>
    </row>
    <row r="60" ht="15.75" customHeight="1">
      <c r="A60" s="50">
        <v>54.0</v>
      </c>
      <c r="B60" s="50" t="s">
        <v>1967</v>
      </c>
      <c r="C60" s="50" t="s">
        <v>1969</v>
      </c>
      <c r="D60" s="166">
        <v>45628.0</v>
      </c>
      <c r="E60" s="63">
        <v>45631.0</v>
      </c>
      <c r="F60" s="50">
        <v>3299.0</v>
      </c>
      <c r="G60" s="50" t="s">
        <v>63</v>
      </c>
      <c r="H60" s="50" t="s">
        <v>1974</v>
      </c>
      <c r="I60" s="80" t="s">
        <v>1976</v>
      </c>
      <c r="J60" s="50" t="s">
        <v>1978</v>
      </c>
      <c r="K60" s="50" t="s">
        <v>1980</v>
      </c>
      <c r="L60" s="50" t="s">
        <v>1222</v>
      </c>
      <c r="M60" s="50" t="s">
        <v>1982</v>
      </c>
      <c r="N60" s="50" t="s">
        <v>50</v>
      </c>
      <c r="O60" s="50" t="s">
        <v>1984</v>
      </c>
      <c r="P60" s="50" t="s">
        <v>1986</v>
      </c>
      <c r="Q60" s="50" t="s">
        <v>1987</v>
      </c>
      <c r="R60" s="50" t="s">
        <v>1988</v>
      </c>
      <c r="S60" s="219" t="s">
        <v>1990</v>
      </c>
      <c r="T60" s="50">
        <v>1.0</v>
      </c>
      <c r="U60" s="50">
        <v>0.0</v>
      </c>
      <c r="V60" s="50">
        <v>1.0</v>
      </c>
      <c r="W60" s="113">
        <v>4.0</v>
      </c>
      <c r="X60" s="50" t="s">
        <v>1999</v>
      </c>
      <c r="Y60" s="50" t="s">
        <v>61</v>
      </c>
      <c r="Z60" s="50"/>
      <c r="AA60" s="10"/>
      <c r="AB60" s="10"/>
      <c r="AC60" s="10"/>
      <c r="AD60" s="10"/>
    </row>
    <row r="61" ht="15.75" customHeight="1">
      <c r="A61" s="50">
        <v>55.0</v>
      </c>
      <c r="B61" s="138" t="s">
        <v>2002</v>
      </c>
      <c r="C61" s="50" t="s">
        <v>2003</v>
      </c>
      <c r="D61" s="166">
        <v>45625.0</v>
      </c>
      <c r="E61" s="63">
        <v>45631.0</v>
      </c>
      <c r="F61" s="50">
        <v>9600.0</v>
      </c>
      <c r="G61" s="50" t="s">
        <v>63</v>
      </c>
      <c r="H61" s="50" t="s">
        <v>1234</v>
      </c>
      <c r="I61" s="168" t="s">
        <v>2007</v>
      </c>
      <c r="J61" s="50" t="s">
        <v>1238</v>
      </c>
      <c r="K61" s="50" t="s">
        <v>1240</v>
      </c>
      <c r="L61" s="50" t="s">
        <v>1103</v>
      </c>
      <c r="M61" s="16" t="s">
        <v>2012</v>
      </c>
      <c r="N61" s="50" t="s">
        <v>69</v>
      </c>
      <c r="O61" s="50" t="s">
        <v>2015</v>
      </c>
      <c r="P61" s="50" t="s">
        <v>2017</v>
      </c>
      <c r="Q61" s="50" t="s">
        <v>2020</v>
      </c>
      <c r="R61" s="50">
        <v>9.53935675E8</v>
      </c>
      <c r="S61" s="14" t="s">
        <v>2022</v>
      </c>
      <c r="T61" s="50">
        <v>1.0</v>
      </c>
      <c r="U61" s="50">
        <v>0.0</v>
      </c>
      <c r="V61" s="50">
        <v>6.0</v>
      </c>
      <c r="W61" s="50">
        <v>0.0</v>
      </c>
      <c r="X61" s="10" t="s">
        <v>2026</v>
      </c>
      <c r="Y61" s="50" t="s">
        <v>61</v>
      </c>
      <c r="Z61" s="50"/>
      <c r="AA61" s="10"/>
      <c r="AB61" s="10"/>
      <c r="AC61" s="10"/>
      <c r="AD61" s="10"/>
    </row>
    <row r="62" ht="15.75" customHeight="1">
      <c r="A62" s="50">
        <v>56.0</v>
      </c>
      <c r="B62" s="50" t="s">
        <v>2031</v>
      </c>
      <c r="C62" s="75" t="s">
        <v>2032</v>
      </c>
      <c r="D62" s="91">
        <v>45645.0</v>
      </c>
      <c r="E62" s="63">
        <v>45685.0</v>
      </c>
      <c r="F62" s="50">
        <v>1910.0</v>
      </c>
      <c r="G62" s="50" t="s">
        <v>63</v>
      </c>
      <c r="H62" s="50" t="s">
        <v>603</v>
      </c>
      <c r="I62" s="80" t="s">
        <v>2037</v>
      </c>
      <c r="J62" s="50" t="s">
        <v>2038</v>
      </c>
      <c r="K62" s="50" t="s">
        <v>610</v>
      </c>
      <c r="L62" s="50" t="s">
        <v>610</v>
      </c>
      <c r="M62" s="50" t="s">
        <v>2045</v>
      </c>
      <c r="N62" s="50" t="s">
        <v>50</v>
      </c>
      <c r="O62" s="50" t="s">
        <v>2047</v>
      </c>
      <c r="P62" s="50" t="s">
        <v>2050</v>
      </c>
      <c r="Q62" s="50"/>
      <c r="R62" s="50"/>
      <c r="S62" s="223" t="s">
        <v>2052</v>
      </c>
      <c r="T62" s="50">
        <v>1.0</v>
      </c>
      <c r="U62" s="50">
        <v>2.0</v>
      </c>
      <c r="V62" s="50">
        <v>8.0</v>
      </c>
      <c r="W62" s="50"/>
      <c r="X62" s="50" t="s">
        <v>2057</v>
      </c>
      <c r="Y62" s="50" t="s">
        <v>61</v>
      </c>
      <c r="Z62" s="50"/>
      <c r="AA62" s="10"/>
      <c r="AB62" s="10"/>
      <c r="AC62" s="10"/>
      <c r="AD62" s="10"/>
    </row>
    <row r="63" ht="15.75" customHeight="1">
      <c r="A63" s="50">
        <v>57.0</v>
      </c>
      <c r="B63" s="50" t="s">
        <v>2062</v>
      </c>
      <c r="C63" s="75" t="s">
        <v>2063</v>
      </c>
      <c r="D63" s="91">
        <v>45645.0</v>
      </c>
      <c r="E63" s="63">
        <v>45674.0</v>
      </c>
      <c r="F63" s="50">
        <v>17077.0</v>
      </c>
      <c r="G63" s="50" t="s">
        <v>63</v>
      </c>
      <c r="H63" s="50" t="s">
        <v>1956</v>
      </c>
      <c r="I63" s="80" t="s">
        <v>2070</v>
      </c>
      <c r="J63" s="50" t="s">
        <v>1191</v>
      </c>
      <c r="K63" s="50" t="s">
        <v>1191</v>
      </c>
      <c r="L63" s="50" t="s">
        <v>1191</v>
      </c>
      <c r="M63" s="50" t="s">
        <v>2073</v>
      </c>
      <c r="N63" s="50" t="s">
        <v>50</v>
      </c>
      <c r="O63" s="50" t="s">
        <v>2077</v>
      </c>
      <c r="P63" s="50" t="s">
        <v>2078</v>
      </c>
      <c r="Q63" s="50" t="s">
        <v>2080</v>
      </c>
      <c r="R63" s="50">
        <v>9.12066247E8</v>
      </c>
      <c r="S63" s="224" t="s">
        <v>2081</v>
      </c>
      <c r="T63" s="50">
        <v>1.0</v>
      </c>
      <c r="U63" s="50">
        <v>0.0</v>
      </c>
      <c r="V63" s="50">
        <v>4.0</v>
      </c>
      <c r="W63" s="50">
        <v>0.0</v>
      </c>
      <c r="X63" s="50" t="s">
        <v>2089</v>
      </c>
      <c r="Y63" s="50" t="s">
        <v>61</v>
      </c>
      <c r="Z63" s="50"/>
      <c r="AA63" s="10"/>
      <c r="AB63" s="10"/>
      <c r="AC63" s="10"/>
      <c r="AD63" s="10"/>
    </row>
    <row r="64" ht="15.75" customHeight="1">
      <c r="A64" s="50">
        <v>58.0</v>
      </c>
      <c r="B64" s="50" t="s">
        <v>2094</v>
      </c>
      <c r="C64" s="75" t="s">
        <v>2097</v>
      </c>
      <c r="D64" s="91">
        <v>45653.0</v>
      </c>
      <c r="E64" s="63">
        <v>45663.0</v>
      </c>
      <c r="F64" s="50">
        <v>1231.0</v>
      </c>
      <c r="G64" s="50" t="s">
        <v>123</v>
      </c>
      <c r="H64" s="50" t="s">
        <v>2102</v>
      </c>
      <c r="I64" s="80" t="s">
        <v>2103</v>
      </c>
      <c r="J64" s="50" t="s">
        <v>142</v>
      </c>
      <c r="K64" s="50" t="s">
        <v>142</v>
      </c>
      <c r="L64" s="50" t="s">
        <v>142</v>
      </c>
      <c r="M64" s="10" t="s">
        <v>2105</v>
      </c>
      <c r="N64" s="50" t="s">
        <v>50</v>
      </c>
      <c r="O64" s="50" t="s">
        <v>2106</v>
      </c>
      <c r="P64" s="50" t="s">
        <v>2107</v>
      </c>
      <c r="Q64" s="50" t="s">
        <v>2109</v>
      </c>
      <c r="R64" s="50">
        <v>9.91994075E8</v>
      </c>
      <c r="S64" s="224" t="s">
        <v>2111</v>
      </c>
      <c r="T64" s="50">
        <v>1.0</v>
      </c>
      <c r="U64" s="50">
        <v>0.0</v>
      </c>
      <c r="V64" s="50">
        <v>1.0</v>
      </c>
      <c r="W64" s="50">
        <v>5.0</v>
      </c>
      <c r="X64" s="10" t="s">
        <v>2114</v>
      </c>
      <c r="Y64" s="50"/>
      <c r="Z64" s="50"/>
      <c r="AA64" s="10"/>
      <c r="AB64" s="10"/>
      <c r="AC64" s="10"/>
      <c r="AD64" s="10"/>
    </row>
    <row r="65" ht="15.75" customHeight="1">
      <c r="A65" s="50">
        <v>59.0</v>
      </c>
      <c r="B65" s="50" t="s">
        <v>2118</v>
      </c>
      <c r="C65" s="50" t="s">
        <v>2120</v>
      </c>
      <c r="D65" s="166">
        <v>45664.0</v>
      </c>
      <c r="E65" s="63">
        <v>45666.0</v>
      </c>
      <c r="F65" s="50">
        <v>2864.0</v>
      </c>
      <c r="G65" s="50" t="s">
        <v>63</v>
      </c>
      <c r="H65" s="50" t="s">
        <v>697</v>
      </c>
      <c r="I65" s="80" t="s">
        <v>2126</v>
      </c>
      <c r="J65" s="50" t="s">
        <v>718</v>
      </c>
      <c r="K65" s="50" t="s">
        <v>715</v>
      </c>
      <c r="L65" s="50" t="s">
        <v>718</v>
      </c>
      <c r="M65" s="50" t="s">
        <v>2129</v>
      </c>
      <c r="N65" s="50" t="s">
        <v>50</v>
      </c>
      <c r="O65" s="50" t="s">
        <v>2130</v>
      </c>
      <c r="P65" s="50"/>
      <c r="Q65" s="50" t="s">
        <v>2133</v>
      </c>
      <c r="R65" s="50" t="s">
        <v>2134</v>
      </c>
      <c r="S65" s="226" t="s">
        <v>2136</v>
      </c>
      <c r="T65" s="50">
        <v>2.0</v>
      </c>
      <c r="U65" s="50">
        <v>0.0</v>
      </c>
      <c r="V65" s="50">
        <v>1.0</v>
      </c>
      <c r="W65" s="50">
        <v>4.0</v>
      </c>
      <c r="X65" s="50" t="s">
        <v>2142</v>
      </c>
      <c r="Y65" s="50"/>
      <c r="Z65" s="50"/>
      <c r="AA65" s="10"/>
      <c r="AB65" s="10"/>
      <c r="AC65" s="10"/>
      <c r="AD65" s="10"/>
    </row>
    <row r="66" ht="15.75" customHeight="1">
      <c r="A66" s="50">
        <v>60.0</v>
      </c>
      <c r="B66" s="50" t="s">
        <v>2150</v>
      </c>
      <c r="C66" s="113" t="s">
        <v>2153</v>
      </c>
      <c r="D66" s="166">
        <v>45674.0</v>
      </c>
      <c r="E66" s="63">
        <v>45678.0</v>
      </c>
      <c r="F66" s="50">
        <v>11470.0</v>
      </c>
      <c r="G66" s="50" t="s">
        <v>123</v>
      </c>
      <c r="H66" s="50" t="s">
        <v>273</v>
      </c>
      <c r="I66" s="80" t="s">
        <v>2159</v>
      </c>
      <c r="J66" s="50" t="s">
        <v>277</v>
      </c>
      <c r="K66" s="50" t="s">
        <v>277</v>
      </c>
      <c r="L66" s="50" t="s">
        <v>281</v>
      </c>
      <c r="M66" s="50" t="s">
        <v>2161</v>
      </c>
      <c r="N66" s="50" t="s">
        <v>50</v>
      </c>
      <c r="O66" s="50" t="s">
        <v>2164</v>
      </c>
      <c r="P66" s="50" t="s">
        <v>2166</v>
      </c>
      <c r="Q66" s="50" t="s">
        <v>2169</v>
      </c>
      <c r="R66" s="50">
        <v>9.3391322E8</v>
      </c>
      <c r="S66" s="224" t="s">
        <v>2171</v>
      </c>
      <c r="T66" s="50">
        <v>2.0</v>
      </c>
      <c r="U66" s="50">
        <v>2.0</v>
      </c>
      <c r="V66" s="50">
        <v>12.0</v>
      </c>
      <c r="W66" s="50">
        <v>0.0</v>
      </c>
      <c r="X66" s="50" t="s">
        <v>2174</v>
      </c>
      <c r="Y66" s="50" t="s">
        <v>61</v>
      </c>
      <c r="Z66" s="50"/>
      <c r="AA66" s="10"/>
      <c r="AB66" s="10"/>
      <c r="AC66" s="10"/>
      <c r="AD66" s="10"/>
    </row>
    <row r="67" ht="15.75" customHeight="1">
      <c r="A67" s="50">
        <v>61.0</v>
      </c>
      <c r="B67" s="50" t="s">
        <v>2177</v>
      </c>
      <c r="C67" s="50" t="s">
        <v>2180</v>
      </c>
      <c r="D67" s="166">
        <v>45688.0</v>
      </c>
      <c r="E67" s="63">
        <v>45693.0</v>
      </c>
      <c r="F67" s="50">
        <v>9123.0</v>
      </c>
      <c r="G67" s="50" t="s">
        <v>63</v>
      </c>
      <c r="H67" s="50" t="s">
        <v>172</v>
      </c>
      <c r="I67" s="80" t="s">
        <v>2187</v>
      </c>
      <c r="J67" s="50" t="s">
        <v>126</v>
      </c>
      <c r="K67" s="50" t="s">
        <v>47</v>
      </c>
      <c r="L67" s="50" t="s">
        <v>47</v>
      </c>
      <c r="M67" s="50" t="s">
        <v>2189</v>
      </c>
      <c r="N67" s="50" t="s">
        <v>32</v>
      </c>
      <c r="O67" s="228" t="s">
        <v>2192</v>
      </c>
      <c r="P67" s="50" t="s">
        <v>2196</v>
      </c>
      <c r="Q67" s="228" t="s">
        <v>2198</v>
      </c>
      <c r="R67" s="50">
        <v>9.81839312E8</v>
      </c>
      <c r="S67" s="224" t="s">
        <v>2199</v>
      </c>
      <c r="T67" s="50">
        <v>1.0</v>
      </c>
      <c r="U67" s="50">
        <v>0.0</v>
      </c>
      <c r="V67" s="50">
        <v>2.0</v>
      </c>
      <c r="W67" s="50">
        <v>2.0</v>
      </c>
      <c r="X67" s="50" t="s">
        <v>2201</v>
      </c>
      <c r="Y67" s="50" t="s">
        <v>2202</v>
      </c>
      <c r="Z67" s="50"/>
      <c r="AA67" s="10"/>
      <c r="AB67" s="10"/>
      <c r="AC67" s="10"/>
      <c r="AD67" s="10"/>
    </row>
    <row r="68" ht="15.75" customHeight="1">
      <c r="A68" s="50">
        <v>62.0</v>
      </c>
      <c r="B68" s="50" t="s">
        <v>2206</v>
      </c>
      <c r="C68" s="50" t="s">
        <v>2208</v>
      </c>
      <c r="D68" s="166">
        <v>45694.0</v>
      </c>
      <c r="E68" s="63">
        <v>45695.0</v>
      </c>
      <c r="F68" s="50">
        <v>17024.0</v>
      </c>
      <c r="G68" s="50" t="s">
        <v>123</v>
      </c>
      <c r="H68" s="50" t="s">
        <v>43</v>
      </c>
      <c r="I68" s="80" t="s">
        <v>2211</v>
      </c>
      <c r="J68" s="50" t="s">
        <v>2212</v>
      </c>
      <c r="K68" s="50" t="s">
        <v>47</v>
      </c>
      <c r="L68" s="50" t="s">
        <v>47</v>
      </c>
      <c r="M68" s="50" t="s">
        <v>2216</v>
      </c>
      <c r="N68" s="50" t="s">
        <v>146</v>
      </c>
      <c r="O68" s="50" t="s">
        <v>2218</v>
      </c>
      <c r="P68" s="50" t="s">
        <v>2220</v>
      </c>
      <c r="Q68" s="50" t="s">
        <v>2221</v>
      </c>
      <c r="R68" s="50" t="s">
        <v>2224</v>
      </c>
      <c r="S68" s="233" t="s">
        <v>2226</v>
      </c>
      <c r="T68" s="50">
        <v>3.0</v>
      </c>
      <c r="U68" s="50">
        <v>2.0</v>
      </c>
      <c r="V68" s="50">
        <v>7.0</v>
      </c>
      <c r="W68" s="50">
        <v>0.0</v>
      </c>
      <c r="X68" s="217" t="s">
        <v>2229</v>
      </c>
      <c r="Y68" s="50" t="s">
        <v>61</v>
      </c>
      <c r="Z68" s="50"/>
      <c r="AA68" s="10"/>
      <c r="AB68" s="10"/>
      <c r="AC68" s="10"/>
      <c r="AD68" s="10"/>
    </row>
    <row r="69" ht="18.75" customHeight="1">
      <c r="A69" s="103">
        <v>63.0</v>
      </c>
      <c r="B69" s="103" t="s">
        <v>2235</v>
      </c>
      <c r="C69" s="103" t="s">
        <v>2236</v>
      </c>
      <c r="D69" s="234">
        <v>45691.0</v>
      </c>
      <c r="E69" s="102">
        <v>45693.0</v>
      </c>
      <c r="F69" s="103">
        <v>8325.0</v>
      </c>
      <c r="G69" s="103" t="s">
        <v>63</v>
      </c>
      <c r="H69" s="103" t="s">
        <v>43</v>
      </c>
      <c r="I69" s="118" t="s">
        <v>2241</v>
      </c>
      <c r="J69" s="103" t="s">
        <v>437</v>
      </c>
      <c r="K69" s="103" t="s">
        <v>47</v>
      </c>
      <c r="L69" s="103"/>
      <c r="M69" s="103" t="s">
        <v>2246</v>
      </c>
      <c r="N69" s="103"/>
      <c r="O69" s="103" t="s">
        <v>2248</v>
      </c>
      <c r="P69" s="103"/>
      <c r="Q69" s="103" t="s">
        <v>2251</v>
      </c>
      <c r="R69" s="103">
        <v>9.44756439E8</v>
      </c>
      <c r="S69" s="235" t="s">
        <v>2253</v>
      </c>
      <c r="T69" s="103">
        <v>1.0</v>
      </c>
      <c r="U69" s="103">
        <v>0.0</v>
      </c>
      <c r="V69" s="103">
        <v>7.0</v>
      </c>
      <c r="W69" s="103">
        <v>0.0</v>
      </c>
      <c r="X69" s="103" t="s">
        <v>2261</v>
      </c>
      <c r="Y69" s="103" t="s">
        <v>2262</v>
      </c>
      <c r="Z69" s="103"/>
      <c r="AA69" s="236"/>
      <c r="AB69" s="236"/>
      <c r="AC69" s="236"/>
      <c r="AD69" s="236"/>
    </row>
    <row r="70" ht="15.75" customHeight="1">
      <c r="A70" s="57">
        <v>64.0</v>
      </c>
      <c r="B70" s="50" t="s">
        <v>2268</v>
      </c>
      <c r="C70" s="50" t="s">
        <v>2270</v>
      </c>
      <c r="D70" s="166">
        <v>45734.0</v>
      </c>
      <c r="E70" s="63">
        <v>45735.0</v>
      </c>
      <c r="F70" s="50">
        <v>210.0</v>
      </c>
      <c r="G70" s="50" t="s">
        <v>63</v>
      </c>
      <c r="H70" s="50" t="s">
        <v>2273</v>
      </c>
      <c r="I70" s="198" t="s">
        <v>2275</v>
      </c>
      <c r="J70" s="50" t="s">
        <v>2277</v>
      </c>
      <c r="K70" s="50" t="s">
        <v>2279</v>
      </c>
      <c r="L70" s="50" t="s">
        <v>1003</v>
      </c>
      <c r="M70" s="50" t="s">
        <v>2282</v>
      </c>
      <c r="N70" s="50" t="s">
        <v>50</v>
      </c>
      <c r="O70" s="50" t="s">
        <v>2289</v>
      </c>
      <c r="P70" s="50" t="s">
        <v>2291</v>
      </c>
      <c r="Q70" s="50" t="s">
        <v>2292</v>
      </c>
      <c r="R70" s="50" t="s">
        <v>2294</v>
      </c>
      <c r="S70" s="233" t="s">
        <v>2295</v>
      </c>
      <c r="T70" s="50">
        <v>1.0</v>
      </c>
      <c r="U70" s="50">
        <v>0.0</v>
      </c>
      <c r="V70" s="50">
        <v>6.0</v>
      </c>
      <c r="W70" s="50">
        <v>0.0</v>
      </c>
      <c r="X70" s="50" t="s">
        <v>2297</v>
      </c>
      <c r="Y70" s="50"/>
      <c r="Z70" s="50"/>
      <c r="AA70" s="10"/>
      <c r="AB70" s="10"/>
      <c r="AC70" s="10"/>
      <c r="AD70" s="10"/>
    </row>
    <row r="71" ht="15.75" customHeight="1">
      <c r="A71" s="50">
        <v>65.0</v>
      </c>
      <c r="B71" s="50" t="s">
        <v>2303</v>
      </c>
      <c r="C71" s="50" t="s">
        <v>2305</v>
      </c>
      <c r="D71" s="160">
        <v>45756.0</v>
      </c>
      <c r="E71" s="63">
        <v>45761.0</v>
      </c>
      <c r="F71" s="50">
        <v>7277.0</v>
      </c>
      <c r="G71" s="50" t="s">
        <v>42</v>
      </c>
      <c r="H71" s="50" t="s">
        <v>85</v>
      </c>
      <c r="I71" s="80" t="s">
        <v>2307</v>
      </c>
      <c r="J71" s="50" t="s">
        <v>272</v>
      </c>
      <c r="K71" s="50" t="s">
        <v>125</v>
      </c>
      <c r="L71" s="50" t="s">
        <v>88</v>
      </c>
      <c r="M71" s="50" t="s">
        <v>2313</v>
      </c>
      <c r="N71" s="50" t="s">
        <v>50</v>
      </c>
      <c r="O71" s="50" t="s">
        <v>2316</v>
      </c>
      <c r="P71" s="50" t="s">
        <v>2319</v>
      </c>
      <c r="Q71" s="113" t="s">
        <v>2320</v>
      </c>
      <c r="R71" s="50"/>
      <c r="S71" s="50" t="s">
        <v>2322</v>
      </c>
      <c r="T71" s="50">
        <v>1.0</v>
      </c>
      <c r="U71" s="50">
        <v>1.0</v>
      </c>
      <c r="V71" s="50">
        <v>8.0</v>
      </c>
      <c r="W71" s="50">
        <v>2.0</v>
      </c>
      <c r="X71" s="50" t="s">
        <v>2325</v>
      </c>
      <c r="Y71" s="50"/>
      <c r="Z71" s="50"/>
      <c r="AA71" s="10"/>
      <c r="AB71" s="10"/>
      <c r="AC71" s="10"/>
      <c r="AD71" s="10"/>
    </row>
    <row r="72" ht="15.75" customHeight="1">
      <c r="A72" s="50">
        <v>66.0</v>
      </c>
      <c r="B72" s="50" t="s">
        <v>2330</v>
      </c>
      <c r="C72" s="50" t="s">
        <v>2332</v>
      </c>
      <c r="D72" s="160">
        <v>45756.0</v>
      </c>
      <c r="E72" s="63">
        <v>45761.0</v>
      </c>
      <c r="F72" s="50">
        <v>10751.0</v>
      </c>
      <c r="G72" s="50" t="s">
        <v>123</v>
      </c>
      <c r="H72" s="50" t="s">
        <v>43</v>
      </c>
      <c r="I72" s="80" t="s">
        <v>2337</v>
      </c>
      <c r="J72" s="50" t="s">
        <v>67</v>
      </c>
      <c r="K72" s="50" t="s">
        <v>47</v>
      </c>
      <c r="L72" s="50" t="s">
        <v>47</v>
      </c>
      <c r="M72" s="50" t="s">
        <v>2340</v>
      </c>
      <c r="N72" s="50" t="s">
        <v>146</v>
      </c>
      <c r="O72" s="50" t="s">
        <v>2342</v>
      </c>
      <c r="P72" s="50" t="s">
        <v>2345</v>
      </c>
      <c r="Q72" s="50" t="s">
        <v>2347</v>
      </c>
      <c r="R72" s="50">
        <v>9.616537E8</v>
      </c>
      <c r="S72" s="50" t="s">
        <v>2350</v>
      </c>
      <c r="T72" s="50">
        <v>1.0</v>
      </c>
      <c r="U72" s="50"/>
      <c r="V72" s="50">
        <v>9.0</v>
      </c>
      <c r="W72" s="50"/>
      <c r="X72" s="50" t="s">
        <v>2353</v>
      </c>
      <c r="Y72" s="50"/>
      <c r="Z72" s="50"/>
      <c r="AA72" s="10"/>
      <c r="AB72" s="10"/>
      <c r="AC72" s="10"/>
      <c r="AD72" s="10"/>
    </row>
    <row r="73" ht="19.5" customHeight="1">
      <c r="A73" s="50">
        <v>67.0</v>
      </c>
      <c r="B73" s="50" t="s">
        <v>2358</v>
      </c>
      <c r="C73" s="50" t="s">
        <v>2360</v>
      </c>
      <c r="D73" s="160">
        <v>45785.0</v>
      </c>
      <c r="E73" s="63">
        <v>45789.0</v>
      </c>
      <c r="F73" s="50">
        <v>7686.0</v>
      </c>
      <c r="G73" s="50" t="s">
        <v>63</v>
      </c>
      <c r="H73" s="50" t="s">
        <v>506</v>
      </c>
      <c r="I73" s="80" t="s">
        <v>2364</v>
      </c>
      <c r="J73" s="50" t="s">
        <v>496</v>
      </c>
      <c r="K73" s="50" t="s">
        <v>496</v>
      </c>
      <c r="L73" s="50" t="s">
        <v>496</v>
      </c>
      <c r="M73" s="50" t="s">
        <v>2367</v>
      </c>
      <c r="N73" s="50" t="s">
        <v>50</v>
      </c>
      <c r="O73" s="50" t="s">
        <v>2369</v>
      </c>
      <c r="P73" s="50" t="s">
        <v>2371</v>
      </c>
      <c r="Q73" s="50" t="s">
        <v>2374</v>
      </c>
      <c r="R73" s="50"/>
      <c r="S73" s="50" t="s">
        <v>2377</v>
      </c>
      <c r="T73" s="50">
        <v>1.0</v>
      </c>
      <c r="U73" s="50">
        <v>0.0</v>
      </c>
      <c r="V73" s="50">
        <v>9.0</v>
      </c>
      <c r="W73" s="50">
        <v>4.0</v>
      </c>
      <c r="X73" s="84" t="s">
        <v>2380</v>
      </c>
      <c r="Y73" s="50"/>
      <c r="Z73" s="50"/>
      <c r="AA73" s="10"/>
      <c r="AB73" s="10"/>
      <c r="AC73" s="10"/>
      <c r="AD73" s="10"/>
    </row>
    <row r="74" ht="15.75" customHeight="1">
      <c r="A74" s="50">
        <v>68.0</v>
      </c>
      <c r="B74" s="50" t="s">
        <v>2384</v>
      </c>
      <c r="C74" s="50" t="s">
        <v>2387</v>
      </c>
      <c r="D74" s="160">
        <v>45783.0</v>
      </c>
      <c r="E74" s="63">
        <v>45786.0</v>
      </c>
      <c r="F74" s="50">
        <v>12243.0</v>
      </c>
      <c r="G74" s="50" t="s">
        <v>84</v>
      </c>
      <c r="H74" s="50" t="s">
        <v>603</v>
      </c>
      <c r="I74" s="67" t="s">
        <v>2391</v>
      </c>
      <c r="J74" s="50" t="s">
        <v>2393</v>
      </c>
      <c r="K74" s="50" t="s">
        <v>2394</v>
      </c>
      <c r="L74" s="50" t="s">
        <v>610</v>
      </c>
      <c r="M74" s="50" t="s">
        <v>2397</v>
      </c>
      <c r="N74" s="50" t="s">
        <v>69</v>
      </c>
      <c r="O74" s="50" t="s">
        <v>2400</v>
      </c>
      <c r="P74" s="50" t="s">
        <v>2401</v>
      </c>
      <c r="Q74" s="50" t="s">
        <v>2403</v>
      </c>
      <c r="R74" s="50">
        <v>9.1349549E8</v>
      </c>
      <c r="S74" s="50" t="s">
        <v>2407</v>
      </c>
      <c r="T74" s="50">
        <v>1.0</v>
      </c>
      <c r="U74" s="50">
        <v>0.0</v>
      </c>
      <c r="V74" s="50">
        <v>5.0</v>
      </c>
      <c r="W74" s="50"/>
      <c r="X74" s="50" t="s">
        <v>2408</v>
      </c>
      <c r="Y74" s="50"/>
      <c r="Z74" s="50"/>
      <c r="AA74" s="10"/>
      <c r="AB74" s="10"/>
      <c r="AC74" s="10"/>
      <c r="AD74" s="10"/>
    </row>
    <row r="75" ht="15.75" customHeight="1">
      <c r="A75" s="50">
        <v>69.0</v>
      </c>
      <c r="B75" s="50" t="s">
        <v>2412</v>
      </c>
      <c r="C75" s="50" t="s">
        <v>2414</v>
      </c>
      <c r="D75" s="160">
        <v>45789.0</v>
      </c>
      <c r="E75" s="63">
        <v>45792.0</v>
      </c>
      <c r="F75" s="50">
        <v>10571.0</v>
      </c>
      <c r="G75" s="50" t="s">
        <v>63</v>
      </c>
      <c r="H75" s="50" t="s">
        <v>773</v>
      </c>
      <c r="I75" s="80" t="s">
        <v>2417</v>
      </c>
      <c r="J75" s="50" t="s">
        <v>2418</v>
      </c>
      <c r="K75" s="50" t="s">
        <v>419</v>
      </c>
      <c r="L75" s="50" t="s">
        <v>419</v>
      </c>
      <c r="M75" s="217" t="s">
        <v>2421</v>
      </c>
      <c r="N75" s="50" t="s">
        <v>69</v>
      </c>
      <c r="O75" s="50" t="s">
        <v>2424</v>
      </c>
      <c r="P75" s="50" t="s">
        <v>2425</v>
      </c>
      <c r="Q75" s="50" t="s">
        <v>2426</v>
      </c>
      <c r="R75" s="50">
        <v>9.85534642E8</v>
      </c>
      <c r="S75" s="50" t="s">
        <v>2429</v>
      </c>
      <c r="T75" s="50">
        <v>1.0</v>
      </c>
      <c r="U75" s="50">
        <v>0.0</v>
      </c>
      <c r="V75" s="50">
        <v>5.0</v>
      </c>
      <c r="W75" s="50">
        <v>0.0</v>
      </c>
      <c r="X75" s="50" t="s">
        <v>2433</v>
      </c>
      <c r="Y75" s="50" t="s">
        <v>61</v>
      </c>
      <c r="Z75" s="50"/>
      <c r="AA75" s="10"/>
      <c r="AB75" s="10"/>
      <c r="AC75" s="10"/>
      <c r="AD75" s="10"/>
    </row>
    <row r="76" ht="15.75" customHeight="1">
      <c r="A76" s="50">
        <v>70.0</v>
      </c>
      <c r="B76" s="50" t="s">
        <v>2437</v>
      </c>
      <c r="C76" s="50" t="s">
        <v>2438</v>
      </c>
      <c r="D76" s="166">
        <v>45793.0</v>
      </c>
      <c r="E76" s="63">
        <v>45798.0</v>
      </c>
      <c r="F76" s="50">
        <v>2289.0</v>
      </c>
      <c r="G76" s="50" t="s">
        <v>123</v>
      </c>
      <c r="H76" s="50" t="s">
        <v>2441</v>
      </c>
      <c r="I76" s="80" t="s">
        <v>2443</v>
      </c>
      <c r="J76" s="50" t="s">
        <v>586</v>
      </c>
      <c r="K76" s="50" t="s">
        <v>586</v>
      </c>
      <c r="L76" s="50" t="s">
        <v>586</v>
      </c>
      <c r="M76" s="50" t="s">
        <v>2446</v>
      </c>
      <c r="N76" s="50" t="s">
        <v>50</v>
      </c>
      <c r="O76" s="50" t="s">
        <v>2449</v>
      </c>
      <c r="P76" s="50" t="s">
        <v>2451</v>
      </c>
      <c r="Q76" s="50" t="s">
        <v>2453</v>
      </c>
      <c r="R76" s="50">
        <v>9.42886781E8</v>
      </c>
      <c r="S76" s="50" t="s">
        <v>2456</v>
      </c>
      <c r="T76" s="50">
        <v>0.0</v>
      </c>
      <c r="U76" s="50">
        <v>1.0</v>
      </c>
      <c r="V76" s="50">
        <v>5.0</v>
      </c>
      <c r="W76" s="50">
        <v>0.0</v>
      </c>
      <c r="X76" s="50" t="s">
        <v>2460</v>
      </c>
      <c r="Y76" s="50"/>
      <c r="Z76" s="50"/>
      <c r="AA76" s="10"/>
      <c r="AB76" s="10"/>
      <c r="AC76" s="10"/>
      <c r="AD76" s="10"/>
    </row>
    <row r="77" ht="15.75" customHeight="1">
      <c r="A77" s="50">
        <v>71.0</v>
      </c>
      <c r="B77" s="50" t="s">
        <v>2464</v>
      </c>
      <c r="C77" s="50" t="s">
        <v>2466</v>
      </c>
      <c r="D77" s="166">
        <v>45796.0</v>
      </c>
      <c r="E77" s="63">
        <v>45798.0</v>
      </c>
      <c r="F77" s="50">
        <v>2305.0</v>
      </c>
      <c r="G77" s="50" t="s">
        <v>123</v>
      </c>
      <c r="H77" s="50" t="s">
        <v>2441</v>
      </c>
      <c r="I77" s="80" t="s">
        <v>2471</v>
      </c>
      <c r="J77" s="50" t="s">
        <v>2474</v>
      </c>
      <c r="K77" s="50" t="s">
        <v>586</v>
      </c>
      <c r="L77" s="50" t="s">
        <v>586</v>
      </c>
      <c r="M77" s="50" t="s">
        <v>2479</v>
      </c>
      <c r="N77" s="50" t="s">
        <v>50</v>
      </c>
      <c r="O77" s="50" t="s">
        <v>2480</v>
      </c>
      <c r="P77" s="50" t="s">
        <v>2482</v>
      </c>
      <c r="Q77" s="50" t="s">
        <v>2484</v>
      </c>
      <c r="R77" s="50">
        <v>9.84983288E8</v>
      </c>
      <c r="S77" s="50" t="s">
        <v>2487</v>
      </c>
      <c r="T77" s="50">
        <v>1.0</v>
      </c>
      <c r="U77" s="50">
        <v>0.0</v>
      </c>
      <c r="V77" s="50">
        <v>5.0</v>
      </c>
      <c r="W77" s="50">
        <v>0.0</v>
      </c>
      <c r="X77" s="50" t="s">
        <v>2492</v>
      </c>
      <c r="Y77" s="50"/>
      <c r="Z77" s="50"/>
      <c r="AA77" s="10"/>
      <c r="AB77" s="10"/>
      <c r="AC77" s="10"/>
      <c r="AD77" s="10"/>
    </row>
    <row r="78" ht="15.75" customHeight="1">
      <c r="A78" s="50">
        <v>72.0</v>
      </c>
      <c r="B78" s="50" t="s">
        <v>2497</v>
      </c>
      <c r="C78" s="50" t="s">
        <v>2498</v>
      </c>
      <c r="D78" s="166">
        <v>45799.0</v>
      </c>
      <c r="E78" s="63">
        <v>45804.0</v>
      </c>
      <c r="F78" s="50">
        <v>5196.0</v>
      </c>
      <c r="G78" s="50" t="s">
        <v>123</v>
      </c>
      <c r="H78" s="50" t="s">
        <v>85</v>
      </c>
      <c r="I78" s="198" t="s">
        <v>2338</v>
      </c>
      <c r="J78" s="50" t="s">
        <v>125</v>
      </c>
      <c r="K78" s="50" t="s">
        <v>125</v>
      </c>
      <c r="L78" s="50" t="s">
        <v>88</v>
      </c>
      <c r="M78" s="240" t="s">
        <v>2507</v>
      </c>
      <c r="N78" s="50" t="s">
        <v>50</v>
      </c>
      <c r="O78" s="240" t="s">
        <v>2510</v>
      </c>
      <c r="P78" s="50" t="s">
        <v>2512</v>
      </c>
      <c r="Q78" s="50" t="s">
        <v>2513</v>
      </c>
      <c r="R78" s="50">
        <v>9.83995755E8</v>
      </c>
      <c r="S78" s="50" t="s">
        <v>2514</v>
      </c>
      <c r="T78" s="50">
        <v>2.0</v>
      </c>
      <c r="U78" s="50">
        <v>0.0</v>
      </c>
      <c r="V78" s="50">
        <v>7.0</v>
      </c>
      <c r="W78" s="50">
        <v>2.0</v>
      </c>
      <c r="X78" s="50" t="s">
        <v>2520</v>
      </c>
      <c r="Y78" s="50"/>
      <c r="Z78" s="50"/>
      <c r="AA78" s="10"/>
      <c r="AB78" s="10"/>
      <c r="AC78" s="10"/>
      <c r="AD78" s="10"/>
    </row>
    <row r="79" ht="15.75" customHeight="1">
      <c r="A79" s="50">
        <v>73.0</v>
      </c>
      <c r="B79" s="50" t="s">
        <v>2523</v>
      </c>
      <c r="C79" s="50" t="s">
        <v>2524</v>
      </c>
      <c r="D79" s="166">
        <v>45814.0</v>
      </c>
      <c r="E79" s="63">
        <v>45825.0</v>
      </c>
      <c r="F79" s="50">
        <v>7639.0</v>
      </c>
      <c r="G79" s="57" t="s">
        <v>63</v>
      </c>
      <c r="H79" s="50" t="s">
        <v>698</v>
      </c>
      <c r="I79" s="80" t="s">
        <v>2528</v>
      </c>
      <c r="J79" s="50" t="s">
        <v>707</v>
      </c>
      <c r="K79" s="50" t="s">
        <v>2532</v>
      </c>
      <c r="L79" s="50" t="s">
        <v>47</v>
      </c>
      <c r="M79" s="50" t="s">
        <v>2535</v>
      </c>
      <c r="N79" s="50" t="s">
        <v>50</v>
      </c>
      <c r="O79" s="50" t="s">
        <v>2538</v>
      </c>
      <c r="P79" s="50"/>
      <c r="Q79" s="50" t="s">
        <v>2540</v>
      </c>
      <c r="R79" s="50">
        <v>9.96786248E8</v>
      </c>
      <c r="S79" s="50" t="s">
        <v>2542</v>
      </c>
      <c r="T79" s="50">
        <v>1.0</v>
      </c>
      <c r="U79" s="50"/>
      <c r="V79" s="50">
        <v>8.0</v>
      </c>
      <c r="W79" s="50">
        <v>0.0</v>
      </c>
      <c r="X79" s="50" t="s">
        <v>2546</v>
      </c>
      <c r="Y79" s="50"/>
      <c r="Z79" s="50"/>
      <c r="AA79" s="10"/>
      <c r="AB79" s="10"/>
      <c r="AC79" s="10"/>
      <c r="AD79" s="10"/>
    </row>
    <row r="80" ht="15.75" customHeight="1">
      <c r="A80" s="50">
        <v>74.0</v>
      </c>
      <c r="B80" s="50" t="s">
        <v>2550</v>
      </c>
      <c r="C80" s="50" t="s">
        <v>2553</v>
      </c>
      <c r="D80" s="166">
        <v>45825.0</v>
      </c>
      <c r="E80" s="63">
        <v>45825.0</v>
      </c>
      <c r="F80" s="50">
        <v>1543.0</v>
      </c>
      <c r="G80" s="50" t="s">
        <v>63</v>
      </c>
      <c r="H80" s="50" t="s">
        <v>2555</v>
      </c>
      <c r="I80" s="80" t="s">
        <v>2557</v>
      </c>
      <c r="J80" s="50" t="s">
        <v>1661</v>
      </c>
      <c r="K80" s="50" t="s">
        <v>1661</v>
      </c>
      <c r="L80" s="50" t="s">
        <v>948</v>
      </c>
      <c r="M80" s="50" t="s">
        <v>2561</v>
      </c>
      <c r="N80" s="50" t="s">
        <v>50</v>
      </c>
      <c r="O80" s="50" t="s">
        <v>2563</v>
      </c>
      <c r="P80" s="50"/>
      <c r="Q80" s="50" t="s">
        <v>2566</v>
      </c>
      <c r="R80" s="113" t="s">
        <v>2568</v>
      </c>
      <c r="S80" s="50" t="s">
        <v>2571</v>
      </c>
      <c r="T80" s="50">
        <v>0.0</v>
      </c>
      <c r="U80" s="50">
        <v>1.0</v>
      </c>
      <c r="V80" s="50">
        <v>8.0</v>
      </c>
      <c r="W80" s="50">
        <v>3.0</v>
      </c>
      <c r="X80" s="50" t="s">
        <v>2575</v>
      </c>
      <c r="Y80" s="50"/>
      <c r="Z80" s="50"/>
      <c r="AA80" s="10"/>
      <c r="AB80" s="10"/>
      <c r="AC80" s="10"/>
      <c r="AD80" s="10"/>
    </row>
    <row r="81" ht="15.75" customHeight="1">
      <c r="A81" s="50">
        <v>75.0</v>
      </c>
      <c r="B81" s="50" t="s">
        <v>2579</v>
      </c>
      <c r="C81" s="50" t="s">
        <v>2582</v>
      </c>
      <c r="D81" s="166">
        <v>45819.0</v>
      </c>
      <c r="E81" s="63">
        <v>45825.0</v>
      </c>
      <c r="F81" s="50">
        <v>2698.0</v>
      </c>
      <c r="G81" s="50" t="s">
        <v>84</v>
      </c>
      <c r="H81" s="50" t="s">
        <v>2585</v>
      </c>
      <c r="I81" s="80" t="s">
        <v>147</v>
      </c>
      <c r="J81" s="50" t="s">
        <v>2587</v>
      </c>
      <c r="K81" s="50" t="s">
        <v>2587</v>
      </c>
      <c r="L81" s="50" t="s">
        <v>1252</v>
      </c>
      <c r="M81" s="240" t="s">
        <v>2591</v>
      </c>
      <c r="N81" s="50" t="s">
        <v>50</v>
      </c>
      <c r="O81" s="240" t="s">
        <v>2594</v>
      </c>
      <c r="P81" s="50" t="s">
        <v>2595</v>
      </c>
      <c r="Q81" s="50" t="s">
        <v>2597</v>
      </c>
      <c r="R81" s="50">
        <v>9.40237084E8</v>
      </c>
      <c r="S81" s="50" t="s">
        <v>2601</v>
      </c>
      <c r="T81" s="50">
        <v>1.0</v>
      </c>
      <c r="U81" s="50">
        <v>0.0</v>
      </c>
      <c r="V81" s="50">
        <v>5.0</v>
      </c>
      <c r="W81" s="50">
        <v>1.0</v>
      </c>
      <c r="X81" s="50" t="s">
        <v>2605</v>
      </c>
      <c r="Y81" s="50"/>
      <c r="Z81" s="50"/>
      <c r="AA81" s="10"/>
      <c r="AB81" s="10"/>
      <c r="AC81" s="10"/>
      <c r="AD81" s="10"/>
    </row>
    <row r="82" ht="15.75" customHeight="1">
      <c r="A82" s="217">
        <v>76.0</v>
      </c>
      <c r="B82" s="50" t="s">
        <v>2610</v>
      </c>
      <c r="C82" s="50" t="s">
        <v>2612</v>
      </c>
      <c r="D82" s="166">
        <v>45908.0</v>
      </c>
      <c r="E82" s="63">
        <v>45922.0</v>
      </c>
      <c r="F82" s="50">
        <v>3853.0</v>
      </c>
      <c r="G82" s="50" t="s">
        <v>63</v>
      </c>
      <c r="H82" s="84" t="s">
        <v>921</v>
      </c>
      <c r="I82" s="80" t="s">
        <v>2616</v>
      </c>
      <c r="J82" s="50" t="s">
        <v>634</v>
      </c>
      <c r="K82" s="50" t="s">
        <v>634</v>
      </c>
      <c r="L82" s="50" t="s">
        <v>634</v>
      </c>
      <c r="M82" s="50" t="s">
        <v>2620</v>
      </c>
      <c r="N82" s="50" t="s">
        <v>50</v>
      </c>
      <c r="O82" s="50" t="s">
        <v>2623</v>
      </c>
      <c r="P82" s="50"/>
      <c r="Q82" s="50" t="s">
        <v>2624</v>
      </c>
      <c r="R82" s="50" t="s">
        <v>2626</v>
      </c>
      <c r="S82" s="50" t="s">
        <v>2628</v>
      </c>
      <c r="T82" s="245">
        <v>1.0</v>
      </c>
      <c r="U82" s="50">
        <v>0.0</v>
      </c>
      <c r="V82" s="50">
        <v>6.0</v>
      </c>
      <c r="W82" s="50">
        <v>0.0</v>
      </c>
      <c r="X82" s="50" t="s">
        <v>2637</v>
      </c>
      <c r="Y82" s="50"/>
      <c r="Z82" s="50"/>
      <c r="AA82" s="10"/>
      <c r="AB82" s="10"/>
      <c r="AC82" s="10"/>
      <c r="AD82" s="10"/>
    </row>
    <row r="83" ht="15.75" customHeight="1">
      <c r="A83" s="50">
        <v>77.0</v>
      </c>
      <c r="B83" s="50" t="s">
        <v>2639</v>
      </c>
      <c r="C83" s="50" t="s">
        <v>2641</v>
      </c>
      <c r="D83" s="166">
        <v>45873.0</v>
      </c>
      <c r="E83" s="63">
        <v>45876.0</v>
      </c>
      <c r="F83" s="50">
        <v>3251.0</v>
      </c>
      <c r="G83" s="50" t="s">
        <v>63</v>
      </c>
      <c r="H83" s="50" t="s">
        <v>1974</v>
      </c>
      <c r="I83" s="80" t="s">
        <v>2651</v>
      </c>
      <c r="J83" s="50" t="s">
        <v>1222</v>
      </c>
      <c r="K83" s="50" t="s">
        <v>2654</v>
      </c>
      <c r="L83" s="50" t="s">
        <v>1222</v>
      </c>
      <c r="M83" s="50" t="s">
        <v>2657</v>
      </c>
      <c r="N83" s="50" t="s">
        <v>50</v>
      </c>
      <c r="O83" s="50" t="s">
        <v>2661</v>
      </c>
      <c r="P83" s="50" t="s">
        <v>2663</v>
      </c>
      <c r="Q83" s="50" t="s">
        <v>2665</v>
      </c>
      <c r="R83" s="50"/>
      <c r="S83" s="50" t="s">
        <v>2669</v>
      </c>
      <c r="T83" s="50">
        <v>1.0</v>
      </c>
      <c r="U83" s="50">
        <v>0.0</v>
      </c>
      <c r="V83" s="50">
        <v>0.0</v>
      </c>
      <c r="W83" s="50">
        <v>5.0</v>
      </c>
      <c r="X83" s="50" t="s">
        <v>2671</v>
      </c>
      <c r="Y83" s="50" t="s">
        <v>61</v>
      </c>
      <c r="Z83" s="50"/>
      <c r="AA83" s="10"/>
      <c r="AB83" s="10"/>
      <c r="AC83" s="10"/>
      <c r="AD83" s="10"/>
    </row>
    <row r="84" ht="15.75" customHeight="1">
      <c r="A84" s="103"/>
      <c r="B84" s="103" t="s">
        <v>2674</v>
      </c>
      <c r="C84" s="103" t="s">
        <v>2675</v>
      </c>
      <c r="D84" s="121">
        <v>45901.0</v>
      </c>
      <c r="E84" s="102">
        <v>45902.0</v>
      </c>
      <c r="F84" s="103">
        <v>6218.0</v>
      </c>
      <c r="G84" s="103" t="s">
        <v>123</v>
      </c>
      <c r="H84" s="103" t="s">
        <v>235</v>
      </c>
      <c r="I84" s="118" t="s">
        <v>2679</v>
      </c>
      <c r="J84" s="103" t="s">
        <v>876</v>
      </c>
      <c r="K84" s="103" t="s">
        <v>240</v>
      </c>
      <c r="L84" s="103"/>
      <c r="M84" s="103" t="s">
        <v>2683</v>
      </c>
      <c r="N84" s="103"/>
      <c r="O84" s="103" t="s">
        <v>2686</v>
      </c>
      <c r="P84" s="103"/>
      <c r="Q84" s="103" t="s">
        <v>2691</v>
      </c>
      <c r="R84" s="103" t="s">
        <v>2693</v>
      </c>
      <c r="S84" s="103" t="s">
        <v>2695</v>
      </c>
      <c r="T84" s="103">
        <v>2.0</v>
      </c>
      <c r="U84" s="103">
        <v>0.0</v>
      </c>
      <c r="V84" s="103">
        <v>12.0</v>
      </c>
      <c r="W84" s="103">
        <v>0.0</v>
      </c>
      <c r="X84" s="103" t="s">
        <v>2698</v>
      </c>
      <c r="Y84" s="103"/>
      <c r="Z84" s="254" t="s">
        <v>2700</v>
      </c>
      <c r="AA84" s="236"/>
      <c r="AB84" s="236"/>
      <c r="AC84" s="236"/>
      <c r="AD84" s="236"/>
    </row>
    <row r="85" ht="15.75" customHeight="1">
      <c r="A85" s="50">
        <v>78.0</v>
      </c>
      <c r="B85" s="50" t="s">
        <v>2705</v>
      </c>
      <c r="C85" s="50" t="s">
        <v>2706</v>
      </c>
      <c r="D85" s="166">
        <v>45936.0</v>
      </c>
      <c r="E85" s="63">
        <v>45937.0</v>
      </c>
      <c r="F85" s="50">
        <v>9215.0</v>
      </c>
      <c r="G85" s="50" t="s">
        <v>63</v>
      </c>
      <c r="H85" s="50" t="s">
        <v>1974</v>
      </c>
      <c r="I85" s="80" t="s">
        <v>2708</v>
      </c>
      <c r="J85" s="50" t="s">
        <v>1222</v>
      </c>
      <c r="K85" s="50" t="s">
        <v>2654</v>
      </c>
      <c r="L85" s="50" t="s">
        <v>1222</v>
      </c>
      <c r="M85" s="50" t="s">
        <v>2712</v>
      </c>
      <c r="N85" s="50" t="s">
        <v>50</v>
      </c>
      <c r="O85" s="50" t="s">
        <v>2715</v>
      </c>
      <c r="P85" s="50" t="s">
        <v>2716</v>
      </c>
      <c r="Q85" s="50" t="s">
        <v>2717</v>
      </c>
      <c r="R85" s="50">
        <v>9.10133952E8</v>
      </c>
      <c r="S85" s="50" t="s">
        <v>2719</v>
      </c>
      <c r="T85" s="50">
        <v>1.0</v>
      </c>
      <c r="U85" s="50">
        <v>0.0</v>
      </c>
      <c r="V85" s="50">
        <v>6.0</v>
      </c>
      <c r="W85" s="50">
        <v>1.0</v>
      </c>
      <c r="X85" s="50" t="s">
        <v>2720</v>
      </c>
      <c r="Y85" s="50" t="s">
        <v>2721</v>
      </c>
      <c r="Z85" s="50"/>
      <c r="AA85" s="10"/>
      <c r="AB85" s="10"/>
      <c r="AC85" s="10"/>
      <c r="AD85" s="10"/>
    </row>
    <row r="86" ht="15.75" customHeight="1">
      <c r="A86" s="50">
        <v>79.0</v>
      </c>
      <c r="B86" s="50" t="s">
        <v>2724</v>
      </c>
      <c r="C86" s="50" t="s">
        <v>2725</v>
      </c>
      <c r="D86" s="166">
        <v>45965.0</v>
      </c>
      <c r="E86" s="63">
        <v>45965.0</v>
      </c>
      <c r="F86" s="50">
        <v>3358.0</v>
      </c>
      <c r="G86" s="50" t="s">
        <v>63</v>
      </c>
      <c r="H86" s="50" t="s">
        <v>2727</v>
      </c>
      <c r="I86" s="80" t="s">
        <v>2728</v>
      </c>
      <c r="J86" s="50" t="s">
        <v>2730</v>
      </c>
      <c r="K86" s="50" t="s">
        <v>2730</v>
      </c>
      <c r="L86" s="50" t="s">
        <v>210</v>
      </c>
      <c r="M86" s="50" t="s">
        <v>2732</v>
      </c>
      <c r="N86" s="50" t="s">
        <v>50</v>
      </c>
      <c r="O86" s="240" t="s">
        <v>2734</v>
      </c>
      <c r="P86" s="50"/>
      <c r="Q86" s="50" t="s">
        <v>2737</v>
      </c>
      <c r="R86" s="50" t="s">
        <v>2739</v>
      </c>
      <c r="S86" s="50" t="s">
        <v>2740</v>
      </c>
      <c r="T86" s="50">
        <v>2.0</v>
      </c>
      <c r="U86" s="50">
        <v>0.0</v>
      </c>
      <c r="V86" s="50">
        <v>12.0</v>
      </c>
      <c r="W86" s="50">
        <v>0.0</v>
      </c>
      <c r="X86" s="50" t="s">
        <v>2742</v>
      </c>
      <c r="Y86" s="50" t="s">
        <v>61</v>
      </c>
      <c r="Z86" s="50"/>
      <c r="AA86" s="10"/>
      <c r="AB86" s="10"/>
      <c r="AC86" s="10"/>
      <c r="AD86" s="10"/>
    </row>
    <row r="87" ht="15.75" customHeight="1">
      <c r="A87" s="50">
        <v>80.0</v>
      </c>
      <c r="B87" s="50" t="s">
        <v>2743</v>
      </c>
      <c r="C87" s="50" t="s">
        <v>2745</v>
      </c>
      <c r="D87" s="50" t="s">
        <v>2747</v>
      </c>
      <c r="E87" s="63">
        <v>46043.0</v>
      </c>
      <c r="F87" s="50">
        <v>6218.0</v>
      </c>
      <c r="G87" s="50" t="s">
        <v>123</v>
      </c>
      <c r="H87" s="50" t="s">
        <v>235</v>
      </c>
      <c r="I87" s="80" t="s">
        <v>2679</v>
      </c>
      <c r="J87" s="50" t="s">
        <v>876</v>
      </c>
      <c r="K87" s="50" t="s">
        <v>240</v>
      </c>
      <c r="L87" s="50" t="s">
        <v>240</v>
      </c>
      <c r="M87" s="50" t="s">
        <v>2683</v>
      </c>
      <c r="N87" s="50" t="s">
        <v>50</v>
      </c>
      <c r="O87" s="50"/>
      <c r="P87" s="50"/>
      <c r="Q87" s="50"/>
      <c r="R87" s="50"/>
      <c r="S87" s="50"/>
      <c r="T87" s="50"/>
      <c r="U87" s="50"/>
      <c r="V87" s="113">
        <v>13.0</v>
      </c>
      <c r="W87" s="113">
        <v>0.0</v>
      </c>
      <c r="X87" s="50"/>
      <c r="Y87" s="50"/>
      <c r="Z87" s="50"/>
      <c r="AA87" s="10"/>
      <c r="AB87" s="10"/>
      <c r="AC87" s="10"/>
      <c r="AD87" s="10"/>
    </row>
    <row r="88" ht="15.75" customHeight="1">
      <c r="A88" s="50">
        <v>81.0</v>
      </c>
      <c r="B88" s="50" t="s">
        <v>2755</v>
      </c>
      <c r="C88" s="113" t="s">
        <v>2756</v>
      </c>
      <c r="D88" s="160">
        <v>46073.0</v>
      </c>
      <c r="E88" s="63">
        <v>46076.0</v>
      </c>
      <c r="F88" s="50">
        <v>36034.0</v>
      </c>
      <c r="G88" s="50" t="s">
        <v>63</v>
      </c>
      <c r="H88" s="50" t="s">
        <v>2758</v>
      </c>
      <c r="I88" s="80" t="s">
        <v>2759</v>
      </c>
      <c r="J88" s="50" t="s">
        <v>701</v>
      </c>
      <c r="K88" s="50" t="s">
        <v>702</v>
      </c>
      <c r="L88" s="50" t="s">
        <v>47</v>
      </c>
      <c r="M88" s="50" t="s">
        <v>2761</v>
      </c>
      <c r="N88" s="50" t="s">
        <v>50</v>
      </c>
      <c r="O88" s="50" t="s">
        <v>2763</v>
      </c>
      <c r="P88" s="50" t="s">
        <v>2764</v>
      </c>
      <c r="Q88" s="50" t="s">
        <v>2765</v>
      </c>
      <c r="R88" s="50">
        <v>9.92760637E8</v>
      </c>
      <c r="S88" s="50" t="s">
        <v>2766</v>
      </c>
      <c r="T88" s="50">
        <v>1.0</v>
      </c>
      <c r="U88" s="50">
        <v>0.0</v>
      </c>
      <c r="V88" s="50">
        <v>8.0</v>
      </c>
      <c r="W88" s="50">
        <v>0.0</v>
      </c>
      <c r="X88" s="50" t="s">
        <v>2769</v>
      </c>
      <c r="Y88" s="50" t="s">
        <v>61</v>
      </c>
      <c r="Z88" s="50"/>
      <c r="AA88" s="10"/>
      <c r="AB88" s="10"/>
      <c r="AC88" s="10"/>
      <c r="AD88" s="10"/>
    </row>
    <row r="89" ht="15.75" customHeight="1">
      <c r="A89" s="113">
        <v>82.0</v>
      </c>
      <c r="B89" s="113" t="s">
        <v>2773</v>
      </c>
      <c r="C89" s="113" t="s">
        <v>2775</v>
      </c>
      <c r="D89" s="63">
        <v>46192.0</v>
      </c>
      <c r="E89" s="63">
        <v>46195.0</v>
      </c>
      <c r="F89" s="113">
        <v>38493.0</v>
      </c>
      <c r="G89" s="113" t="s">
        <v>123</v>
      </c>
      <c r="H89" s="113" t="s">
        <v>603</v>
      </c>
      <c r="I89" s="178" t="s">
        <v>2777</v>
      </c>
      <c r="J89" s="113" t="s">
        <v>2038</v>
      </c>
      <c r="K89" s="113" t="s">
        <v>2704</v>
      </c>
      <c r="L89" s="113" t="s">
        <v>610</v>
      </c>
      <c r="M89" s="113" t="s">
        <v>2779</v>
      </c>
      <c r="N89" s="113" t="s">
        <v>2780</v>
      </c>
      <c r="O89" s="113" t="s">
        <v>2782</v>
      </c>
      <c r="P89" s="50"/>
      <c r="Q89" s="259" t="s">
        <v>2783</v>
      </c>
      <c r="R89" s="113">
        <v>9.88951694E8</v>
      </c>
      <c r="S89" s="113" t="s">
        <v>2785</v>
      </c>
      <c r="T89" s="113">
        <v>1.0</v>
      </c>
      <c r="U89" s="113">
        <v>0.0</v>
      </c>
      <c r="V89" s="113">
        <v>10.0</v>
      </c>
      <c r="W89" s="113">
        <v>0.0</v>
      </c>
      <c r="X89" s="260" t="s">
        <v>2788</v>
      </c>
      <c r="Y89" s="50" t="s">
        <v>61</v>
      </c>
      <c r="Z89" s="50"/>
      <c r="AA89" s="10"/>
      <c r="AB89" s="10"/>
      <c r="AC89" s="10"/>
      <c r="AD89" s="10"/>
    </row>
    <row r="90" ht="15.75" customHeight="1">
      <c r="A90" s="113">
        <v>83.0</v>
      </c>
      <c r="B90" s="113" t="s">
        <v>2794</v>
      </c>
      <c r="C90" s="113" t="s">
        <v>2795</v>
      </c>
      <c r="D90" s="50"/>
      <c r="E90" s="113"/>
      <c r="F90" s="113">
        <v>9047.0</v>
      </c>
      <c r="G90" s="113" t="s">
        <v>63</v>
      </c>
      <c r="H90" s="113" t="s">
        <v>2797</v>
      </c>
      <c r="I90" s="178" t="s">
        <v>2798</v>
      </c>
      <c r="J90" s="113" t="s">
        <v>945</v>
      </c>
      <c r="K90" s="113" t="s">
        <v>946</v>
      </c>
      <c r="L90" s="113" t="s">
        <v>948</v>
      </c>
      <c r="M90" s="113" t="s">
        <v>2801</v>
      </c>
      <c r="N90" s="113" t="s">
        <v>69</v>
      </c>
      <c r="O90" s="113" t="s">
        <v>2802</v>
      </c>
      <c r="P90" s="50"/>
      <c r="Q90" s="113" t="s">
        <v>2803</v>
      </c>
      <c r="R90" s="50"/>
      <c r="S90" s="113" t="s">
        <v>2804</v>
      </c>
      <c r="T90" s="113">
        <v>1.0</v>
      </c>
      <c r="U90" s="113">
        <v>0.0</v>
      </c>
      <c r="V90" s="113">
        <v>11.0</v>
      </c>
      <c r="W90" s="113">
        <v>3.0</v>
      </c>
      <c r="X90" s="260" t="s">
        <v>2806</v>
      </c>
      <c r="Y90" s="50"/>
      <c r="Z90" s="50"/>
      <c r="AA90" s="10"/>
      <c r="AB90" s="10"/>
      <c r="AC90" s="10"/>
      <c r="AD90" s="10"/>
    </row>
    <row r="91" ht="15.75" customHeight="1">
      <c r="A91" s="50"/>
      <c r="B91" s="50"/>
      <c r="C91" s="50"/>
      <c r="D91" s="50"/>
      <c r="E91" s="50"/>
      <c r="F91" s="50"/>
      <c r="G91" s="50"/>
      <c r="H91" s="50"/>
      <c r="I91" s="80"/>
      <c r="J91" s="50"/>
      <c r="K91" s="50"/>
      <c r="L91" s="50"/>
      <c r="M91" s="50"/>
      <c r="N91" s="50"/>
      <c r="O91" s="50"/>
      <c r="P91" s="50"/>
      <c r="Q91" s="50"/>
      <c r="R91" s="50"/>
      <c r="S91" s="50"/>
      <c r="T91" s="50"/>
      <c r="U91" s="50"/>
      <c r="V91" s="50"/>
      <c r="W91" s="50"/>
      <c r="X91" s="50"/>
      <c r="Y91" s="50"/>
      <c r="Z91" s="50"/>
      <c r="AA91" s="10"/>
      <c r="AB91" s="10"/>
      <c r="AC91" s="10"/>
      <c r="AD91" s="10"/>
    </row>
    <row r="92" ht="15.75" customHeight="1">
      <c r="A92" s="50"/>
      <c r="B92" s="50"/>
      <c r="C92" s="50"/>
      <c r="D92" s="50"/>
      <c r="E92" s="50"/>
      <c r="F92" s="50"/>
      <c r="G92" s="50"/>
      <c r="H92" s="50"/>
      <c r="I92" s="80"/>
      <c r="J92" s="50"/>
      <c r="K92" s="50"/>
      <c r="L92" s="50"/>
      <c r="M92" s="50"/>
      <c r="N92" s="50"/>
      <c r="O92" s="50"/>
      <c r="P92" s="50"/>
      <c r="Q92" s="50"/>
      <c r="R92" s="50"/>
      <c r="S92" s="50"/>
      <c r="T92" s="50"/>
      <c r="U92" s="50"/>
      <c r="V92" s="50"/>
      <c r="W92" s="50"/>
      <c r="X92" s="50"/>
      <c r="Y92" s="50"/>
      <c r="Z92" s="50"/>
      <c r="AA92" s="10"/>
      <c r="AB92" s="10"/>
      <c r="AC92" s="10"/>
      <c r="AD92" s="10"/>
    </row>
    <row r="93" ht="15.75" customHeight="1">
      <c r="A93" s="50"/>
      <c r="B93" s="50"/>
      <c r="C93" s="50"/>
      <c r="D93" s="50"/>
      <c r="E93" s="50"/>
      <c r="F93" s="50"/>
      <c r="G93" s="50"/>
      <c r="H93" s="50"/>
      <c r="I93" s="80"/>
      <c r="J93" s="50"/>
      <c r="K93" s="50"/>
      <c r="L93" s="50"/>
      <c r="M93" s="50"/>
      <c r="N93" s="50"/>
      <c r="O93" s="50"/>
      <c r="P93" s="50"/>
      <c r="Q93" s="50"/>
      <c r="R93" s="50"/>
      <c r="S93" s="50"/>
      <c r="T93" s="50"/>
      <c r="U93" s="50"/>
      <c r="V93" s="50"/>
      <c r="W93" s="50"/>
      <c r="X93" s="50"/>
      <c r="Y93" s="50"/>
      <c r="Z93" s="50"/>
      <c r="AA93" s="10"/>
      <c r="AB93" s="10"/>
      <c r="AC93" s="10"/>
      <c r="AD93" s="10"/>
    </row>
    <row r="94" ht="15.75" customHeight="1">
      <c r="A94" s="50"/>
      <c r="B94" s="50"/>
      <c r="C94" s="50"/>
      <c r="D94" s="50"/>
      <c r="E94" s="50"/>
      <c r="F94" s="50"/>
      <c r="G94" s="50"/>
      <c r="H94" s="50"/>
      <c r="I94" s="80"/>
      <c r="J94" s="50"/>
      <c r="K94" s="50"/>
      <c r="L94" s="50"/>
      <c r="M94" s="50"/>
      <c r="N94" s="50"/>
      <c r="O94" s="50"/>
      <c r="P94" s="50"/>
      <c r="Q94" s="50"/>
      <c r="R94" s="50"/>
      <c r="S94" s="50"/>
      <c r="T94" s="50"/>
      <c r="U94" s="50"/>
      <c r="V94" s="50"/>
      <c r="W94" s="50"/>
      <c r="X94" s="50"/>
      <c r="Y94" s="50"/>
      <c r="Z94" s="50"/>
      <c r="AA94" s="10"/>
      <c r="AB94" s="10"/>
      <c r="AC94" s="10"/>
      <c r="AD94" s="10"/>
    </row>
    <row r="95" ht="15.75" customHeight="1">
      <c r="A95" s="50"/>
      <c r="B95" s="50"/>
      <c r="C95" s="50"/>
      <c r="D95" s="50"/>
      <c r="E95" s="50"/>
      <c r="F95" s="50"/>
      <c r="G95" s="50"/>
      <c r="H95" s="50"/>
      <c r="I95" s="80"/>
      <c r="J95" s="50"/>
      <c r="K95" s="50"/>
      <c r="L95" s="50"/>
      <c r="M95" s="50"/>
      <c r="N95" s="50"/>
      <c r="O95" s="50"/>
      <c r="P95" s="50"/>
      <c r="Q95" s="50"/>
      <c r="R95" s="50"/>
      <c r="S95" s="50"/>
      <c r="T95" s="50"/>
      <c r="U95" s="50"/>
      <c r="V95" s="50"/>
      <c r="W95" s="50"/>
      <c r="X95" s="50"/>
      <c r="Y95" s="50"/>
      <c r="Z95" s="50"/>
      <c r="AA95" s="10"/>
      <c r="AB95" s="10"/>
      <c r="AC95" s="10"/>
      <c r="AD95" s="10"/>
    </row>
    <row r="96" ht="15.75" customHeight="1">
      <c r="A96" s="10"/>
      <c r="B96" s="10"/>
      <c r="C96" s="10"/>
      <c r="D96" s="10"/>
      <c r="E96" s="10"/>
      <c r="F96" s="10"/>
      <c r="G96" s="10"/>
      <c r="H96" s="10"/>
      <c r="I96" s="195"/>
      <c r="J96" s="10"/>
      <c r="K96" s="10"/>
      <c r="L96" s="10"/>
      <c r="M96" s="10"/>
      <c r="N96" s="10"/>
      <c r="O96" s="10"/>
      <c r="P96" s="10"/>
      <c r="Q96" s="10"/>
      <c r="R96" s="10"/>
      <c r="S96" s="10"/>
      <c r="T96" s="10"/>
      <c r="U96" s="10"/>
      <c r="V96" s="10"/>
      <c r="W96" s="10"/>
      <c r="X96" s="10"/>
      <c r="Y96" s="10"/>
      <c r="Z96" s="10"/>
      <c r="AA96" s="10"/>
      <c r="AB96" s="10"/>
      <c r="AC96" s="10"/>
      <c r="AD96" s="10"/>
    </row>
    <row r="97" ht="15.75" customHeight="1">
      <c r="A97" s="10"/>
      <c r="B97" s="10"/>
      <c r="C97" s="10"/>
      <c r="D97" s="10"/>
      <c r="E97" s="10"/>
      <c r="F97" s="10"/>
      <c r="G97" s="10"/>
      <c r="H97" s="10"/>
      <c r="I97" s="195"/>
      <c r="J97" s="10"/>
      <c r="K97" s="10"/>
      <c r="L97" s="10"/>
      <c r="M97" s="10"/>
      <c r="N97" s="10"/>
      <c r="O97" s="10"/>
      <c r="P97" s="10"/>
      <c r="Q97" s="10"/>
      <c r="R97" s="10"/>
      <c r="S97" s="10"/>
      <c r="T97" s="10"/>
      <c r="U97" s="10"/>
      <c r="V97" s="10"/>
      <c r="W97" s="10"/>
      <c r="X97" s="10"/>
      <c r="Y97" s="10"/>
      <c r="Z97" s="10"/>
      <c r="AA97" s="10"/>
      <c r="AB97" s="10"/>
      <c r="AC97" s="10"/>
      <c r="AD97" s="10"/>
    </row>
    <row r="98" ht="15.75" customHeight="1">
      <c r="A98" s="10"/>
      <c r="B98" s="10"/>
      <c r="C98" s="10"/>
      <c r="D98" s="10"/>
      <c r="E98" s="10"/>
      <c r="F98" s="10"/>
      <c r="G98" s="10"/>
      <c r="H98" s="10"/>
      <c r="I98" s="195"/>
      <c r="J98" s="10"/>
      <c r="K98" s="10"/>
      <c r="L98" s="10"/>
      <c r="M98" s="10"/>
      <c r="N98" s="10"/>
      <c r="O98" s="10"/>
      <c r="P98" s="10"/>
      <c r="Q98" s="10"/>
      <c r="R98" s="10"/>
      <c r="S98" s="10"/>
      <c r="T98" s="10"/>
      <c r="U98" s="10"/>
      <c r="V98" s="10"/>
      <c r="W98" s="10"/>
      <c r="X98" s="10"/>
      <c r="Y98" s="10"/>
      <c r="Z98" s="10"/>
      <c r="AA98" s="10"/>
      <c r="AB98" s="10"/>
      <c r="AC98" s="10"/>
      <c r="AD98" s="10"/>
    </row>
    <row r="99" ht="15.75" customHeight="1">
      <c r="A99" s="10"/>
      <c r="B99" s="10"/>
      <c r="C99" s="10"/>
      <c r="D99" s="10"/>
      <c r="E99" s="10"/>
      <c r="F99" s="10"/>
      <c r="G99" s="10"/>
      <c r="H99" s="10"/>
      <c r="I99" s="195"/>
      <c r="J99" s="10"/>
      <c r="K99" s="10"/>
      <c r="L99" s="10"/>
      <c r="M99" s="10"/>
      <c r="N99" s="10"/>
      <c r="O99" s="10"/>
      <c r="P99" s="10"/>
      <c r="Q99" s="10"/>
      <c r="R99" s="10"/>
      <c r="S99" s="10"/>
      <c r="T99" s="10"/>
      <c r="U99" s="10"/>
      <c r="V99" s="10"/>
      <c r="W99" s="10"/>
      <c r="X99" s="10"/>
      <c r="Y99" s="10"/>
      <c r="Z99" s="10"/>
      <c r="AA99" s="10"/>
      <c r="AB99" s="10"/>
      <c r="AC99" s="10"/>
      <c r="AD99" s="10"/>
    </row>
    <row r="100" ht="15.75" customHeight="1">
      <c r="A100" s="10"/>
      <c r="B100" s="10"/>
      <c r="C100" s="10"/>
      <c r="D100" s="10"/>
      <c r="E100" s="10"/>
      <c r="F100" s="10"/>
      <c r="G100" s="10"/>
      <c r="H100" s="10"/>
      <c r="I100" s="195"/>
      <c r="J100" s="10"/>
      <c r="K100" s="10"/>
      <c r="L100" s="10"/>
      <c r="M100" s="10"/>
      <c r="N100" s="10"/>
      <c r="O100" s="10"/>
      <c r="P100" s="10"/>
      <c r="Q100" s="10"/>
      <c r="R100" s="10"/>
      <c r="S100" s="10"/>
      <c r="T100" s="10"/>
      <c r="U100" s="10"/>
      <c r="V100" s="10"/>
      <c r="W100" s="10"/>
      <c r="X100" s="10"/>
      <c r="Y100" s="10"/>
      <c r="Z100" s="10"/>
      <c r="AA100" s="10"/>
      <c r="AB100" s="10"/>
      <c r="AC100" s="10"/>
      <c r="AD100" s="10"/>
    </row>
    <row r="101" ht="15.75" customHeight="1">
      <c r="A101" s="10"/>
      <c r="B101" s="10"/>
      <c r="C101" s="10"/>
      <c r="D101" s="10"/>
      <c r="E101" s="10"/>
      <c r="F101" s="10"/>
      <c r="G101" s="10"/>
      <c r="H101" s="10"/>
      <c r="I101" s="195"/>
      <c r="J101" s="10"/>
      <c r="K101" s="10"/>
      <c r="L101" s="10"/>
      <c r="M101" s="10"/>
      <c r="N101" s="10"/>
      <c r="O101" s="10"/>
      <c r="P101" s="10"/>
      <c r="Q101" s="10"/>
      <c r="R101" s="10"/>
      <c r="S101" s="10"/>
      <c r="T101" s="10"/>
      <c r="U101" s="10"/>
      <c r="V101" s="10"/>
      <c r="W101" s="10"/>
      <c r="X101" s="10"/>
      <c r="Y101" s="10"/>
      <c r="Z101" s="10"/>
      <c r="AA101" s="10"/>
      <c r="AB101" s="10"/>
      <c r="AC101" s="10"/>
      <c r="AD101" s="10"/>
    </row>
    <row r="102" ht="15.75" customHeight="1">
      <c r="A102" s="10"/>
      <c r="B102" s="10"/>
      <c r="C102" s="10"/>
      <c r="D102" s="10"/>
      <c r="E102" s="10"/>
      <c r="F102" s="10"/>
      <c r="G102" s="10"/>
      <c r="H102" s="10"/>
      <c r="I102" s="195"/>
      <c r="J102" s="10"/>
      <c r="K102" s="10"/>
      <c r="L102" s="10"/>
      <c r="M102" s="10"/>
      <c r="N102" s="10"/>
      <c r="O102" s="10"/>
      <c r="P102" s="10"/>
      <c r="Q102" s="10"/>
      <c r="R102" s="10"/>
      <c r="S102" s="10"/>
      <c r="T102" s="10"/>
      <c r="U102" s="10"/>
      <c r="V102" s="10"/>
      <c r="W102" s="10"/>
      <c r="X102" s="10"/>
      <c r="Y102" s="10"/>
      <c r="Z102" s="10"/>
      <c r="AA102" s="10"/>
      <c r="AB102" s="10"/>
      <c r="AC102" s="10"/>
      <c r="AD102" s="10"/>
    </row>
    <row r="103" ht="15.75" customHeight="1">
      <c r="A103" s="10"/>
      <c r="B103" s="10"/>
      <c r="C103" s="10"/>
      <c r="D103" s="10"/>
      <c r="E103" s="10"/>
      <c r="F103" s="10"/>
      <c r="G103" s="10"/>
      <c r="H103" s="10"/>
      <c r="I103" s="195"/>
      <c r="J103" s="10"/>
      <c r="K103" s="10"/>
      <c r="L103" s="10"/>
      <c r="M103" s="10"/>
      <c r="N103" s="10"/>
      <c r="O103" s="10"/>
      <c r="P103" s="10"/>
      <c r="Q103" s="10"/>
      <c r="R103" s="10"/>
      <c r="S103" s="10"/>
      <c r="T103" s="10"/>
      <c r="U103" s="10"/>
      <c r="V103" s="10"/>
      <c r="W103" s="10"/>
      <c r="X103" s="10"/>
      <c r="Y103" s="10"/>
      <c r="Z103" s="10"/>
      <c r="AA103" s="10"/>
      <c r="AB103" s="10"/>
      <c r="AC103" s="10"/>
      <c r="AD103" s="10"/>
    </row>
    <row r="104" ht="15.75" customHeight="1">
      <c r="A104" s="10"/>
      <c r="B104" s="10"/>
      <c r="C104" s="10"/>
      <c r="D104" s="10"/>
      <c r="E104" s="10"/>
      <c r="F104" s="10"/>
      <c r="G104" s="10"/>
      <c r="H104" s="10"/>
      <c r="I104" s="195"/>
      <c r="J104" s="10"/>
      <c r="K104" s="10"/>
      <c r="L104" s="10"/>
      <c r="M104" s="10"/>
      <c r="N104" s="10"/>
      <c r="O104" s="10"/>
      <c r="P104" s="10"/>
      <c r="Q104" s="10"/>
      <c r="R104" s="10"/>
      <c r="S104" s="10"/>
      <c r="T104" s="10"/>
      <c r="U104" s="10"/>
      <c r="V104" s="10"/>
      <c r="W104" s="10"/>
      <c r="X104" s="10"/>
      <c r="Y104" s="10"/>
      <c r="Z104" s="10"/>
      <c r="AA104" s="10"/>
      <c r="AB104" s="10"/>
      <c r="AC104" s="10"/>
      <c r="AD104" s="10"/>
    </row>
    <row r="105" ht="15.75" customHeight="1">
      <c r="A105" s="10"/>
      <c r="B105" s="10"/>
      <c r="C105" s="10"/>
      <c r="D105" s="10"/>
      <c r="E105" s="10"/>
      <c r="F105" s="10"/>
      <c r="G105" s="10"/>
      <c r="H105" s="10"/>
      <c r="I105" s="195"/>
      <c r="J105" s="10"/>
      <c r="K105" s="10"/>
      <c r="L105" s="10"/>
      <c r="M105" s="10"/>
      <c r="N105" s="10"/>
      <c r="O105" s="10"/>
      <c r="P105" s="10"/>
      <c r="Q105" s="10"/>
      <c r="R105" s="10"/>
      <c r="S105" s="10"/>
      <c r="T105" s="10"/>
      <c r="U105" s="10"/>
      <c r="V105" s="10"/>
      <c r="W105" s="10"/>
      <c r="X105" s="10"/>
      <c r="Y105" s="10"/>
      <c r="Z105" s="10"/>
      <c r="AA105" s="10"/>
      <c r="AB105" s="10"/>
      <c r="AC105" s="10"/>
      <c r="AD105" s="10"/>
    </row>
    <row r="106" ht="15.75" customHeight="1">
      <c r="A106" s="10"/>
      <c r="B106" s="10"/>
      <c r="C106" s="10"/>
      <c r="D106" s="10"/>
      <c r="E106" s="10"/>
      <c r="F106" s="10"/>
      <c r="G106" s="10"/>
      <c r="H106" s="10"/>
      <c r="I106" s="195"/>
      <c r="J106" s="10"/>
      <c r="K106" s="10"/>
      <c r="L106" s="10"/>
      <c r="M106" s="10"/>
      <c r="N106" s="10"/>
      <c r="O106" s="10"/>
      <c r="P106" s="10"/>
      <c r="Q106" s="10"/>
      <c r="R106" s="10"/>
      <c r="S106" s="10"/>
      <c r="T106" s="10"/>
      <c r="U106" s="10"/>
      <c r="V106" s="10"/>
      <c r="W106" s="10"/>
      <c r="X106" s="10"/>
      <c r="Y106" s="10"/>
      <c r="Z106" s="10"/>
      <c r="AA106" s="10"/>
      <c r="AB106" s="10"/>
      <c r="AC106" s="10"/>
      <c r="AD106" s="10"/>
    </row>
    <row r="107" ht="15.75" customHeight="1">
      <c r="A107" s="10"/>
      <c r="B107" s="10"/>
      <c r="C107" s="10"/>
      <c r="D107" s="10"/>
      <c r="E107" s="10"/>
      <c r="F107" s="10"/>
      <c r="G107" s="10"/>
      <c r="H107" s="10"/>
      <c r="I107" s="195"/>
      <c r="J107" s="10"/>
      <c r="K107" s="10"/>
      <c r="L107" s="10"/>
      <c r="M107" s="10"/>
      <c r="N107" s="10"/>
      <c r="O107" s="10"/>
      <c r="P107" s="10"/>
      <c r="Q107" s="10"/>
      <c r="R107" s="10"/>
      <c r="S107" s="10"/>
      <c r="T107" s="10"/>
      <c r="U107" s="10"/>
      <c r="V107" s="10"/>
      <c r="W107" s="10"/>
      <c r="X107" s="10"/>
      <c r="Y107" s="10"/>
      <c r="Z107" s="10"/>
      <c r="AA107" s="10"/>
      <c r="AB107" s="10"/>
      <c r="AC107" s="10"/>
      <c r="AD107" s="10"/>
    </row>
    <row r="108" ht="15.75" customHeight="1">
      <c r="A108" s="10"/>
      <c r="B108" s="10"/>
      <c r="C108" s="10"/>
      <c r="D108" s="10"/>
      <c r="E108" s="10"/>
      <c r="F108" s="10"/>
      <c r="G108" s="10"/>
      <c r="H108" s="10"/>
      <c r="I108" s="195"/>
      <c r="J108" s="10"/>
      <c r="K108" s="10"/>
      <c r="L108" s="10"/>
      <c r="M108" s="10"/>
      <c r="N108" s="10"/>
      <c r="O108" s="10"/>
      <c r="P108" s="10"/>
      <c r="Q108" s="10"/>
      <c r="R108" s="10"/>
      <c r="S108" s="10"/>
      <c r="T108" s="10"/>
      <c r="U108" s="10"/>
      <c r="V108" s="10"/>
      <c r="W108" s="10"/>
      <c r="X108" s="10"/>
      <c r="Y108" s="10"/>
      <c r="Z108" s="10"/>
      <c r="AA108" s="10"/>
      <c r="AB108" s="10"/>
      <c r="AC108" s="10"/>
      <c r="AD108" s="10"/>
    </row>
    <row r="109" ht="15.75" customHeight="1">
      <c r="A109" s="10"/>
      <c r="B109" s="10"/>
      <c r="C109" s="10"/>
      <c r="D109" s="10"/>
      <c r="E109" s="10"/>
      <c r="F109" s="10"/>
      <c r="G109" s="10"/>
      <c r="H109" s="10"/>
      <c r="I109" s="195"/>
      <c r="J109" s="10"/>
      <c r="K109" s="10"/>
      <c r="L109" s="10"/>
      <c r="M109" s="10"/>
      <c r="N109" s="10"/>
      <c r="O109" s="10"/>
      <c r="P109" s="10"/>
      <c r="Q109" s="10"/>
      <c r="R109" s="10"/>
      <c r="S109" s="10"/>
      <c r="T109" s="10"/>
      <c r="U109" s="10"/>
      <c r="V109" s="10"/>
      <c r="W109" s="10"/>
      <c r="X109" s="10"/>
      <c r="Y109" s="10"/>
      <c r="Z109" s="10"/>
      <c r="AA109" s="10"/>
      <c r="AB109" s="10"/>
      <c r="AC109" s="10"/>
      <c r="AD109" s="10"/>
    </row>
    <row r="110" ht="15.75" customHeight="1">
      <c r="A110" s="10"/>
      <c r="B110" s="10"/>
      <c r="C110" s="10"/>
      <c r="D110" s="10"/>
      <c r="E110" s="10"/>
      <c r="F110" s="10"/>
      <c r="G110" s="10"/>
      <c r="H110" s="10"/>
      <c r="I110" s="195"/>
      <c r="J110" s="10"/>
      <c r="K110" s="10"/>
      <c r="L110" s="10"/>
      <c r="M110" s="10"/>
      <c r="N110" s="10"/>
      <c r="O110" s="10"/>
      <c r="P110" s="10"/>
      <c r="Q110" s="10"/>
      <c r="R110" s="10"/>
      <c r="S110" s="10"/>
      <c r="T110" s="10"/>
      <c r="U110" s="10"/>
      <c r="V110" s="10"/>
      <c r="W110" s="10"/>
      <c r="X110" s="10"/>
      <c r="Y110" s="10"/>
      <c r="Z110" s="10"/>
      <c r="AA110" s="10"/>
      <c r="AB110" s="10"/>
      <c r="AC110" s="10"/>
      <c r="AD110" s="10"/>
    </row>
    <row r="111" ht="15.75" customHeight="1">
      <c r="A111" s="10"/>
      <c r="B111" s="10"/>
      <c r="C111" s="10"/>
      <c r="D111" s="10"/>
      <c r="E111" s="10"/>
      <c r="F111" s="10"/>
      <c r="G111" s="10"/>
      <c r="H111" s="10"/>
      <c r="I111" s="195"/>
      <c r="J111" s="10"/>
      <c r="K111" s="10"/>
      <c r="L111" s="10"/>
      <c r="M111" s="10"/>
      <c r="N111" s="10"/>
      <c r="O111" s="10"/>
      <c r="P111" s="10"/>
      <c r="Q111" s="10"/>
      <c r="R111" s="10"/>
      <c r="S111" s="10"/>
      <c r="T111" s="10"/>
      <c r="U111" s="10"/>
      <c r="V111" s="10"/>
      <c r="W111" s="10"/>
      <c r="X111" s="10"/>
      <c r="Y111" s="10"/>
      <c r="Z111" s="10"/>
      <c r="AA111" s="10"/>
      <c r="AB111" s="10"/>
      <c r="AC111" s="10"/>
      <c r="AD111" s="10"/>
    </row>
    <row r="112" ht="15.75" customHeight="1">
      <c r="A112" s="10"/>
      <c r="B112" s="10"/>
      <c r="C112" s="10"/>
      <c r="D112" s="10"/>
      <c r="E112" s="10"/>
      <c r="F112" s="10"/>
      <c r="G112" s="10"/>
      <c r="H112" s="10"/>
      <c r="I112" s="195"/>
      <c r="J112" s="10"/>
      <c r="K112" s="10"/>
      <c r="L112" s="10"/>
      <c r="M112" s="10"/>
      <c r="N112" s="10"/>
      <c r="O112" s="10"/>
      <c r="P112" s="10"/>
      <c r="Q112" s="10"/>
      <c r="R112" s="10"/>
      <c r="S112" s="10"/>
      <c r="T112" s="10"/>
      <c r="U112" s="10"/>
      <c r="V112" s="10"/>
      <c r="W112" s="10"/>
      <c r="X112" s="10"/>
      <c r="Y112" s="10"/>
      <c r="Z112" s="10"/>
      <c r="AA112" s="10"/>
      <c r="AB112" s="10"/>
      <c r="AC112" s="10"/>
      <c r="AD112" s="10"/>
    </row>
    <row r="113" ht="15.75" customHeight="1">
      <c r="A113" s="10"/>
      <c r="B113" s="10"/>
      <c r="C113" s="10"/>
      <c r="D113" s="10"/>
      <c r="E113" s="10"/>
      <c r="F113" s="10"/>
      <c r="G113" s="10"/>
      <c r="H113" s="10"/>
      <c r="I113" s="195"/>
      <c r="J113" s="10"/>
      <c r="K113" s="10"/>
      <c r="L113" s="10"/>
      <c r="M113" s="10"/>
      <c r="N113" s="10"/>
      <c r="O113" s="10"/>
      <c r="P113" s="10"/>
      <c r="Q113" s="10"/>
      <c r="R113" s="10"/>
      <c r="S113" s="10"/>
      <c r="T113" s="10"/>
      <c r="U113" s="10"/>
      <c r="V113" s="10"/>
      <c r="W113" s="10"/>
      <c r="X113" s="10"/>
      <c r="Y113" s="10"/>
      <c r="Z113" s="10"/>
      <c r="AA113" s="10"/>
      <c r="AB113" s="10"/>
      <c r="AC113" s="10"/>
      <c r="AD113" s="10"/>
    </row>
    <row r="114" ht="15.75" customHeight="1">
      <c r="A114" s="10"/>
      <c r="B114" s="10"/>
      <c r="C114" s="10"/>
      <c r="D114" s="10"/>
      <c r="E114" s="10"/>
      <c r="F114" s="10"/>
      <c r="G114" s="10"/>
      <c r="H114" s="10"/>
      <c r="I114" s="195"/>
      <c r="J114" s="10"/>
      <c r="K114" s="10"/>
      <c r="L114" s="10"/>
      <c r="M114" s="10"/>
      <c r="N114" s="10"/>
      <c r="O114" s="10"/>
      <c r="P114" s="10"/>
      <c r="Q114" s="10"/>
      <c r="R114" s="10"/>
      <c r="S114" s="10"/>
      <c r="T114" s="10"/>
      <c r="U114" s="10"/>
      <c r="V114" s="10"/>
      <c r="W114" s="10"/>
      <c r="X114" s="10"/>
      <c r="Y114" s="10"/>
      <c r="Z114" s="10"/>
      <c r="AA114" s="10"/>
      <c r="AB114" s="10"/>
      <c r="AC114" s="10"/>
      <c r="AD114" s="10"/>
    </row>
    <row r="115" ht="15.75" customHeight="1">
      <c r="A115" s="10"/>
      <c r="B115" s="10"/>
      <c r="C115" s="10"/>
      <c r="D115" s="10"/>
      <c r="E115" s="10"/>
      <c r="F115" s="10"/>
      <c r="G115" s="10"/>
      <c r="H115" s="10"/>
      <c r="I115" s="195"/>
      <c r="J115" s="10"/>
      <c r="K115" s="10"/>
      <c r="L115" s="10"/>
      <c r="M115" s="10"/>
      <c r="N115" s="10"/>
      <c r="O115" s="10"/>
      <c r="P115" s="10"/>
      <c r="Q115" s="10"/>
      <c r="R115" s="10"/>
      <c r="S115" s="10"/>
      <c r="T115" s="10"/>
      <c r="U115" s="10"/>
      <c r="V115" s="10"/>
      <c r="W115" s="10"/>
      <c r="X115" s="10"/>
      <c r="Y115" s="10"/>
      <c r="Z115" s="10"/>
      <c r="AA115" s="10"/>
      <c r="AB115" s="10"/>
      <c r="AC115" s="10"/>
      <c r="AD115" s="10"/>
    </row>
    <row r="116" ht="15.75" customHeight="1">
      <c r="A116" s="10"/>
      <c r="B116" s="10"/>
      <c r="C116" s="10"/>
      <c r="D116" s="10"/>
      <c r="E116" s="10"/>
      <c r="F116" s="10"/>
      <c r="G116" s="10"/>
      <c r="H116" s="10"/>
      <c r="I116" s="195"/>
      <c r="J116" s="10"/>
      <c r="K116" s="10"/>
      <c r="L116" s="10"/>
      <c r="M116" s="10"/>
      <c r="N116" s="10"/>
      <c r="O116" s="10"/>
      <c r="P116" s="10"/>
      <c r="Q116" s="10"/>
      <c r="R116" s="10"/>
      <c r="S116" s="10"/>
      <c r="T116" s="10"/>
      <c r="U116" s="10"/>
      <c r="V116" s="10"/>
      <c r="W116" s="10"/>
      <c r="X116" s="10"/>
      <c r="Y116" s="10"/>
      <c r="Z116" s="10"/>
      <c r="AA116" s="10"/>
      <c r="AB116" s="10"/>
      <c r="AC116" s="10"/>
      <c r="AD116" s="10"/>
    </row>
    <row r="117" ht="15.75" customHeight="1">
      <c r="A117" s="10"/>
      <c r="B117" s="10"/>
      <c r="C117" s="10"/>
      <c r="D117" s="10"/>
      <c r="E117" s="10"/>
      <c r="F117" s="10"/>
      <c r="G117" s="10"/>
      <c r="H117" s="10"/>
      <c r="I117" s="195"/>
      <c r="J117" s="10"/>
      <c r="K117" s="10"/>
      <c r="L117" s="10"/>
      <c r="M117" s="10"/>
      <c r="N117" s="10"/>
      <c r="O117" s="10"/>
      <c r="P117" s="10"/>
      <c r="Q117" s="10"/>
      <c r="R117" s="10"/>
      <c r="S117" s="10"/>
      <c r="T117" s="10"/>
      <c r="U117" s="10"/>
      <c r="V117" s="10"/>
      <c r="W117" s="10"/>
      <c r="X117" s="10"/>
      <c r="Y117" s="10"/>
      <c r="Z117" s="10"/>
      <c r="AA117" s="10"/>
      <c r="AB117" s="10"/>
      <c r="AC117" s="10"/>
      <c r="AD117" s="10"/>
    </row>
    <row r="118" ht="15.75" customHeight="1">
      <c r="A118" s="10"/>
      <c r="B118" s="10"/>
      <c r="C118" s="10"/>
      <c r="D118" s="10"/>
      <c r="E118" s="10"/>
      <c r="F118" s="10"/>
      <c r="G118" s="10"/>
      <c r="H118" s="10"/>
      <c r="I118" s="195"/>
      <c r="J118" s="10"/>
      <c r="K118" s="10"/>
      <c r="L118" s="10"/>
      <c r="M118" s="10"/>
      <c r="N118" s="10"/>
      <c r="O118" s="10"/>
      <c r="P118" s="10"/>
      <c r="Q118" s="10"/>
      <c r="R118" s="10"/>
      <c r="S118" s="10"/>
      <c r="T118" s="10"/>
      <c r="U118" s="10"/>
      <c r="V118" s="10"/>
      <c r="W118" s="10"/>
      <c r="X118" s="10"/>
      <c r="Y118" s="10"/>
      <c r="Z118" s="10"/>
      <c r="AA118" s="10"/>
      <c r="AB118" s="10"/>
      <c r="AC118" s="10"/>
      <c r="AD118" s="10"/>
    </row>
    <row r="119" ht="15.75" customHeight="1">
      <c r="A119" s="10"/>
      <c r="B119" s="10"/>
      <c r="C119" s="10"/>
      <c r="D119" s="10"/>
      <c r="E119" s="10"/>
      <c r="F119" s="10"/>
      <c r="G119" s="10"/>
      <c r="H119" s="10"/>
      <c r="I119" s="195"/>
      <c r="J119" s="10"/>
      <c r="K119" s="10"/>
      <c r="L119" s="10"/>
      <c r="M119" s="10"/>
      <c r="N119" s="10"/>
      <c r="O119" s="10"/>
      <c r="P119" s="10"/>
      <c r="Q119" s="10"/>
      <c r="R119" s="10"/>
      <c r="S119" s="10"/>
      <c r="T119" s="10"/>
      <c r="U119" s="10"/>
      <c r="V119" s="10"/>
      <c r="W119" s="10"/>
      <c r="X119" s="10"/>
      <c r="Y119" s="10"/>
      <c r="Z119" s="10"/>
      <c r="AA119" s="10"/>
      <c r="AB119" s="10"/>
      <c r="AC119" s="10"/>
      <c r="AD119" s="10"/>
    </row>
    <row r="120" ht="15.75" customHeight="1">
      <c r="A120" s="10"/>
      <c r="B120" s="10"/>
      <c r="C120" s="10"/>
      <c r="D120" s="10"/>
      <c r="E120" s="10"/>
      <c r="F120" s="10"/>
      <c r="G120" s="10"/>
      <c r="H120" s="10"/>
      <c r="I120" s="195"/>
      <c r="J120" s="10"/>
      <c r="K120" s="10"/>
      <c r="L120" s="10"/>
      <c r="M120" s="10"/>
      <c r="N120" s="10"/>
      <c r="O120" s="10"/>
      <c r="P120" s="10"/>
      <c r="Q120" s="10"/>
      <c r="R120" s="10"/>
      <c r="S120" s="10"/>
      <c r="T120" s="10"/>
      <c r="U120" s="10"/>
      <c r="V120" s="10"/>
      <c r="W120" s="10"/>
      <c r="X120" s="10"/>
      <c r="Y120" s="10"/>
      <c r="Z120" s="10"/>
      <c r="AA120" s="10"/>
      <c r="AB120" s="10"/>
      <c r="AC120" s="10"/>
      <c r="AD120" s="10"/>
    </row>
    <row r="121" ht="15.75" customHeight="1">
      <c r="A121" s="10"/>
      <c r="B121" s="10"/>
      <c r="C121" s="10"/>
      <c r="D121" s="10"/>
      <c r="E121" s="10"/>
      <c r="F121" s="10"/>
      <c r="G121" s="10"/>
      <c r="H121" s="10"/>
      <c r="I121" s="195"/>
      <c r="J121" s="10"/>
      <c r="K121" s="10"/>
      <c r="L121" s="10"/>
      <c r="M121" s="10"/>
      <c r="N121" s="10"/>
      <c r="O121" s="10"/>
      <c r="P121" s="10"/>
      <c r="Q121" s="10"/>
      <c r="R121" s="10"/>
      <c r="S121" s="10"/>
      <c r="T121" s="10"/>
      <c r="U121" s="10"/>
      <c r="V121" s="10"/>
      <c r="W121" s="10"/>
      <c r="X121" s="10"/>
      <c r="Y121" s="10"/>
      <c r="Z121" s="10"/>
      <c r="AA121" s="10"/>
      <c r="AB121" s="10"/>
      <c r="AC121" s="10"/>
      <c r="AD121" s="10"/>
    </row>
    <row r="122" ht="15.75" customHeight="1">
      <c r="A122" s="10"/>
      <c r="B122" s="10"/>
      <c r="C122" s="10"/>
      <c r="D122" s="10"/>
      <c r="E122" s="10"/>
      <c r="F122" s="10"/>
      <c r="G122" s="10"/>
      <c r="H122" s="10"/>
      <c r="I122" s="195"/>
      <c r="J122" s="10"/>
      <c r="K122" s="10"/>
      <c r="L122" s="10"/>
      <c r="M122" s="10"/>
      <c r="N122" s="10"/>
      <c r="O122" s="10"/>
      <c r="P122" s="10"/>
      <c r="Q122" s="10"/>
      <c r="R122" s="10"/>
      <c r="S122" s="10"/>
      <c r="T122" s="10"/>
      <c r="U122" s="10"/>
      <c r="V122" s="10"/>
      <c r="W122" s="10"/>
      <c r="X122" s="10"/>
      <c r="Y122" s="10"/>
      <c r="Z122" s="10"/>
      <c r="AA122" s="10"/>
      <c r="AB122" s="10"/>
      <c r="AC122" s="10"/>
      <c r="AD122" s="10"/>
    </row>
    <row r="123" ht="15.75" customHeight="1">
      <c r="A123" s="10"/>
      <c r="B123" s="10"/>
      <c r="C123" s="10"/>
      <c r="D123" s="10"/>
      <c r="E123" s="10"/>
      <c r="F123" s="10"/>
      <c r="G123" s="10"/>
      <c r="H123" s="10"/>
      <c r="I123" s="195"/>
      <c r="J123" s="10"/>
      <c r="K123" s="10"/>
      <c r="L123" s="10"/>
      <c r="M123" s="10"/>
      <c r="N123" s="10"/>
      <c r="O123" s="10"/>
      <c r="P123" s="10"/>
      <c r="Q123" s="10"/>
      <c r="R123" s="10"/>
      <c r="S123" s="10"/>
      <c r="T123" s="10"/>
      <c r="U123" s="10"/>
      <c r="V123" s="10"/>
      <c r="W123" s="10"/>
      <c r="X123" s="10"/>
      <c r="Y123" s="10"/>
      <c r="Z123" s="10"/>
      <c r="AA123" s="10"/>
      <c r="AB123" s="10"/>
      <c r="AC123" s="10"/>
      <c r="AD123" s="10"/>
    </row>
    <row r="124" ht="15.75" customHeight="1">
      <c r="A124" s="10"/>
      <c r="B124" s="10"/>
      <c r="C124" s="10"/>
      <c r="D124" s="10"/>
      <c r="E124" s="10"/>
      <c r="F124" s="10"/>
      <c r="G124" s="10"/>
      <c r="H124" s="10"/>
      <c r="I124" s="195"/>
      <c r="J124" s="10"/>
      <c r="K124" s="10"/>
      <c r="L124" s="10"/>
      <c r="M124" s="10"/>
      <c r="N124" s="10"/>
      <c r="O124" s="10"/>
      <c r="P124" s="10"/>
      <c r="Q124" s="10"/>
      <c r="R124" s="10"/>
      <c r="S124" s="10"/>
      <c r="T124" s="10"/>
      <c r="U124" s="10"/>
      <c r="V124" s="10"/>
      <c r="W124" s="10"/>
      <c r="X124" s="10"/>
      <c r="Y124" s="10"/>
      <c r="Z124" s="10"/>
      <c r="AA124" s="10"/>
      <c r="AB124" s="10"/>
      <c r="AC124" s="10"/>
      <c r="AD124" s="10"/>
    </row>
    <row r="125" ht="15.75" customHeight="1">
      <c r="A125" s="10"/>
      <c r="B125" s="10"/>
      <c r="C125" s="10"/>
      <c r="D125" s="10"/>
      <c r="E125" s="10"/>
      <c r="F125" s="10"/>
      <c r="G125" s="10"/>
      <c r="H125" s="10"/>
      <c r="I125" s="195"/>
      <c r="J125" s="10"/>
      <c r="K125" s="10"/>
      <c r="L125" s="10"/>
      <c r="M125" s="10"/>
      <c r="N125" s="10"/>
      <c r="O125" s="10"/>
      <c r="P125" s="10"/>
      <c r="Q125" s="10"/>
      <c r="R125" s="10"/>
      <c r="S125" s="10"/>
      <c r="T125" s="10"/>
      <c r="U125" s="10"/>
      <c r="V125" s="10"/>
      <c r="W125" s="10"/>
      <c r="X125" s="10"/>
      <c r="Y125" s="10"/>
      <c r="Z125" s="10"/>
      <c r="AA125" s="10"/>
      <c r="AB125" s="10"/>
      <c r="AC125" s="10"/>
      <c r="AD125" s="10"/>
    </row>
    <row r="126" ht="15.75" customHeight="1">
      <c r="A126" s="10"/>
      <c r="B126" s="10"/>
      <c r="C126" s="10"/>
      <c r="D126" s="10"/>
      <c r="E126" s="10"/>
      <c r="F126" s="10"/>
      <c r="G126" s="10"/>
      <c r="H126" s="10"/>
      <c r="I126" s="195"/>
      <c r="J126" s="10"/>
      <c r="K126" s="10"/>
      <c r="L126" s="10"/>
      <c r="M126" s="10"/>
      <c r="N126" s="10"/>
      <c r="O126" s="10"/>
      <c r="P126" s="10"/>
      <c r="Q126" s="10"/>
      <c r="R126" s="10"/>
      <c r="S126" s="10"/>
      <c r="T126" s="10"/>
      <c r="U126" s="10"/>
      <c r="V126" s="10"/>
      <c r="W126" s="10"/>
      <c r="X126" s="10"/>
      <c r="Y126" s="10"/>
      <c r="Z126" s="10"/>
      <c r="AA126" s="10"/>
      <c r="AB126" s="10"/>
      <c r="AC126" s="10"/>
      <c r="AD126" s="10"/>
    </row>
    <row r="127" ht="15.75" customHeight="1">
      <c r="A127" s="10"/>
      <c r="B127" s="10"/>
      <c r="C127" s="10"/>
      <c r="D127" s="10"/>
      <c r="E127" s="10"/>
      <c r="F127" s="10"/>
      <c r="G127" s="10"/>
      <c r="H127" s="10"/>
      <c r="I127" s="195"/>
      <c r="J127" s="10"/>
      <c r="K127" s="10"/>
      <c r="L127" s="10"/>
      <c r="M127" s="10"/>
      <c r="N127" s="10"/>
      <c r="O127" s="10"/>
      <c r="P127" s="10"/>
      <c r="Q127" s="10"/>
      <c r="R127" s="10"/>
      <c r="S127" s="10"/>
      <c r="T127" s="10"/>
      <c r="U127" s="10"/>
      <c r="V127" s="10"/>
      <c r="W127" s="10"/>
      <c r="X127" s="10"/>
      <c r="Y127" s="10"/>
      <c r="Z127" s="10"/>
      <c r="AA127" s="10"/>
      <c r="AB127" s="10"/>
      <c r="AC127" s="10"/>
      <c r="AD127" s="10"/>
    </row>
    <row r="128" ht="15.75" customHeight="1">
      <c r="A128" s="10"/>
      <c r="B128" s="10"/>
      <c r="C128" s="10"/>
      <c r="D128" s="10"/>
      <c r="E128" s="10"/>
      <c r="F128" s="10"/>
      <c r="G128" s="10"/>
      <c r="H128" s="10"/>
      <c r="I128" s="195"/>
      <c r="J128" s="10"/>
      <c r="K128" s="10"/>
      <c r="L128" s="10"/>
      <c r="M128" s="10"/>
      <c r="N128" s="10"/>
      <c r="O128" s="10"/>
      <c r="P128" s="10"/>
      <c r="Q128" s="10"/>
      <c r="R128" s="10"/>
      <c r="S128" s="10"/>
      <c r="T128" s="10"/>
      <c r="U128" s="10"/>
      <c r="V128" s="10"/>
      <c r="W128" s="10"/>
      <c r="X128" s="10"/>
      <c r="Y128" s="10"/>
      <c r="Z128" s="10"/>
      <c r="AA128" s="10"/>
      <c r="AB128" s="10"/>
      <c r="AC128" s="10"/>
      <c r="AD128" s="10"/>
    </row>
    <row r="129" ht="15.75" customHeight="1">
      <c r="A129" s="10"/>
      <c r="B129" s="10"/>
      <c r="C129" s="10"/>
      <c r="D129" s="10"/>
      <c r="E129" s="10"/>
      <c r="F129" s="10"/>
      <c r="G129" s="10"/>
      <c r="H129" s="10"/>
      <c r="I129" s="195"/>
      <c r="J129" s="10"/>
      <c r="K129" s="10"/>
      <c r="L129" s="10"/>
      <c r="M129" s="10"/>
      <c r="N129" s="10"/>
      <c r="O129" s="10"/>
      <c r="P129" s="10"/>
      <c r="Q129" s="10"/>
      <c r="R129" s="10"/>
      <c r="S129" s="10"/>
      <c r="T129" s="10"/>
      <c r="U129" s="10"/>
      <c r="V129" s="10"/>
      <c r="W129" s="10"/>
      <c r="X129" s="10"/>
      <c r="Y129" s="10"/>
      <c r="Z129" s="10"/>
      <c r="AA129" s="10"/>
      <c r="AB129" s="10"/>
      <c r="AC129" s="10"/>
      <c r="AD129" s="10"/>
    </row>
    <row r="130" ht="15.75" customHeight="1">
      <c r="A130" s="10"/>
      <c r="B130" s="10"/>
      <c r="C130" s="10"/>
      <c r="D130" s="10"/>
      <c r="E130" s="10"/>
      <c r="F130" s="10"/>
      <c r="G130" s="10"/>
      <c r="H130" s="10"/>
      <c r="I130" s="195"/>
      <c r="J130" s="10"/>
      <c r="K130" s="10"/>
      <c r="L130" s="10"/>
      <c r="M130" s="10"/>
      <c r="N130" s="10"/>
      <c r="O130" s="10"/>
      <c r="P130" s="10"/>
      <c r="Q130" s="10"/>
      <c r="R130" s="10"/>
      <c r="S130" s="10"/>
      <c r="T130" s="10"/>
      <c r="U130" s="10"/>
      <c r="V130" s="10"/>
      <c r="W130" s="10"/>
      <c r="X130" s="10"/>
      <c r="Y130" s="10"/>
      <c r="Z130" s="10"/>
      <c r="AA130" s="10"/>
      <c r="AB130" s="10"/>
      <c r="AC130" s="10"/>
      <c r="AD130" s="10"/>
    </row>
    <row r="131" ht="15.75" customHeight="1">
      <c r="A131" s="10"/>
      <c r="B131" s="10"/>
      <c r="C131" s="10"/>
      <c r="D131" s="10"/>
      <c r="E131" s="10"/>
      <c r="F131" s="10"/>
      <c r="G131" s="10"/>
      <c r="H131" s="10"/>
      <c r="I131" s="195"/>
      <c r="J131" s="10"/>
      <c r="K131" s="10"/>
      <c r="L131" s="10"/>
      <c r="M131" s="10"/>
      <c r="N131" s="10"/>
      <c r="O131" s="10"/>
      <c r="P131" s="10"/>
      <c r="Q131" s="10"/>
      <c r="R131" s="10"/>
      <c r="S131" s="10"/>
      <c r="T131" s="10"/>
      <c r="U131" s="10"/>
      <c r="V131" s="10"/>
      <c r="W131" s="10"/>
      <c r="X131" s="10"/>
      <c r="Y131" s="10"/>
      <c r="Z131" s="10"/>
      <c r="AA131" s="10"/>
      <c r="AB131" s="10"/>
      <c r="AC131" s="10"/>
      <c r="AD131" s="10"/>
    </row>
    <row r="132" ht="15.75" customHeight="1">
      <c r="A132" s="10"/>
      <c r="B132" s="10"/>
      <c r="C132" s="10"/>
      <c r="D132" s="10"/>
      <c r="E132" s="10"/>
      <c r="F132" s="10"/>
      <c r="G132" s="10"/>
      <c r="H132" s="10"/>
      <c r="I132" s="195"/>
      <c r="J132" s="10"/>
      <c r="K132" s="10"/>
      <c r="L132" s="10"/>
      <c r="M132" s="10"/>
      <c r="N132" s="10"/>
      <c r="O132" s="10"/>
      <c r="P132" s="10"/>
      <c r="Q132" s="10"/>
      <c r="R132" s="10"/>
      <c r="S132" s="10"/>
      <c r="T132" s="10"/>
      <c r="U132" s="10"/>
      <c r="V132" s="10"/>
      <c r="W132" s="10"/>
      <c r="X132" s="10"/>
      <c r="Y132" s="10"/>
      <c r="Z132" s="10"/>
      <c r="AA132" s="10"/>
      <c r="AB132" s="10"/>
      <c r="AC132" s="10"/>
      <c r="AD132" s="10"/>
    </row>
    <row r="133" ht="15.75" customHeight="1">
      <c r="A133" s="10"/>
      <c r="B133" s="10"/>
      <c r="C133" s="10"/>
      <c r="D133" s="10"/>
      <c r="E133" s="10"/>
      <c r="F133" s="10"/>
      <c r="G133" s="10"/>
      <c r="H133" s="10"/>
      <c r="I133" s="195"/>
      <c r="J133" s="10"/>
      <c r="K133" s="10"/>
      <c r="L133" s="10"/>
      <c r="M133" s="10"/>
      <c r="N133" s="10"/>
      <c r="O133" s="10"/>
      <c r="P133" s="10"/>
      <c r="Q133" s="10"/>
      <c r="R133" s="10"/>
      <c r="S133" s="10"/>
      <c r="T133" s="10"/>
      <c r="U133" s="10"/>
      <c r="V133" s="10"/>
      <c r="W133" s="10"/>
      <c r="X133" s="10"/>
      <c r="Y133" s="10"/>
      <c r="Z133" s="10"/>
      <c r="AA133" s="10"/>
      <c r="AB133" s="10"/>
      <c r="AC133" s="10"/>
      <c r="AD133" s="10"/>
    </row>
    <row r="134" ht="15.75" customHeight="1">
      <c r="A134" s="10"/>
      <c r="B134" s="10"/>
      <c r="C134" s="10"/>
      <c r="D134" s="10"/>
      <c r="E134" s="10"/>
      <c r="F134" s="10"/>
      <c r="G134" s="10"/>
      <c r="H134" s="10"/>
      <c r="I134" s="195"/>
      <c r="J134" s="10"/>
      <c r="K134" s="10"/>
      <c r="L134" s="10"/>
      <c r="M134" s="10"/>
      <c r="N134" s="10"/>
      <c r="O134" s="10"/>
      <c r="P134" s="10"/>
      <c r="Q134" s="10"/>
      <c r="R134" s="10"/>
      <c r="S134" s="10"/>
      <c r="T134" s="10"/>
      <c r="U134" s="10"/>
      <c r="V134" s="10"/>
      <c r="W134" s="10"/>
      <c r="X134" s="10"/>
      <c r="Y134" s="10"/>
      <c r="Z134" s="10"/>
      <c r="AA134" s="10"/>
      <c r="AB134" s="10"/>
      <c r="AC134" s="10"/>
      <c r="AD134" s="10"/>
    </row>
    <row r="135" ht="15.75" customHeight="1">
      <c r="A135" s="10"/>
      <c r="B135" s="10"/>
      <c r="C135" s="10"/>
      <c r="D135" s="10"/>
      <c r="E135" s="10"/>
      <c r="F135" s="10"/>
      <c r="G135" s="10"/>
      <c r="H135" s="10"/>
      <c r="I135" s="195"/>
      <c r="J135" s="10"/>
      <c r="K135" s="10"/>
      <c r="L135" s="10"/>
      <c r="M135" s="10"/>
      <c r="N135" s="10"/>
      <c r="O135" s="10"/>
      <c r="P135" s="10"/>
      <c r="Q135" s="10"/>
      <c r="R135" s="10"/>
      <c r="S135" s="10"/>
      <c r="T135" s="10"/>
      <c r="U135" s="10"/>
      <c r="V135" s="10"/>
      <c r="W135" s="10"/>
      <c r="X135" s="10"/>
      <c r="Y135" s="10"/>
      <c r="Z135" s="10"/>
      <c r="AA135" s="10"/>
      <c r="AB135" s="10"/>
      <c r="AC135" s="10"/>
      <c r="AD135" s="10"/>
    </row>
    <row r="136" ht="15.75" customHeight="1">
      <c r="A136" s="10"/>
      <c r="B136" s="10"/>
      <c r="C136" s="10"/>
      <c r="D136" s="10"/>
      <c r="E136" s="10"/>
      <c r="F136" s="10"/>
      <c r="G136" s="10"/>
      <c r="H136" s="10"/>
      <c r="I136" s="195"/>
      <c r="J136" s="10"/>
      <c r="K136" s="10"/>
      <c r="L136" s="10"/>
      <c r="M136" s="10"/>
      <c r="N136" s="10"/>
      <c r="O136" s="10"/>
      <c r="P136" s="10"/>
      <c r="Q136" s="10"/>
      <c r="R136" s="10"/>
      <c r="S136" s="10"/>
      <c r="T136" s="10"/>
      <c r="U136" s="10"/>
      <c r="V136" s="10"/>
      <c r="W136" s="10"/>
      <c r="X136" s="10"/>
      <c r="Y136" s="10"/>
      <c r="Z136" s="10"/>
      <c r="AA136" s="10"/>
      <c r="AB136" s="10"/>
      <c r="AC136" s="10"/>
      <c r="AD136" s="10"/>
    </row>
    <row r="137" ht="15.75" customHeight="1">
      <c r="A137" s="10"/>
      <c r="B137" s="10"/>
      <c r="C137" s="10"/>
      <c r="D137" s="10"/>
      <c r="E137" s="10"/>
      <c r="F137" s="10"/>
      <c r="G137" s="10"/>
      <c r="H137" s="10"/>
      <c r="I137" s="195"/>
      <c r="J137" s="10"/>
      <c r="K137" s="10"/>
      <c r="L137" s="10"/>
      <c r="M137" s="10"/>
      <c r="N137" s="10"/>
      <c r="O137" s="10"/>
      <c r="P137" s="10"/>
      <c r="Q137" s="10"/>
      <c r="R137" s="10"/>
      <c r="S137" s="10"/>
      <c r="T137" s="10"/>
      <c r="U137" s="10"/>
      <c r="V137" s="10"/>
      <c r="W137" s="10"/>
      <c r="X137" s="10"/>
      <c r="Y137" s="10"/>
      <c r="Z137" s="10"/>
      <c r="AA137" s="10"/>
      <c r="AB137" s="10"/>
      <c r="AC137" s="10"/>
      <c r="AD137" s="10"/>
    </row>
    <row r="138" ht="15.75" customHeight="1">
      <c r="A138" s="10"/>
      <c r="B138" s="10"/>
      <c r="C138" s="10"/>
      <c r="D138" s="10"/>
      <c r="E138" s="10"/>
      <c r="F138" s="10"/>
      <c r="G138" s="10"/>
      <c r="H138" s="10"/>
      <c r="I138" s="195"/>
      <c r="J138" s="10"/>
      <c r="K138" s="10"/>
      <c r="L138" s="10"/>
      <c r="M138" s="10"/>
      <c r="N138" s="10"/>
      <c r="O138" s="10"/>
      <c r="P138" s="10"/>
      <c r="Q138" s="10"/>
      <c r="R138" s="10"/>
      <c r="S138" s="10"/>
      <c r="T138" s="10"/>
      <c r="U138" s="10"/>
      <c r="V138" s="10"/>
      <c r="W138" s="10"/>
      <c r="X138" s="10"/>
      <c r="Y138" s="10"/>
      <c r="Z138" s="10"/>
      <c r="AA138" s="10"/>
      <c r="AB138" s="10"/>
      <c r="AC138" s="10"/>
      <c r="AD138" s="10"/>
    </row>
    <row r="139" ht="15.75" customHeight="1">
      <c r="A139" s="10"/>
      <c r="B139" s="10"/>
      <c r="C139" s="10"/>
      <c r="D139" s="10"/>
      <c r="E139" s="10"/>
      <c r="F139" s="10"/>
      <c r="G139" s="10"/>
      <c r="H139" s="10"/>
      <c r="I139" s="195"/>
      <c r="J139" s="10"/>
      <c r="K139" s="10"/>
      <c r="L139" s="10"/>
      <c r="M139" s="10"/>
      <c r="N139" s="10"/>
      <c r="O139" s="10"/>
      <c r="P139" s="10"/>
      <c r="Q139" s="10"/>
      <c r="R139" s="10"/>
      <c r="S139" s="10"/>
      <c r="T139" s="10"/>
      <c r="U139" s="10"/>
      <c r="V139" s="10"/>
      <c r="W139" s="10"/>
      <c r="X139" s="10"/>
      <c r="Y139" s="10"/>
      <c r="Z139" s="10"/>
      <c r="AA139" s="10"/>
      <c r="AB139" s="10"/>
      <c r="AC139" s="10"/>
      <c r="AD139" s="10"/>
    </row>
    <row r="140" ht="15.75" customHeight="1">
      <c r="A140" s="10"/>
      <c r="B140" s="10"/>
      <c r="C140" s="10"/>
      <c r="D140" s="10"/>
      <c r="E140" s="10"/>
      <c r="F140" s="10"/>
      <c r="G140" s="10"/>
      <c r="H140" s="10"/>
      <c r="I140" s="195"/>
      <c r="J140" s="10"/>
      <c r="K140" s="10"/>
      <c r="L140" s="10"/>
      <c r="M140" s="10"/>
      <c r="N140" s="10"/>
      <c r="O140" s="10"/>
      <c r="P140" s="10"/>
      <c r="Q140" s="10"/>
      <c r="R140" s="10"/>
      <c r="S140" s="10"/>
      <c r="T140" s="10"/>
      <c r="U140" s="10"/>
      <c r="V140" s="10"/>
      <c r="W140" s="10"/>
      <c r="X140" s="10"/>
      <c r="Y140" s="10"/>
      <c r="Z140" s="10"/>
      <c r="AA140" s="10"/>
      <c r="AB140" s="10"/>
      <c r="AC140" s="10"/>
      <c r="AD140" s="10"/>
    </row>
    <row r="141" ht="15.75" customHeight="1">
      <c r="A141" s="10"/>
      <c r="B141" s="10"/>
      <c r="C141" s="10"/>
      <c r="D141" s="10"/>
      <c r="E141" s="10"/>
      <c r="F141" s="10"/>
      <c r="G141" s="10"/>
      <c r="H141" s="10"/>
      <c r="I141" s="195"/>
      <c r="J141" s="10"/>
      <c r="K141" s="10"/>
      <c r="L141" s="10"/>
      <c r="M141" s="10"/>
      <c r="N141" s="10"/>
      <c r="O141" s="10"/>
      <c r="P141" s="10"/>
      <c r="Q141" s="10"/>
      <c r="R141" s="10"/>
      <c r="S141" s="10"/>
      <c r="T141" s="10"/>
      <c r="U141" s="10"/>
      <c r="V141" s="10"/>
      <c r="W141" s="10"/>
      <c r="X141" s="10"/>
      <c r="Y141" s="10"/>
      <c r="Z141" s="10"/>
      <c r="AA141" s="10"/>
      <c r="AB141" s="10"/>
      <c r="AC141" s="10"/>
      <c r="AD141" s="10"/>
    </row>
    <row r="142" ht="15.75" customHeight="1">
      <c r="A142" s="10"/>
      <c r="B142" s="10"/>
      <c r="C142" s="10"/>
      <c r="D142" s="10"/>
      <c r="E142" s="10"/>
      <c r="F142" s="10"/>
      <c r="G142" s="10"/>
      <c r="H142" s="10"/>
      <c r="I142" s="195"/>
      <c r="J142" s="10"/>
      <c r="K142" s="10"/>
      <c r="L142" s="10"/>
      <c r="M142" s="10"/>
      <c r="N142" s="10"/>
      <c r="O142" s="10"/>
      <c r="P142" s="10"/>
      <c r="Q142" s="10"/>
      <c r="R142" s="10"/>
      <c r="S142" s="10"/>
      <c r="T142" s="10"/>
      <c r="U142" s="10"/>
      <c r="V142" s="10"/>
      <c r="W142" s="10"/>
      <c r="X142" s="10"/>
      <c r="Y142" s="10"/>
      <c r="Z142" s="10"/>
      <c r="AA142" s="10"/>
      <c r="AB142" s="10"/>
      <c r="AC142" s="10"/>
      <c r="AD142" s="10"/>
    </row>
    <row r="143" ht="15.75" customHeight="1">
      <c r="A143" s="10"/>
      <c r="B143" s="10"/>
      <c r="C143" s="10"/>
      <c r="D143" s="10"/>
      <c r="E143" s="10"/>
      <c r="F143" s="10"/>
      <c r="G143" s="10"/>
      <c r="H143" s="10"/>
      <c r="I143" s="195"/>
      <c r="J143" s="10"/>
      <c r="K143" s="10"/>
      <c r="L143" s="10"/>
      <c r="M143" s="10"/>
      <c r="N143" s="10"/>
      <c r="O143" s="10"/>
      <c r="P143" s="10"/>
      <c r="Q143" s="10"/>
      <c r="R143" s="10"/>
      <c r="S143" s="10"/>
      <c r="T143" s="10"/>
      <c r="U143" s="10"/>
      <c r="V143" s="10"/>
      <c r="W143" s="10"/>
      <c r="X143" s="10"/>
      <c r="Y143" s="10"/>
      <c r="Z143" s="10"/>
      <c r="AA143" s="10"/>
      <c r="AB143" s="10"/>
      <c r="AC143" s="10"/>
      <c r="AD143" s="10"/>
    </row>
    <row r="144" ht="15.75" customHeight="1">
      <c r="A144" s="10"/>
      <c r="B144" s="10"/>
      <c r="C144" s="10"/>
      <c r="D144" s="10"/>
      <c r="E144" s="10"/>
      <c r="F144" s="10"/>
      <c r="G144" s="10"/>
      <c r="H144" s="10"/>
      <c r="I144" s="195"/>
      <c r="J144" s="10"/>
      <c r="K144" s="10"/>
      <c r="L144" s="10"/>
      <c r="M144" s="10"/>
      <c r="N144" s="10"/>
      <c r="O144" s="10"/>
      <c r="P144" s="10"/>
      <c r="Q144" s="10"/>
      <c r="R144" s="10"/>
      <c r="S144" s="10"/>
      <c r="T144" s="10"/>
      <c r="U144" s="10"/>
      <c r="V144" s="10"/>
      <c r="W144" s="10"/>
      <c r="X144" s="10"/>
      <c r="Y144" s="10"/>
      <c r="Z144" s="10"/>
      <c r="AA144" s="10"/>
      <c r="AB144" s="10"/>
      <c r="AC144" s="10"/>
      <c r="AD144" s="10"/>
    </row>
    <row r="145" ht="15.75" customHeight="1">
      <c r="A145" s="10"/>
      <c r="B145" s="10"/>
      <c r="C145" s="10"/>
      <c r="D145" s="10"/>
      <c r="E145" s="10"/>
      <c r="F145" s="10"/>
      <c r="G145" s="10"/>
      <c r="H145" s="10"/>
      <c r="I145" s="195"/>
      <c r="J145" s="10"/>
      <c r="K145" s="10"/>
      <c r="L145" s="10"/>
      <c r="M145" s="10"/>
      <c r="N145" s="10"/>
      <c r="O145" s="10"/>
      <c r="P145" s="10"/>
      <c r="Q145" s="10"/>
      <c r="R145" s="10"/>
      <c r="S145" s="10"/>
      <c r="T145" s="10"/>
      <c r="U145" s="10"/>
      <c r="V145" s="10"/>
      <c r="W145" s="10"/>
      <c r="X145" s="10"/>
      <c r="Y145" s="10"/>
      <c r="Z145" s="10"/>
      <c r="AA145" s="10"/>
      <c r="AB145" s="10"/>
      <c r="AC145" s="10"/>
      <c r="AD145" s="10"/>
    </row>
    <row r="146" ht="15.75" customHeight="1">
      <c r="A146" s="10"/>
      <c r="B146" s="10"/>
      <c r="C146" s="10"/>
      <c r="D146" s="10"/>
      <c r="E146" s="10"/>
      <c r="F146" s="10"/>
      <c r="G146" s="10"/>
      <c r="H146" s="10"/>
      <c r="I146" s="195"/>
      <c r="J146" s="10"/>
      <c r="K146" s="10"/>
      <c r="L146" s="10"/>
      <c r="M146" s="10"/>
      <c r="N146" s="10"/>
      <c r="O146" s="10"/>
      <c r="P146" s="10"/>
      <c r="Q146" s="10"/>
      <c r="R146" s="10"/>
      <c r="S146" s="10"/>
      <c r="T146" s="10"/>
      <c r="U146" s="10"/>
      <c r="V146" s="10"/>
      <c r="W146" s="10"/>
      <c r="X146" s="10"/>
      <c r="Y146" s="10"/>
      <c r="Z146" s="10"/>
      <c r="AA146" s="10"/>
      <c r="AB146" s="10"/>
      <c r="AC146" s="10"/>
      <c r="AD146" s="10"/>
    </row>
    <row r="147" ht="15.75" customHeight="1">
      <c r="A147" s="10"/>
      <c r="B147" s="10"/>
      <c r="C147" s="10"/>
      <c r="D147" s="10"/>
      <c r="E147" s="10"/>
      <c r="F147" s="10"/>
      <c r="G147" s="10"/>
      <c r="H147" s="10"/>
      <c r="I147" s="195"/>
      <c r="J147" s="10"/>
      <c r="K147" s="10"/>
      <c r="L147" s="10"/>
      <c r="M147" s="10"/>
      <c r="N147" s="10"/>
      <c r="O147" s="10"/>
      <c r="P147" s="10"/>
      <c r="Q147" s="10"/>
      <c r="R147" s="10"/>
      <c r="S147" s="10"/>
      <c r="T147" s="10"/>
      <c r="U147" s="10"/>
      <c r="V147" s="10"/>
      <c r="W147" s="10"/>
      <c r="X147" s="10"/>
      <c r="Y147" s="10"/>
      <c r="Z147" s="10"/>
      <c r="AA147" s="10"/>
      <c r="AB147" s="10"/>
      <c r="AC147" s="10"/>
      <c r="AD147" s="10"/>
    </row>
    <row r="148" ht="15.75" customHeight="1">
      <c r="A148" s="10"/>
      <c r="B148" s="10"/>
      <c r="C148" s="10"/>
      <c r="D148" s="10"/>
      <c r="E148" s="10"/>
      <c r="F148" s="10"/>
      <c r="G148" s="10"/>
      <c r="H148" s="10"/>
      <c r="I148" s="195"/>
      <c r="J148" s="10"/>
      <c r="K148" s="10"/>
      <c r="L148" s="10"/>
      <c r="M148" s="10"/>
      <c r="N148" s="10"/>
      <c r="O148" s="10"/>
      <c r="P148" s="10"/>
      <c r="Q148" s="10"/>
      <c r="R148" s="10"/>
      <c r="S148" s="10"/>
      <c r="T148" s="10"/>
      <c r="U148" s="10"/>
      <c r="V148" s="10"/>
      <c r="W148" s="10"/>
      <c r="X148" s="10"/>
      <c r="Y148" s="10"/>
      <c r="Z148" s="10"/>
      <c r="AA148" s="10"/>
      <c r="AB148" s="10"/>
      <c r="AC148" s="10"/>
      <c r="AD148" s="10"/>
    </row>
    <row r="149" ht="15.75" customHeight="1">
      <c r="A149" s="10"/>
      <c r="B149" s="10"/>
      <c r="C149" s="10"/>
      <c r="D149" s="10"/>
      <c r="E149" s="10"/>
      <c r="F149" s="10"/>
      <c r="G149" s="10"/>
      <c r="H149" s="10"/>
      <c r="I149" s="195"/>
      <c r="J149" s="10"/>
      <c r="K149" s="10"/>
      <c r="L149" s="10"/>
      <c r="M149" s="10"/>
      <c r="N149" s="10"/>
      <c r="O149" s="10"/>
      <c r="P149" s="10"/>
      <c r="Q149" s="10"/>
      <c r="R149" s="10"/>
      <c r="S149" s="10"/>
      <c r="T149" s="10"/>
      <c r="U149" s="10"/>
      <c r="V149" s="10"/>
      <c r="W149" s="10"/>
      <c r="X149" s="10"/>
      <c r="Y149" s="10"/>
      <c r="Z149" s="10"/>
      <c r="AA149" s="10"/>
      <c r="AB149" s="10"/>
      <c r="AC149" s="10"/>
      <c r="AD149" s="10"/>
    </row>
    <row r="150" ht="15.75" customHeight="1">
      <c r="A150" s="10"/>
      <c r="B150" s="10"/>
      <c r="C150" s="10"/>
      <c r="D150" s="10"/>
      <c r="E150" s="10"/>
      <c r="F150" s="10"/>
      <c r="G150" s="10"/>
      <c r="H150" s="10"/>
      <c r="I150" s="195"/>
      <c r="J150" s="10"/>
      <c r="K150" s="10"/>
      <c r="L150" s="10"/>
      <c r="M150" s="10"/>
      <c r="N150" s="10"/>
      <c r="O150" s="10"/>
      <c r="P150" s="10"/>
      <c r="Q150" s="10"/>
      <c r="R150" s="10"/>
      <c r="S150" s="10"/>
      <c r="T150" s="10"/>
      <c r="U150" s="10"/>
      <c r="V150" s="10"/>
      <c r="W150" s="10"/>
      <c r="X150" s="10"/>
      <c r="Y150" s="10"/>
      <c r="Z150" s="10"/>
      <c r="AA150" s="10"/>
      <c r="AB150" s="10"/>
      <c r="AC150" s="10"/>
      <c r="AD150" s="10"/>
    </row>
    <row r="151" ht="15.75" customHeight="1">
      <c r="A151" s="10"/>
      <c r="B151" s="10"/>
      <c r="C151" s="10"/>
      <c r="D151" s="10"/>
      <c r="E151" s="10"/>
      <c r="F151" s="10"/>
      <c r="G151" s="10"/>
      <c r="H151" s="10"/>
      <c r="I151" s="195"/>
      <c r="J151" s="10"/>
      <c r="K151" s="10"/>
      <c r="L151" s="10"/>
      <c r="M151" s="10"/>
      <c r="N151" s="10"/>
      <c r="O151" s="10"/>
      <c r="P151" s="10"/>
      <c r="Q151" s="10"/>
      <c r="R151" s="10"/>
      <c r="S151" s="10"/>
      <c r="T151" s="10"/>
      <c r="U151" s="10"/>
      <c r="V151" s="10"/>
      <c r="W151" s="10"/>
      <c r="X151" s="10"/>
      <c r="Y151" s="10"/>
      <c r="Z151" s="10"/>
      <c r="AA151" s="10"/>
      <c r="AB151" s="10"/>
      <c r="AC151" s="10"/>
      <c r="AD151" s="10"/>
    </row>
    <row r="152" ht="15.75" customHeight="1">
      <c r="A152" s="10"/>
      <c r="B152" s="10"/>
      <c r="C152" s="10"/>
      <c r="D152" s="10"/>
      <c r="E152" s="10"/>
      <c r="F152" s="10"/>
      <c r="G152" s="10"/>
      <c r="H152" s="10"/>
      <c r="I152" s="195"/>
      <c r="J152" s="10"/>
      <c r="K152" s="10"/>
      <c r="L152" s="10"/>
      <c r="M152" s="10"/>
      <c r="N152" s="10"/>
      <c r="O152" s="10"/>
      <c r="P152" s="10"/>
      <c r="Q152" s="10"/>
      <c r="R152" s="10"/>
      <c r="S152" s="10"/>
      <c r="T152" s="10"/>
      <c r="U152" s="10"/>
      <c r="V152" s="10"/>
      <c r="W152" s="10"/>
      <c r="X152" s="10"/>
      <c r="Y152" s="10"/>
      <c r="Z152" s="10"/>
      <c r="AA152" s="10"/>
      <c r="AB152" s="10"/>
      <c r="AC152" s="10"/>
      <c r="AD152" s="10"/>
    </row>
    <row r="153" ht="15.75" customHeight="1">
      <c r="A153" s="10"/>
      <c r="B153" s="10"/>
      <c r="C153" s="10"/>
      <c r="D153" s="10"/>
      <c r="E153" s="10"/>
      <c r="F153" s="10"/>
      <c r="G153" s="10"/>
      <c r="H153" s="10"/>
      <c r="I153" s="195"/>
      <c r="J153" s="10"/>
      <c r="K153" s="10"/>
      <c r="L153" s="10"/>
      <c r="M153" s="10"/>
      <c r="N153" s="10"/>
      <c r="O153" s="10"/>
      <c r="P153" s="10"/>
      <c r="Q153" s="10"/>
      <c r="R153" s="10"/>
      <c r="S153" s="10"/>
      <c r="T153" s="10"/>
      <c r="U153" s="10"/>
      <c r="V153" s="10"/>
      <c r="W153" s="10"/>
      <c r="X153" s="10"/>
      <c r="Y153" s="10"/>
      <c r="Z153" s="10"/>
      <c r="AA153" s="10"/>
      <c r="AB153" s="10"/>
      <c r="AC153" s="10"/>
      <c r="AD153" s="10"/>
    </row>
    <row r="154" ht="15.75" customHeight="1">
      <c r="A154" s="10"/>
      <c r="B154" s="10"/>
      <c r="C154" s="10"/>
      <c r="D154" s="10"/>
      <c r="E154" s="10"/>
      <c r="F154" s="10"/>
      <c r="G154" s="10"/>
      <c r="H154" s="10"/>
      <c r="I154" s="195"/>
      <c r="J154" s="10"/>
      <c r="K154" s="10"/>
      <c r="L154" s="10"/>
      <c r="M154" s="10"/>
      <c r="N154" s="10"/>
      <c r="O154" s="10"/>
      <c r="P154" s="10"/>
      <c r="Q154" s="10"/>
      <c r="R154" s="10"/>
      <c r="S154" s="10"/>
      <c r="T154" s="10"/>
      <c r="U154" s="10"/>
      <c r="V154" s="10"/>
      <c r="W154" s="10"/>
      <c r="X154" s="10"/>
      <c r="Y154" s="10"/>
      <c r="Z154" s="10"/>
      <c r="AA154" s="10"/>
      <c r="AB154" s="10"/>
      <c r="AC154" s="10"/>
      <c r="AD154" s="10"/>
    </row>
    <row r="155" ht="15.75" customHeight="1">
      <c r="A155" s="10"/>
      <c r="B155" s="10"/>
      <c r="C155" s="10"/>
      <c r="D155" s="10"/>
      <c r="E155" s="10"/>
      <c r="F155" s="10"/>
      <c r="G155" s="10"/>
      <c r="H155" s="10"/>
      <c r="I155" s="195"/>
      <c r="J155" s="10"/>
      <c r="K155" s="10"/>
      <c r="L155" s="10"/>
      <c r="M155" s="10"/>
      <c r="N155" s="10"/>
      <c r="O155" s="10"/>
      <c r="P155" s="10"/>
      <c r="Q155" s="10"/>
      <c r="R155" s="10"/>
      <c r="S155" s="10"/>
      <c r="T155" s="10"/>
      <c r="U155" s="10"/>
      <c r="V155" s="10"/>
      <c r="W155" s="10"/>
      <c r="X155" s="10"/>
      <c r="Y155" s="10"/>
      <c r="Z155" s="10"/>
      <c r="AA155" s="10"/>
      <c r="AB155" s="10"/>
      <c r="AC155" s="10"/>
      <c r="AD155" s="10"/>
    </row>
    <row r="156" ht="15.75" customHeight="1">
      <c r="A156" s="10"/>
      <c r="B156" s="10"/>
      <c r="C156" s="10"/>
      <c r="D156" s="10"/>
      <c r="E156" s="10"/>
      <c r="F156" s="10"/>
      <c r="G156" s="10"/>
      <c r="H156" s="10"/>
      <c r="I156" s="195"/>
      <c r="J156" s="10"/>
      <c r="K156" s="10"/>
      <c r="L156" s="10"/>
      <c r="M156" s="10"/>
      <c r="N156" s="10"/>
      <c r="O156" s="10"/>
      <c r="P156" s="10"/>
      <c r="Q156" s="10"/>
      <c r="R156" s="10"/>
      <c r="S156" s="10"/>
      <c r="T156" s="10"/>
      <c r="U156" s="10"/>
      <c r="V156" s="10"/>
      <c r="W156" s="10"/>
      <c r="X156" s="10"/>
      <c r="Y156" s="10"/>
      <c r="Z156" s="10"/>
      <c r="AA156" s="10"/>
      <c r="AB156" s="10"/>
      <c r="AC156" s="10"/>
      <c r="AD156" s="10"/>
    </row>
    <row r="157" ht="15.75" customHeight="1">
      <c r="A157" s="10"/>
      <c r="B157" s="10"/>
      <c r="C157" s="10"/>
      <c r="D157" s="10"/>
      <c r="E157" s="10"/>
      <c r="F157" s="10"/>
      <c r="G157" s="10"/>
      <c r="H157" s="10"/>
      <c r="I157" s="195"/>
      <c r="J157" s="10"/>
      <c r="K157" s="10"/>
      <c r="L157" s="10"/>
      <c r="M157" s="10"/>
      <c r="N157" s="10"/>
      <c r="O157" s="10"/>
      <c r="P157" s="10"/>
      <c r="Q157" s="10"/>
      <c r="R157" s="10"/>
      <c r="S157" s="10"/>
      <c r="T157" s="10"/>
      <c r="U157" s="10"/>
      <c r="V157" s="10"/>
      <c r="W157" s="10"/>
      <c r="X157" s="10"/>
      <c r="Y157" s="10"/>
      <c r="Z157" s="10"/>
      <c r="AA157" s="10"/>
      <c r="AB157" s="10"/>
      <c r="AC157" s="10"/>
      <c r="AD157" s="10"/>
    </row>
    <row r="158" ht="15.75" customHeight="1">
      <c r="A158" s="10"/>
      <c r="B158" s="10"/>
      <c r="C158" s="10"/>
      <c r="D158" s="10"/>
      <c r="E158" s="10"/>
      <c r="F158" s="10"/>
      <c r="G158" s="10"/>
      <c r="H158" s="10"/>
      <c r="I158" s="195"/>
      <c r="J158" s="10"/>
      <c r="K158" s="10"/>
      <c r="L158" s="10"/>
      <c r="M158" s="10"/>
      <c r="N158" s="10"/>
      <c r="O158" s="10"/>
      <c r="P158" s="10"/>
      <c r="Q158" s="10"/>
      <c r="R158" s="10"/>
      <c r="S158" s="10"/>
      <c r="T158" s="10"/>
      <c r="U158" s="10"/>
      <c r="V158" s="10"/>
      <c r="W158" s="10"/>
      <c r="X158" s="10"/>
      <c r="Y158" s="10"/>
      <c r="Z158" s="10"/>
      <c r="AA158" s="10"/>
      <c r="AB158" s="10"/>
      <c r="AC158" s="10"/>
      <c r="AD158" s="10"/>
    </row>
    <row r="159" ht="15.75" customHeight="1">
      <c r="A159" s="10"/>
      <c r="B159" s="10"/>
      <c r="C159" s="10"/>
      <c r="D159" s="10"/>
      <c r="E159" s="10"/>
      <c r="F159" s="10"/>
      <c r="G159" s="10"/>
      <c r="H159" s="10"/>
      <c r="I159" s="195"/>
      <c r="J159" s="10"/>
      <c r="K159" s="10"/>
      <c r="L159" s="10"/>
      <c r="M159" s="10"/>
      <c r="N159" s="10"/>
      <c r="O159" s="10"/>
      <c r="P159" s="10"/>
      <c r="Q159" s="10"/>
      <c r="R159" s="10"/>
      <c r="S159" s="10"/>
      <c r="T159" s="10"/>
      <c r="U159" s="10"/>
      <c r="V159" s="10"/>
      <c r="W159" s="10"/>
      <c r="X159" s="10"/>
      <c r="Y159" s="10"/>
      <c r="Z159" s="10"/>
      <c r="AA159" s="10"/>
      <c r="AB159" s="10"/>
      <c r="AC159" s="10"/>
      <c r="AD159" s="10"/>
    </row>
    <row r="160" ht="15.75" customHeight="1">
      <c r="A160" s="10"/>
      <c r="B160" s="10"/>
      <c r="C160" s="10"/>
      <c r="D160" s="10"/>
      <c r="E160" s="10"/>
      <c r="F160" s="10"/>
      <c r="G160" s="10"/>
      <c r="H160" s="10"/>
      <c r="I160" s="195"/>
      <c r="J160" s="10"/>
      <c r="K160" s="10"/>
      <c r="L160" s="10"/>
      <c r="M160" s="10"/>
      <c r="N160" s="10"/>
      <c r="O160" s="10"/>
      <c r="P160" s="10"/>
      <c r="Q160" s="10"/>
      <c r="R160" s="10"/>
      <c r="S160" s="10"/>
      <c r="T160" s="10"/>
      <c r="U160" s="10"/>
      <c r="V160" s="10"/>
      <c r="W160" s="10"/>
      <c r="X160" s="10"/>
      <c r="Y160" s="10"/>
      <c r="Z160" s="10"/>
      <c r="AA160" s="10"/>
      <c r="AB160" s="10"/>
      <c r="AC160" s="10"/>
      <c r="AD160" s="10"/>
    </row>
    <row r="161" ht="15.75" customHeight="1">
      <c r="A161" s="10"/>
      <c r="B161" s="10"/>
      <c r="C161" s="10"/>
      <c r="D161" s="10"/>
      <c r="E161" s="10"/>
      <c r="F161" s="10"/>
      <c r="G161" s="10"/>
      <c r="H161" s="10"/>
      <c r="I161" s="195"/>
      <c r="J161" s="10"/>
      <c r="K161" s="10"/>
      <c r="L161" s="10"/>
      <c r="M161" s="10"/>
      <c r="N161" s="10"/>
      <c r="O161" s="10"/>
      <c r="P161" s="10"/>
      <c r="Q161" s="10"/>
      <c r="R161" s="10"/>
      <c r="S161" s="10"/>
      <c r="T161" s="10"/>
      <c r="U161" s="10"/>
      <c r="V161" s="10"/>
      <c r="W161" s="10"/>
      <c r="X161" s="10"/>
      <c r="Y161" s="10"/>
      <c r="Z161" s="10"/>
      <c r="AA161" s="10"/>
      <c r="AB161" s="10"/>
      <c r="AC161" s="10"/>
      <c r="AD161" s="10"/>
    </row>
    <row r="162" ht="15.75" customHeight="1">
      <c r="A162" s="10"/>
      <c r="B162" s="10"/>
      <c r="C162" s="10"/>
      <c r="D162" s="10"/>
      <c r="E162" s="10"/>
      <c r="F162" s="10"/>
      <c r="G162" s="10"/>
      <c r="H162" s="10"/>
      <c r="I162" s="195"/>
      <c r="J162" s="10"/>
      <c r="K162" s="10"/>
      <c r="L162" s="10"/>
      <c r="M162" s="10"/>
      <c r="N162" s="10"/>
      <c r="O162" s="10"/>
      <c r="P162" s="10"/>
      <c r="Q162" s="10"/>
      <c r="R162" s="10"/>
      <c r="S162" s="10"/>
      <c r="T162" s="10"/>
      <c r="U162" s="10"/>
      <c r="V162" s="10"/>
      <c r="W162" s="10"/>
      <c r="X162" s="10"/>
      <c r="Y162" s="10"/>
      <c r="Z162" s="10"/>
      <c r="AA162" s="10"/>
      <c r="AB162" s="10"/>
      <c r="AC162" s="10"/>
      <c r="AD162" s="10"/>
    </row>
    <row r="163" ht="15.75" customHeight="1">
      <c r="A163" s="10"/>
      <c r="B163" s="10"/>
      <c r="C163" s="10"/>
      <c r="D163" s="10"/>
      <c r="E163" s="10"/>
      <c r="F163" s="10"/>
      <c r="G163" s="10"/>
      <c r="H163" s="10"/>
      <c r="I163" s="195"/>
      <c r="J163" s="10"/>
      <c r="K163" s="10"/>
      <c r="L163" s="10"/>
      <c r="M163" s="10"/>
      <c r="N163" s="10"/>
      <c r="O163" s="10"/>
      <c r="P163" s="10"/>
      <c r="Q163" s="10"/>
      <c r="R163" s="10"/>
      <c r="S163" s="10"/>
      <c r="T163" s="10"/>
      <c r="U163" s="10"/>
      <c r="V163" s="10"/>
      <c r="W163" s="10"/>
      <c r="X163" s="10"/>
      <c r="Y163" s="10"/>
      <c r="Z163" s="10"/>
      <c r="AA163" s="10"/>
      <c r="AB163" s="10"/>
      <c r="AC163" s="10"/>
      <c r="AD163" s="10"/>
    </row>
    <row r="164" ht="15.75" customHeight="1">
      <c r="A164" s="10"/>
      <c r="B164" s="10"/>
      <c r="C164" s="10"/>
      <c r="D164" s="10"/>
      <c r="E164" s="10"/>
      <c r="F164" s="10"/>
      <c r="G164" s="10"/>
      <c r="H164" s="10"/>
      <c r="I164" s="195"/>
      <c r="J164" s="10"/>
      <c r="K164" s="10"/>
      <c r="L164" s="10"/>
      <c r="M164" s="10"/>
      <c r="N164" s="10"/>
      <c r="O164" s="10"/>
      <c r="P164" s="10"/>
      <c r="Q164" s="10"/>
      <c r="R164" s="10"/>
      <c r="S164" s="10"/>
      <c r="T164" s="10"/>
      <c r="U164" s="10"/>
      <c r="V164" s="10"/>
      <c r="W164" s="10"/>
      <c r="X164" s="10"/>
      <c r="Y164" s="10"/>
      <c r="Z164" s="10"/>
      <c r="AA164" s="10"/>
      <c r="AB164" s="10"/>
      <c r="AC164" s="10"/>
      <c r="AD164" s="10"/>
    </row>
    <row r="165" ht="15.75" customHeight="1">
      <c r="A165" s="10"/>
      <c r="B165" s="10"/>
      <c r="C165" s="10"/>
      <c r="D165" s="10"/>
      <c r="E165" s="10"/>
      <c r="F165" s="10"/>
      <c r="G165" s="10"/>
      <c r="H165" s="10"/>
      <c r="I165" s="195"/>
      <c r="J165" s="10"/>
      <c r="K165" s="10"/>
      <c r="L165" s="10"/>
      <c r="M165" s="10"/>
      <c r="N165" s="10"/>
      <c r="O165" s="10"/>
      <c r="P165" s="10"/>
      <c r="Q165" s="10"/>
      <c r="R165" s="10"/>
      <c r="S165" s="10"/>
      <c r="T165" s="10"/>
      <c r="U165" s="10"/>
      <c r="V165" s="10"/>
      <c r="W165" s="10"/>
      <c r="X165" s="10"/>
      <c r="Y165" s="10"/>
      <c r="Z165" s="10"/>
      <c r="AA165" s="10"/>
      <c r="AB165" s="10"/>
      <c r="AC165" s="10"/>
      <c r="AD165" s="10"/>
    </row>
    <row r="166" ht="15.75" customHeight="1">
      <c r="A166" s="10"/>
      <c r="B166" s="10"/>
      <c r="C166" s="10"/>
      <c r="D166" s="10"/>
      <c r="E166" s="10"/>
      <c r="F166" s="10"/>
      <c r="G166" s="10"/>
      <c r="H166" s="10"/>
      <c r="I166" s="195"/>
      <c r="J166" s="10"/>
      <c r="K166" s="10"/>
      <c r="L166" s="10"/>
      <c r="M166" s="10"/>
      <c r="N166" s="10"/>
      <c r="O166" s="10"/>
      <c r="P166" s="10"/>
      <c r="Q166" s="10"/>
      <c r="R166" s="10"/>
      <c r="S166" s="10"/>
      <c r="T166" s="10"/>
      <c r="U166" s="10"/>
      <c r="V166" s="10"/>
      <c r="W166" s="10"/>
      <c r="X166" s="10"/>
      <c r="Y166" s="10"/>
      <c r="Z166" s="10"/>
      <c r="AA166" s="10"/>
      <c r="AB166" s="10"/>
      <c r="AC166" s="10"/>
      <c r="AD166" s="10"/>
    </row>
    <row r="167" ht="15.75" customHeight="1">
      <c r="A167" s="10"/>
      <c r="B167" s="10"/>
      <c r="C167" s="10"/>
      <c r="D167" s="10"/>
      <c r="E167" s="10"/>
      <c r="F167" s="10"/>
      <c r="G167" s="10"/>
      <c r="H167" s="10"/>
      <c r="I167" s="195"/>
      <c r="J167" s="10"/>
      <c r="K167" s="10"/>
      <c r="L167" s="10"/>
      <c r="M167" s="10"/>
      <c r="N167" s="10"/>
      <c r="O167" s="10"/>
      <c r="P167" s="10"/>
      <c r="Q167" s="10"/>
      <c r="R167" s="10"/>
      <c r="S167" s="10"/>
      <c r="T167" s="10"/>
      <c r="U167" s="10"/>
      <c r="V167" s="10"/>
      <c r="W167" s="10"/>
      <c r="X167" s="10"/>
      <c r="Y167" s="10"/>
      <c r="Z167" s="10"/>
      <c r="AA167" s="10"/>
      <c r="AB167" s="10"/>
      <c r="AC167" s="10"/>
      <c r="AD167" s="10"/>
    </row>
    <row r="168" ht="15.75" customHeight="1">
      <c r="A168" s="10"/>
      <c r="B168" s="10"/>
      <c r="C168" s="10"/>
      <c r="D168" s="10"/>
      <c r="E168" s="10"/>
      <c r="F168" s="10"/>
      <c r="G168" s="10"/>
      <c r="H168" s="10"/>
      <c r="I168" s="195"/>
      <c r="J168" s="10"/>
      <c r="K168" s="10"/>
      <c r="L168" s="10"/>
      <c r="M168" s="10"/>
      <c r="N168" s="10"/>
      <c r="O168" s="10"/>
      <c r="P168" s="10"/>
      <c r="Q168" s="10"/>
      <c r="R168" s="10"/>
      <c r="S168" s="10"/>
      <c r="T168" s="10"/>
      <c r="U168" s="10"/>
      <c r="V168" s="10"/>
      <c r="W168" s="10"/>
      <c r="X168" s="10"/>
      <c r="Y168" s="10"/>
      <c r="Z168" s="10"/>
      <c r="AA168" s="10"/>
      <c r="AB168" s="10"/>
      <c r="AC168" s="10"/>
      <c r="AD168" s="10"/>
    </row>
    <row r="169" ht="15.75" customHeight="1">
      <c r="A169" s="10"/>
      <c r="B169" s="10"/>
      <c r="C169" s="10"/>
      <c r="D169" s="10"/>
      <c r="E169" s="10"/>
      <c r="F169" s="10"/>
      <c r="G169" s="10"/>
      <c r="H169" s="10"/>
      <c r="I169" s="195"/>
      <c r="J169" s="10"/>
      <c r="K169" s="10"/>
      <c r="L169" s="10"/>
      <c r="M169" s="10"/>
      <c r="N169" s="10"/>
      <c r="O169" s="10"/>
      <c r="P169" s="10"/>
      <c r="Q169" s="10"/>
      <c r="R169" s="10"/>
      <c r="S169" s="10"/>
      <c r="T169" s="10"/>
      <c r="U169" s="10"/>
      <c r="V169" s="10"/>
      <c r="W169" s="10"/>
      <c r="X169" s="10"/>
      <c r="Y169" s="10"/>
      <c r="Z169" s="10"/>
      <c r="AA169" s="10"/>
      <c r="AB169" s="10"/>
      <c r="AC169" s="10"/>
      <c r="AD169" s="10"/>
    </row>
    <row r="170" ht="15.75" customHeight="1">
      <c r="A170" s="10"/>
      <c r="B170" s="10"/>
      <c r="C170" s="10"/>
      <c r="D170" s="10"/>
      <c r="E170" s="10"/>
      <c r="F170" s="10"/>
      <c r="G170" s="10"/>
      <c r="H170" s="10"/>
      <c r="I170" s="195"/>
      <c r="J170" s="10"/>
      <c r="K170" s="10"/>
      <c r="L170" s="10"/>
      <c r="M170" s="10"/>
      <c r="N170" s="10"/>
      <c r="O170" s="10"/>
      <c r="P170" s="10"/>
      <c r="Q170" s="10"/>
      <c r="R170" s="10"/>
      <c r="S170" s="10"/>
      <c r="T170" s="10"/>
      <c r="U170" s="10"/>
      <c r="V170" s="10"/>
      <c r="W170" s="10"/>
      <c r="X170" s="10"/>
      <c r="Y170" s="10"/>
      <c r="Z170" s="10"/>
      <c r="AA170" s="10"/>
      <c r="AB170" s="10"/>
      <c r="AC170" s="10"/>
      <c r="AD170" s="10"/>
    </row>
    <row r="171" ht="15.75" customHeight="1">
      <c r="A171" s="10"/>
      <c r="B171" s="10"/>
      <c r="C171" s="10"/>
      <c r="D171" s="10"/>
      <c r="E171" s="10"/>
      <c r="F171" s="10"/>
      <c r="G171" s="10"/>
      <c r="H171" s="10"/>
      <c r="I171" s="195"/>
      <c r="J171" s="10"/>
      <c r="K171" s="10"/>
      <c r="L171" s="10"/>
      <c r="M171" s="10"/>
      <c r="N171" s="10"/>
      <c r="O171" s="10"/>
      <c r="P171" s="10"/>
      <c r="Q171" s="10"/>
      <c r="R171" s="10"/>
      <c r="S171" s="10"/>
      <c r="T171" s="10"/>
      <c r="U171" s="10"/>
      <c r="V171" s="10"/>
      <c r="W171" s="10"/>
      <c r="X171" s="10"/>
      <c r="Y171" s="10"/>
      <c r="Z171" s="10"/>
      <c r="AA171" s="10"/>
      <c r="AB171" s="10"/>
      <c r="AC171" s="10"/>
      <c r="AD171" s="10"/>
    </row>
    <row r="172" ht="15.75" customHeight="1">
      <c r="A172" s="10"/>
      <c r="B172" s="10"/>
      <c r="C172" s="10"/>
      <c r="D172" s="10"/>
      <c r="E172" s="10"/>
      <c r="F172" s="10"/>
      <c r="G172" s="10"/>
      <c r="H172" s="10"/>
      <c r="I172" s="195"/>
      <c r="J172" s="10"/>
      <c r="K172" s="10"/>
      <c r="L172" s="10"/>
      <c r="M172" s="10"/>
      <c r="N172" s="10"/>
      <c r="O172" s="10"/>
      <c r="P172" s="10"/>
      <c r="Q172" s="10"/>
      <c r="R172" s="10"/>
      <c r="S172" s="10"/>
      <c r="T172" s="10"/>
      <c r="U172" s="10"/>
      <c r="V172" s="10"/>
      <c r="W172" s="10"/>
      <c r="X172" s="10"/>
      <c r="Y172" s="10"/>
      <c r="Z172" s="10"/>
      <c r="AA172" s="10"/>
      <c r="AB172" s="10"/>
      <c r="AC172" s="10"/>
      <c r="AD172" s="10"/>
    </row>
    <row r="173" ht="15.75" customHeight="1">
      <c r="A173" s="10"/>
      <c r="B173" s="10"/>
      <c r="C173" s="10"/>
      <c r="D173" s="10"/>
      <c r="E173" s="10"/>
      <c r="F173" s="10"/>
      <c r="G173" s="10"/>
      <c r="H173" s="10"/>
      <c r="I173" s="195"/>
      <c r="J173" s="10"/>
      <c r="K173" s="10"/>
      <c r="L173" s="10"/>
      <c r="M173" s="10"/>
      <c r="N173" s="10"/>
      <c r="O173" s="10"/>
      <c r="P173" s="10"/>
      <c r="Q173" s="10"/>
      <c r="R173" s="10"/>
      <c r="S173" s="10"/>
      <c r="T173" s="10"/>
      <c r="U173" s="10"/>
      <c r="V173" s="10"/>
      <c r="W173" s="10"/>
      <c r="X173" s="10"/>
      <c r="Y173" s="10"/>
      <c r="Z173" s="10"/>
      <c r="AA173" s="10"/>
      <c r="AB173" s="10"/>
      <c r="AC173" s="10"/>
      <c r="AD173" s="10"/>
    </row>
    <row r="174" ht="15.75" customHeight="1">
      <c r="A174" s="10"/>
      <c r="B174" s="10"/>
      <c r="C174" s="10"/>
      <c r="D174" s="10"/>
      <c r="E174" s="10"/>
      <c r="F174" s="10"/>
      <c r="G174" s="10"/>
      <c r="H174" s="10"/>
      <c r="I174" s="195"/>
      <c r="J174" s="10"/>
      <c r="K174" s="10"/>
      <c r="L174" s="10"/>
      <c r="M174" s="10"/>
      <c r="N174" s="10"/>
      <c r="O174" s="10"/>
      <c r="P174" s="10"/>
      <c r="Q174" s="10"/>
      <c r="R174" s="10"/>
      <c r="S174" s="10"/>
      <c r="T174" s="10"/>
      <c r="U174" s="10"/>
      <c r="V174" s="10"/>
      <c r="W174" s="10"/>
      <c r="X174" s="10"/>
      <c r="Y174" s="10"/>
      <c r="Z174" s="10"/>
      <c r="AA174" s="10"/>
      <c r="AB174" s="10"/>
      <c r="AC174" s="10"/>
      <c r="AD174" s="10"/>
    </row>
    <row r="175" ht="15.75" customHeight="1">
      <c r="A175" s="10"/>
      <c r="B175" s="10"/>
      <c r="C175" s="10"/>
      <c r="D175" s="10"/>
      <c r="E175" s="10"/>
      <c r="F175" s="10"/>
      <c r="G175" s="10"/>
      <c r="H175" s="10"/>
      <c r="I175" s="195"/>
      <c r="J175" s="10"/>
      <c r="K175" s="10"/>
      <c r="L175" s="10"/>
      <c r="M175" s="10"/>
      <c r="N175" s="10"/>
      <c r="O175" s="10"/>
      <c r="P175" s="10"/>
      <c r="Q175" s="10"/>
      <c r="R175" s="10"/>
      <c r="S175" s="10"/>
      <c r="T175" s="10"/>
      <c r="U175" s="10"/>
      <c r="V175" s="10"/>
      <c r="W175" s="10"/>
      <c r="X175" s="10"/>
      <c r="Y175" s="10"/>
      <c r="Z175" s="10"/>
      <c r="AA175" s="10"/>
      <c r="AB175" s="10"/>
      <c r="AC175" s="10"/>
      <c r="AD175" s="10"/>
    </row>
    <row r="176" ht="15.75" customHeight="1">
      <c r="A176" s="10"/>
      <c r="B176" s="10"/>
      <c r="C176" s="10"/>
      <c r="D176" s="10"/>
      <c r="E176" s="10"/>
      <c r="F176" s="10"/>
      <c r="G176" s="10"/>
      <c r="H176" s="10"/>
      <c r="I176" s="195"/>
      <c r="J176" s="10"/>
      <c r="K176" s="10"/>
      <c r="L176" s="10"/>
      <c r="M176" s="10"/>
      <c r="N176" s="10"/>
      <c r="O176" s="10"/>
      <c r="P176" s="10"/>
      <c r="Q176" s="10"/>
      <c r="R176" s="10"/>
      <c r="S176" s="10"/>
      <c r="T176" s="10"/>
      <c r="U176" s="10"/>
      <c r="V176" s="10"/>
      <c r="W176" s="10"/>
      <c r="X176" s="10"/>
      <c r="Y176" s="10"/>
      <c r="Z176" s="10"/>
      <c r="AA176" s="10"/>
      <c r="AB176" s="10"/>
      <c r="AC176" s="10"/>
      <c r="AD176" s="10"/>
    </row>
    <row r="177" ht="15.75" customHeight="1">
      <c r="A177" s="10"/>
      <c r="B177" s="10"/>
      <c r="C177" s="10"/>
      <c r="D177" s="10"/>
      <c r="E177" s="10"/>
      <c r="F177" s="10"/>
      <c r="G177" s="10"/>
      <c r="H177" s="10"/>
      <c r="I177" s="195"/>
      <c r="J177" s="10"/>
      <c r="K177" s="10"/>
      <c r="L177" s="10"/>
      <c r="M177" s="10"/>
      <c r="N177" s="10"/>
      <c r="O177" s="10"/>
      <c r="P177" s="10"/>
      <c r="Q177" s="10"/>
      <c r="R177" s="10"/>
      <c r="S177" s="10"/>
      <c r="T177" s="10"/>
      <c r="U177" s="10"/>
      <c r="V177" s="10"/>
      <c r="W177" s="10"/>
      <c r="X177" s="10"/>
      <c r="Y177" s="10"/>
      <c r="Z177" s="10"/>
      <c r="AA177" s="10"/>
      <c r="AB177" s="10"/>
      <c r="AC177" s="10"/>
      <c r="AD177" s="10"/>
    </row>
    <row r="178" ht="15.75" customHeight="1">
      <c r="A178" s="10"/>
      <c r="B178" s="10"/>
      <c r="C178" s="10"/>
      <c r="D178" s="10"/>
      <c r="E178" s="10"/>
      <c r="F178" s="10"/>
      <c r="G178" s="10"/>
      <c r="H178" s="10"/>
      <c r="I178" s="195"/>
      <c r="J178" s="10"/>
      <c r="K178" s="10"/>
      <c r="L178" s="10"/>
      <c r="M178" s="10"/>
      <c r="N178" s="10"/>
      <c r="O178" s="10"/>
      <c r="P178" s="10"/>
      <c r="Q178" s="10"/>
      <c r="R178" s="10"/>
      <c r="S178" s="10"/>
      <c r="T178" s="10"/>
      <c r="U178" s="10"/>
      <c r="V178" s="10"/>
      <c r="W178" s="10"/>
      <c r="X178" s="10"/>
      <c r="Y178" s="10"/>
      <c r="Z178" s="10"/>
      <c r="AA178" s="10"/>
      <c r="AB178" s="10"/>
      <c r="AC178" s="10"/>
      <c r="AD178" s="10"/>
    </row>
    <row r="179" ht="15.75" customHeight="1">
      <c r="A179" s="10"/>
      <c r="B179" s="10"/>
      <c r="C179" s="10"/>
      <c r="D179" s="10"/>
      <c r="E179" s="10"/>
      <c r="F179" s="10"/>
      <c r="G179" s="10"/>
      <c r="H179" s="10"/>
      <c r="I179" s="195"/>
      <c r="J179" s="10"/>
      <c r="K179" s="10"/>
      <c r="L179" s="10"/>
      <c r="M179" s="10"/>
      <c r="N179" s="10"/>
      <c r="O179" s="10"/>
      <c r="P179" s="10"/>
      <c r="Q179" s="10"/>
      <c r="R179" s="10"/>
      <c r="S179" s="10"/>
      <c r="T179" s="10"/>
      <c r="U179" s="10"/>
      <c r="V179" s="10"/>
      <c r="W179" s="10"/>
      <c r="X179" s="10"/>
      <c r="Y179" s="10"/>
      <c r="Z179" s="10"/>
      <c r="AA179" s="10"/>
      <c r="AB179" s="10"/>
      <c r="AC179" s="10"/>
      <c r="AD179" s="10"/>
    </row>
    <row r="180" ht="15.75" customHeight="1">
      <c r="A180" s="10"/>
      <c r="B180" s="10"/>
      <c r="C180" s="10"/>
      <c r="D180" s="10"/>
      <c r="E180" s="10"/>
      <c r="F180" s="10"/>
      <c r="G180" s="10"/>
      <c r="H180" s="10"/>
      <c r="I180" s="195"/>
      <c r="J180" s="10"/>
      <c r="K180" s="10"/>
      <c r="L180" s="10"/>
      <c r="M180" s="10"/>
      <c r="N180" s="10"/>
      <c r="O180" s="10"/>
      <c r="P180" s="10"/>
      <c r="Q180" s="10"/>
      <c r="R180" s="10"/>
      <c r="S180" s="10"/>
      <c r="T180" s="10"/>
      <c r="U180" s="10"/>
      <c r="V180" s="10"/>
      <c r="W180" s="10"/>
      <c r="X180" s="10"/>
      <c r="Y180" s="10"/>
      <c r="Z180" s="10"/>
      <c r="AA180" s="10"/>
      <c r="AB180" s="10"/>
      <c r="AC180" s="10"/>
      <c r="AD180" s="10"/>
    </row>
    <row r="181" ht="15.75" customHeight="1">
      <c r="A181" s="10"/>
      <c r="B181" s="10"/>
      <c r="C181" s="10"/>
      <c r="D181" s="10"/>
      <c r="E181" s="10"/>
      <c r="F181" s="10"/>
      <c r="G181" s="10"/>
      <c r="H181" s="10"/>
      <c r="I181" s="195"/>
      <c r="J181" s="10"/>
      <c r="K181" s="10"/>
      <c r="L181" s="10"/>
      <c r="M181" s="10"/>
      <c r="N181" s="10"/>
      <c r="O181" s="10"/>
      <c r="P181" s="10"/>
      <c r="Q181" s="10"/>
      <c r="R181" s="10"/>
      <c r="S181" s="10"/>
      <c r="T181" s="10"/>
      <c r="U181" s="10"/>
      <c r="V181" s="10"/>
      <c r="W181" s="10"/>
      <c r="X181" s="10"/>
      <c r="Y181" s="10"/>
      <c r="Z181" s="10"/>
      <c r="AA181" s="10"/>
      <c r="AB181" s="10"/>
      <c r="AC181" s="10"/>
      <c r="AD181" s="10"/>
    </row>
    <row r="182" ht="15.75" customHeight="1">
      <c r="A182" s="10"/>
      <c r="B182" s="10"/>
      <c r="C182" s="10"/>
      <c r="D182" s="10"/>
      <c r="E182" s="10"/>
      <c r="F182" s="10"/>
      <c r="G182" s="10"/>
      <c r="H182" s="10"/>
      <c r="I182" s="195"/>
      <c r="J182" s="10"/>
      <c r="K182" s="10"/>
      <c r="L182" s="10"/>
      <c r="M182" s="10"/>
      <c r="N182" s="10"/>
      <c r="O182" s="10"/>
      <c r="P182" s="10"/>
      <c r="Q182" s="10"/>
      <c r="R182" s="10"/>
      <c r="S182" s="10"/>
      <c r="T182" s="10"/>
      <c r="U182" s="10"/>
      <c r="V182" s="10"/>
      <c r="W182" s="10"/>
      <c r="X182" s="10"/>
      <c r="Y182" s="10"/>
      <c r="Z182" s="10"/>
      <c r="AA182" s="10"/>
      <c r="AB182" s="10"/>
      <c r="AC182" s="10"/>
      <c r="AD182" s="10"/>
    </row>
    <row r="183" ht="15.75" customHeight="1">
      <c r="A183" s="10"/>
      <c r="B183" s="10"/>
      <c r="C183" s="10"/>
      <c r="D183" s="10"/>
      <c r="E183" s="10"/>
      <c r="F183" s="10"/>
      <c r="G183" s="10"/>
      <c r="H183" s="10"/>
      <c r="I183" s="195"/>
      <c r="J183" s="10"/>
      <c r="K183" s="10"/>
      <c r="L183" s="10"/>
      <c r="M183" s="10"/>
      <c r="N183" s="10"/>
      <c r="O183" s="10"/>
      <c r="P183" s="10"/>
      <c r="Q183" s="10"/>
      <c r="R183" s="10"/>
      <c r="S183" s="10"/>
      <c r="T183" s="10"/>
      <c r="U183" s="10"/>
      <c r="V183" s="10"/>
      <c r="W183" s="10"/>
      <c r="X183" s="10"/>
      <c r="Y183" s="10"/>
      <c r="Z183" s="10"/>
      <c r="AA183" s="10"/>
      <c r="AB183" s="10"/>
      <c r="AC183" s="10"/>
      <c r="AD183" s="10"/>
    </row>
    <row r="184" ht="15.75" customHeight="1">
      <c r="A184" s="10"/>
      <c r="B184" s="10"/>
      <c r="C184" s="10"/>
      <c r="D184" s="10"/>
      <c r="E184" s="10"/>
      <c r="F184" s="10"/>
      <c r="G184" s="10"/>
      <c r="H184" s="10"/>
      <c r="I184" s="195"/>
      <c r="J184" s="10"/>
      <c r="K184" s="10"/>
      <c r="L184" s="10"/>
      <c r="M184" s="10"/>
      <c r="N184" s="10"/>
      <c r="O184" s="10"/>
      <c r="P184" s="10"/>
      <c r="Q184" s="10"/>
      <c r="R184" s="10"/>
      <c r="S184" s="10"/>
      <c r="T184" s="10"/>
      <c r="U184" s="10"/>
      <c r="V184" s="10"/>
      <c r="W184" s="10"/>
      <c r="X184" s="10"/>
      <c r="Y184" s="10"/>
      <c r="Z184" s="10"/>
      <c r="AA184" s="10"/>
      <c r="AB184" s="10"/>
      <c r="AC184" s="10"/>
      <c r="AD184" s="10"/>
    </row>
    <row r="185" ht="15.75" customHeight="1">
      <c r="A185" s="10"/>
      <c r="B185" s="10"/>
      <c r="C185" s="10"/>
      <c r="D185" s="10"/>
      <c r="E185" s="10"/>
      <c r="F185" s="10"/>
      <c r="G185" s="10"/>
      <c r="H185" s="10"/>
      <c r="I185" s="195"/>
      <c r="J185" s="10"/>
      <c r="K185" s="10"/>
      <c r="L185" s="10"/>
      <c r="M185" s="10"/>
      <c r="N185" s="10"/>
      <c r="O185" s="10"/>
      <c r="P185" s="10"/>
      <c r="Q185" s="10"/>
      <c r="R185" s="10"/>
      <c r="S185" s="10"/>
      <c r="T185" s="10"/>
      <c r="U185" s="10"/>
      <c r="V185" s="10"/>
      <c r="W185" s="10"/>
      <c r="X185" s="10"/>
      <c r="Y185" s="10"/>
      <c r="Z185" s="10"/>
      <c r="AA185" s="10"/>
      <c r="AB185" s="10"/>
      <c r="AC185" s="10"/>
      <c r="AD185" s="10"/>
    </row>
    <row r="186" ht="15.75" customHeight="1">
      <c r="A186" s="10"/>
      <c r="B186" s="10"/>
      <c r="C186" s="10"/>
      <c r="D186" s="10"/>
      <c r="E186" s="10"/>
      <c r="F186" s="10"/>
      <c r="G186" s="10"/>
      <c r="H186" s="10"/>
      <c r="I186" s="195"/>
      <c r="J186" s="10"/>
      <c r="K186" s="10"/>
      <c r="L186" s="10"/>
      <c r="M186" s="10"/>
      <c r="N186" s="10"/>
      <c r="O186" s="10"/>
      <c r="P186" s="10"/>
      <c r="Q186" s="10"/>
      <c r="R186" s="10"/>
      <c r="S186" s="10"/>
      <c r="T186" s="10"/>
      <c r="U186" s="10"/>
      <c r="V186" s="10"/>
      <c r="W186" s="10"/>
      <c r="X186" s="10"/>
      <c r="Y186" s="10"/>
      <c r="Z186" s="10"/>
      <c r="AA186" s="10"/>
      <c r="AB186" s="10"/>
      <c r="AC186" s="10"/>
      <c r="AD186" s="10"/>
    </row>
    <row r="187" ht="15.75" customHeight="1">
      <c r="A187" s="10"/>
      <c r="B187" s="10"/>
      <c r="C187" s="10"/>
      <c r="D187" s="10"/>
      <c r="E187" s="10"/>
      <c r="F187" s="10"/>
      <c r="G187" s="10"/>
      <c r="H187" s="10"/>
      <c r="I187" s="195"/>
      <c r="J187" s="10"/>
      <c r="K187" s="10"/>
      <c r="L187" s="10"/>
      <c r="M187" s="10"/>
      <c r="N187" s="10"/>
      <c r="O187" s="10"/>
      <c r="P187" s="10"/>
      <c r="Q187" s="10"/>
      <c r="R187" s="10"/>
      <c r="S187" s="10"/>
      <c r="T187" s="10"/>
      <c r="U187" s="10"/>
      <c r="V187" s="10"/>
      <c r="W187" s="10"/>
      <c r="X187" s="10"/>
      <c r="Y187" s="10"/>
      <c r="Z187" s="10"/>
      <c r="AA187" s="10"/>
      <c r="AB187" s="10"/>
      <c r="AC187" s="10"/>
      <c r="AD187" s="10"/>
    </row>
    <row r="188" ht="15.75" customHeight="1">
      <c r="A188" s="10"/>
      <c r="B188" s="10"/>
      <c r="C188" s="10"/>
      <c r="D188" s="10"/>
      <c r="E188" s="10"/>
      <c r="F188" s="10"/>
      <c r="G188" s="10"/>
      <c r="H188" s="10"/>
      <c r="I188" s="195"/>
      <c r="J188" s="10"/>
      <c r="K188" s="10"/>
      <c r="L188" s="10"/>
      <c r="M188" s="10"/>
      <c r="N188" s="10"/>
      <c r="O188" s="10"/>
      <c r="P188" s="10"/>
      <c r="Q188" s="10"/>
      <c r="R188" s="10"/>
      <c r="S188" s="10"/>
      <c r="T188" s="10"/>
      <c r="U188" s="10"/>
      <c r="V188" s="10"/>
      <c r="W188" s="10"/>
      <c r="X188" s="10"/>
      <c r="Y188" s="10"/>
      <c r="Z188" s="10"/>
      <c r="AA188" s="10"/>
      <c r="AB188" s="10"/>
      <c r="AC188" s="10"/>
      <c r="AD188" s="10"/>
    </row>
    <row r="189" ht="15.75" customHeight="1">
      <c r="A189" s="10"/>
      <c r="B189" s="10"/>
      <c r="C189" s="10"/>
      <c r="D189" s="10"/>
      <c r="E189" s="10"/>
      <c r="F189" s="10"/>
      <c r="G189" s="10"/>
      <c r="H189" s="10"/>
      <c r="I189" s="195"/>
      <c r="J189" s="10"/>
      <c r="K189" s="10"/>
      <c r="L189" s="10"/>
      <c r="M189" s="10"/>
      <c r="N189" s="10"/>
      <c r="O189" s="10"/>
      <c r="P189" s="10"/>
      <c r="Q189" s="10"/>
      <c r="R189" s="10"/>
      <c r="S189" s="10"/>
      <c r="T189" s="10"/>
      <c r="U189" s="10"/>
      <c r="V189" s="10"/>
      <c r="W189" s="10"/>
      <c r="X189" s="10"/>
      <c r="Y189" s="10"/>
      <c r="Z189" s="10"/>
      <c r="AA189" s="10"/>
      <c r="AB189" s="10"/>
      <c r="AC189" s="10"/>
      <c r="AD189" s="10"/>
    </row>
    <row r="190" ht="15.75" customHeight="1">
      <c r="A190" s="10"/>
      <c r="B190" s="10"/>
      <c r="C190" s="10"/>
      <c r="D190" s="10"/>
      <c r="E190" s="10"/>
      <c r="F190" s="10"/>
      <c r="G190" s="10"/>
      <c r="H190" s="10"/>
      <c r="I190" s="195"/>
      <c r="J190" s="10"/>
      <c r="K190" s="10"/>
      <c r="L190" s="10"/>
      <c r="M190" s="10"/>
      <c r="N190" s="10"/>
      <c r="O190" s="10"/>
      <c r="P190" s="10"/>
      <c r="Q190" s="10"/>
      <c r="R190" s="10"/>
      <c r="S190" s="10"/>
      <c r="T190" s="10"/>
      <c r="U190" s="10"/>
      <c r="V190" s="10"/>
      <c r="W190" s="10"/>
      <c r="X190" s="10"/>
      <c r="Y190" s="10"/>
      <c r="Z190" s="10"/>
      <c r="AA190" s="10"/>
      <c r="AB190" s="10"/>
      <c r="AC190" s="10"/>
      <c r="AD190" s="10"/>
    </row>
    <row r="191" ht="15.75" customHeight="1">
      <c r="A191" s="10"/>
      <c r="B191" s="10"/>
      <c r="C191" s="10"/>
      <c r="D191" s="10"/>
      <c r="E191" s="10"/>
      <c r="F191" s="10"/>
      <c r="G191" s="10"/>
      <c r="H191" s="10"/>
      <c r="I191" s="195"/>
      <c r="J191" s="10"/>
      <c r="K191" s="10"/>
      <c r="L191" s="10"/>
      <c r="M191" s="10"/>
      <c r="N191" s="10"/>
      <c r="O191" s="10"/>
      <c r="P191" s="10"/>
      <c r="Q191" s="10"/>
      <c r="R191" s="10"/>
      <c r="S191" s="10"/>
      <c r="T191" s="10"/>
      <c r="U191" s="10"/>
      <c r="V191" s="10"/>
      <c r="W191" s="10"/>
      <c r="X191" s="10"/>
      <c r="Y191" s="10"/>
      <c r="Z191" s="10"/>
      <c r="AA191" s="10"/>
      <c r="AB191" s="10"/>
      <c r="AC191" s="10"/>
      <c r="AD191" s="10"/>
    </row>
    <row r="192" ht="15.75" customHeight="1">
      <c r="A192" s="10"/>
      <c r="B192" s="10"/>
      <c r="C192" s="10"/>
      <c r="D192" s="10"/>
      <c r="E192" s="10"/>
      <c r="F192" s="10"/>
      <c r="G192" s="10"/>
      <c r="H192" s="10"/>
      <c r="I192" s="195"/>
      <c r="J192" s="10"/>
      <c r="K192" s="10"/>
      <c r="L192" s="10"/>
      <c r="M192" s="10"/>
      <c r="N192" s="10"/>
      <c r="O192" s="10"/>
      <c r="P192" s="10"/>
      <c r="Q192" s="10"/>
      <c r="R192" s="10"/>
      <c r="S192" s="10"/>
      <c r="T192" s="10"/>
      <c r="U192" s="10"/>
      <c r="V192" s="10"/>
      <c r="W192" s="10"/>
      <c r="X192" s="10"/>
      <c r="Y192" s="10"/>
      <c r="Z192" s="10"/>
      <c r="AA192" s="10"/>
      <c r="AB192" s="10"/>
      <c r="AC192" s="10"/>
      <c r="AD192" s="10"/>
    </row>
    <row r="193" ht="15.75" customHeight="1">
      <c r="A193" s="10"/>
      <c r="B193" s="10"/>
      <c r="C193" s="10"/>
      <c r="D193" s="10"/>
      <c r="E193" s="10"/>
      <c r="F193" s="10"/>
      <c r="G193" s="10"/>
      <c r="H193" s="10"/>
      <c r="I193" s="195"/>
      <c r="J193" s="10"/>
      <c r="K193" s="10"/>
      <c r="L193" s="10"/>
      <c r="M193" s="10"/>
      <c r="N193" s="10"/>
      <c r="O193" s="10"/>
      <c r="P193" s="10"/>
      <c r="Q193" s="10"/>
      <c r="R193" s="10"/>
      <c r="S193" s="10"/>
      <c r="T193" s="10"/>
      <c r="U193" s="10"/>
      <c r="V193" s="10"/>
      <c r="W193" s="10"/>
      <c r="X193" s="10"/>
      <c r="Y193" s="10"/>
      <c r="Z193" s="10"/>
      <c r="AA193" s="10"/>
      <c r="AB193" s="10"/>
      <c r="AC193" s="10"/>
      <c r="AD193" s="10"/>
    </row>
    <row r="194" ht="15.75" customHeight="1">
      <c r="A194" s="10"/>
      <c r="B194" s="10"/>
      <c r="C194" s="10"/>
      <c r="D194" s="10"/>
      <c r="E194" s="10"/>
      <c r="F194" s="10"/>
      <c r="G194" s="10"/>
      <c r="H194" s="10"/>
      <c r="I194" s="195"/>
      <c r="J194" s="10"/>
      <c r="K194" s="10"/>
      <c r="L194" s="10"/>
      <c r="M194" s="10"/>
      <c r="N194" s="10"/>
      <c r="O194" s="10"/>
      <c r="P194" s="10"/>
      <c r="Q194" s="10"/>
      <c r="R194" s="10"/>
      <c r="S194" s="10"/>
      <c r="T194" s="10"/>
      <c r="U194" s="10"/>
      <c r="V194" s="10"/>
      <c r="W194" s="10"/>
      <c r="X194" s="10"/>
      <c r="Y194" s="10"/>
      <c r="Z194" s="10"/>
      <c r="AA194" s="10"/>
      <c r="AB194" s="10"/>
      <c r="AC194" s="10"/>
      <c r="AD194" s="10"/>
    </row>
    <row r="195" ht="15.75" customHeight="1">
      <c r="A195" s="10"/>
      <c r="B195" s="10"/>
      <c r="C195" s="10"/>
      <c r="D195" s="10"/>
      <c r="E195" s="10"/>
      <c r="F195" s="10"/>
      <c r="G195" s="10"/>
      <c r="H195" s="10"/>
      <c r="I195" s="195"/>
      <c r="J195" s="10"/>
      <c r="K195" s="10"/>
      <c r="L195" s="10"/>
      <c r="M195" s="10"/>
      <c r="N195" s="10"/>
      <c r="O195" s="10"/>
      <c r="P195" s="10"/>
      <c r="Q195" s="10"/>
      <c r="R195" s="10"/>
      <c r="S195" s="10"/>
      <c r="T195" s="10"/>
      <c r="U195" s="10"/>
      <c r="V195" s="10"/>
      <c r="W195" s="10"/>
      <c r="X195" s="10"/>
      <c r="Y195" s="10"/>
      <c r="Z195" s="10"/>
      <c r="AA195" s="10"/>
      <c r="AB195" s="10"/>
      <c r="AC195" s="10"/>
      <c r="AD195" s="10"/>
    </row>
    <row r="196" ht="15.75" customHeight="1">
      <c r="A196" s="10"/>
      <c r="B196" s="10"/>
      <c r="C196" s="10"/>
      <c r="D196" s="10"/>
      <c r="E196" s="10"/>
      <c r="F196" s="10"/>
      <c r="G196" s="10"/>
      <c r="H196" s="10"/>
      <c r="I196" s="195"/>
      <c r="J196" s="10"/>
      <c r="K196" s="10"/>
      <c r="L196" s="10"/>
      <c r="M196" s="10"/>
      <c r="N196" s="10"/>
      <c r="O196" s="10"/>
      <c r="P196" s="10"/>
      <c r="Q196" s="10"/>
      <c r="R196" s="10"/>
      <c r="S196" s="10"/>
      <c r="T196" s="10"/>
      <c r="U196" s="10"/>
      <c r="V196" s="10"/>
      <c r="W196" s="10"/>
      <c r="X196" s="10"/>
      <c r="Y196" s="10"/>
      <c r="Z196" s="10"/>
      <c r="AA196" s="10"/>
      <c r="AB196" s="10"/>
      <c r="AC196" s="10"/>
      <c r="AD196" s="10"/>
    </row>
    <row r="197" ht="15.75" customHeight="1">
      <c r="A197" s="10"/>
      <c r="B197" s="10"/>
      <c r="C197" s="10"/>
      <c r="D197" s="10"/>
      <c r="E197" s="10"/>
      <c r="F197" s="10"/>
      <c r="G197" s="10"/>
      <c r="H197" s="10"/>
      <c r="I197" s="195"/>
      <c r="J197" s="10"/>
      <c r="K197" s="10"/>
      <c r="L197" s="10"/>
      <c r="M197" s="10"/>
      <c r="N197" s="10"/>
      <c r="O197" s="10"/>
      <c r="P197" s="10"/>
      <c r="Q197" s="10"/>
      <c r="R197" s="10"/>
      <c r="S197" s="10"/>
      <c r="T197" s="10"/>
      <c r="U197" s="10"/>
      <c r="V197" s="10"/>
      <c r="W197" s="10"/>
      <c r="X197" s="10"/>
      <c r="Y197" s="10"/>
      <c r="Z197" s="10"/>
      <c r="AA197" s="10"/>
      <c r="AB197" s="10"/>
      <c r="AC197" s="10"/>
      <c r="AD197" s="10"/>
    </row>
    <row r="198" ht="15.75" customHeight="1">
      <c r="A198" s="10"/>
      <c r="B198" s="10"/>
      <c r="C198" s="10"/>
      <c r="D198" s="10"/>
      <c r="E198" s="10"/>
      <c r="F198" s="10"/>
      <c r="G198" s="10"/>
      <c r="H198" s="10"/>
      <c r="I198" s="195"/>
      <c r="J198" s="10"/>
      <c r="K198" s="10"/>
      <c r="L198" s="10"/>
      <c r="M198" s="10"/>
      <c r="N198" s="10"/>
      <c r="O198" s="10"/>
      <c r="P198" s="10"/>
      <c r="Q198" s="10"/>
      <c r="R198" s="10"/>
      <c r="S198" s="10"/>
      <c r="T198" s="10"/>
      <c r="U198" s="10"/>
      <c r="V198" s="10"/>
      <c r="W198" s="10"/>
      <c r="X198" s="10"/>
      <c r="Y198" s="10"/>
      <c r="Z198" s="10"/>
      <c r="AA198" s="10"/>
      <c r="AB198" s="10"/>
      <c r="AC198" s="10"/>
      <c r="AD198" s="10"/>
    </row>
    <row r="199" ht="15.75" customHeight="1">
      <c r="A199" s="10"/>
      <c r="B199" s="10"/>
      <c r="C199" s="10"/>
      <c r="D199" s="10"/>
      <c r="E199" s="10"/>
      <c r="F199" s="10"/>
      <c r="G199" s="10"/>
      <c r="H199" s="10"/>
      <c r="I199" s="195"/>
      <c r="J199" s="10"/>
      <c r="K199" s="10"/>
      <c r="L199" s="10"/>
      <c r="M199" s="10"/>
      <c r="N199" s="10"/>
      <c r="O199" s="10"/>
      <c r="P199" s="10"/>
      <c r="Q199" s="10"/>
      <c r="R199" s="10"/>
      <c r="S199" s="10"/>
      <c r="T199" s="10"/>
      <c r="U199" s="10"/>
      <c r="V199" s="10"/>
      <c r="W199" s="10"/>
      <c r="X199" s="10"/>
      <c r="Y199" s="10"/>
      <c r="Z199" s="10"/>
      <c r="AA199" s="10"/>
      <c r="AB199" s="10"/>
      <c r="AC199" s="10"/>
      <c r="AD199" s="10"/>
    </row>
    <row r="200" ht="15.75" customHeight="1">
      <c r="A200" s="10"/>
      <c r="B200" s="10"/>
      <c r="C200" s="10"/>
      <c r="D200" s="10"/>
      <c r="E200" s="10"/>
      <c r="F200" s="10"/>
      <c r="G200" s="10"/>
      <c r="H200" s="10"/>
      <c r="I200" s="195"/>
      <c r="J200" s="10"/>
      <c r="K200" s="10"/>
      <c r="L200" s="10"/>
      <c r="M200" s="10"/>
      <c r="N200" s="10"/>
      <c r="O200" s="10"/>
      <c r="P200" s="10"/>
      <c r="Q200" s="10"/>
      <c r="R200" s="10"/>
      <c r="S200" s="10"/>
      <c r="T200" s="10"/>
      <c r="U200" s="10"/>
      <c r="V200" s="10"/>
      <c r="W200" s="10"/>
      <c r="X200" s="10"/>
      <c r="Y200" s="10"/>
      <c r="Z200" s="10"/>
      <c r="AA200" s="10"/>
      <c r="AB200" s="10"/>
      <c r="AC200" s="10"/>
      <c r="AD200" s="10"/>
    </row>
    <row r="201" ht="15.75" customHeight="1">
      <c r="A201" s="10"/>
      <c r="B201" s="10"/>
      <c r="C201" s="10"/>
      <c r="D201" s="10"/>
      <c r="E201" s="10"/>
      <c r="F201" s="10"/>
      <c r="G201" s="10"/>
      <c r="H201" s="10"/>
      <c r="I201" s="195"/>
      <c r="J201" s="10"/>
      <c r="K201" s="10"/>
      <c r="L201" s="10"/>
      <c r="M201" s="10"/>
      <c r="N201" s="10"/>
      <c r="O201" s="10"/>
      <c r="P201" s="10"/>
      <c r="Q201" s="10"/>
      <c r="R201" s="10"/>
      <c r="S201" s="10"/>
      <c r="T201" s="10"/>
      <c r="U201" s="10"/>
      <c r="V201" s="10"/>
      <c r="W201" s="10"/>
      <c r="X201" s="10"/>
      <c r="Y201" s="10"/>
      <c r="Z201" s="10"/>
      <c r="AA201" s="10"/>
      <c r="AB201" s="10"/>
      <c r="AC201" s="10"/>
      <c r="AD201" s="10"/>
    </row>
    <row r="202" ht="15.75" customHeight="1">
      <c r="A202" s="10"/>
      <c r="B202" s="10"/>
      <c r="C202" s="10"/>
      <c r="D202" s="10"/>
      <c r="E202" s="10"/>
      <c r="F202" s="10"/>
      <c r="G202" s="10"/>
      <c r="H202" s="10"/>
      <c r="I202" s="195"/>
      <c r="J202" s="10"/>
      <c r="K202" s="10"/>
      <c r="L202" s="10"/>
      <c r="M202" s="10"/>
      <c r="N202" s="10"/>
      <c r="O202" s="10"/>
      <c r="P202" s="10"/>
      <c r="Q202" s="10"/>
      <c r="R202" s="10"/>
      <c r="S202" s="10"/>
      <c r="T202" s="10"/>
      <c r="U202" s="10"/>
      <c r="V202" s="10"/>
      <c r="W202" s="10"/>
      <c r="X202" s="10"/>
      <c r="Y202" s="10"/>
      <c r="Z202" s="10"/>
      <c r="AA202" s="10"/>
      <c r="AB202" s="10"/>
      <c r="AC202" s="10"/>
      <c r="AD202" s="10"/>
    </row>
    <row r="203" ht="15.75" customHeight="1">
      <c r="A203" s="10"/>
      <c r="B203" s="10"/>
      <c r="C203" s="10"/>
      <c r="D203" s="10"/>
      <c r="E203" s="10"/>
      <c r="F203" s="10"/>
      <c r="G203" s="10"/>
      <c r="H203" s="10"/>
      <c r="I203" s="195"/>
      <c r="J203" s="10"/>
      <c r="K203" s="10"/>
      <c r="L203" s="10"/>
      <c r="M203" s="10"/>
      <c r="N203" s="10"/>
      <c r="O203" s="10"/>
      <c r="P203" s="10"/>
      <c r="Q203" s="10"/>
      <c r="R203" s="10"/>
      <c r="S203" s="10"/>
      <c r="T203" s="10"/>
      <c r="U203" s="10"/>
      <c r="V203" s="10"/>
      <c r="W203" s="10"/>
      <c r="X203" s="10"/>
      <c r="Y203" s="10"/>
      <c r="Z203" s="10"/>
      <c r="AA203" s="10"/>
      <c r="AB203" s="10"/>
      <c r="AC203" s="10"/>
      <c r="AD203" s="10"/>
    </row>
    <row r="204" ht="15.75" customHeight="1">
      <c r="A204" s="10"/>
      <c r="B204" s="10"/>
      <c r="C204" s="10"/>
      <c r="D204" s="10"/>
      <c r="E204" s="10"/>
      <c r="F204" s="10"/>
      <c r="G204" s="10"/>
      <c r="H204" s="10"/>
      <c r="I204" s="195"/>
      <c r="J204" s="10"/>
      <c r="K204" s="10"/>
      <c r="L204" s="10"/>
      <c r="M204" s="10"/>
      <c r="N204" s="10"/>
      <c r="O204" s="10"/>
      <c r="P204" s="10"/>
      <c r="Q204" s="10"/>
      <c r="R204" s="10"/>
      <c r="S204" s="10"/>
      <c r="T204" s="10"/>
      <c r="U204" s="10"/>
      <c r="V204" s="10"/>
      <c r="W204" s="10"/>
      <c r="X204" s="10"/>
      <c r="Y204" s="10"/>
      <c r="Z204" s="10"/>
      <c r="AA204" s="10"/>
      <c r="AB204" s="10"/>
      <c r="AC204" s="10"/>
      <c r="AD204" s="10"/>
    </row>
    <row r="205" ht="15.75" customHeight="1">
      <c r="A205" s="10"/>
      <c r="B205" s="10"/>
      <c r="C205" s="10"/>
      <c r="D205" s="10"/>
      <c r="E205" s="10"/>
      <c r="F205" s="10"/>
      <c r="G205" s="10"/>
      <c r="H205" s="10"/>
      <c r="I205" s="195"/>
      <c r="J205" s="10"/>
      <c r="K205" s="10"/>
      <c r="L205" s="10"/>
      <c r="M205" s="10"/>
      <c r="N205" s="10"/>
      <c r="O205" s="10"/>
      <c r="P205" s="10"/>
      <c r="Q205" s="10"/>
      <c r="R205" s="10"/>
      <c r="S205" s="10"/>
      <c r="T205" s="10"/>
      <c r="U205" s="10"/>
      <c r="V205" s="10"/>
      <c r="W205" s="10"/>
      <c r="X205" s="10"/>
      <c r="Y205" s="10"/>
      <c r="Z205" s="10"/>
      <c r="AA205" s="10"/>
      <c r="AB205" s="10"/>
      <c r="AC205" s="10"/>
      <c r="AD205" s="10"/>
    </row>
    <row r="206" ht="15.75" customHeight="1">
      <c r="A206" s="10"/>
      <c r="B206" s="10"/>
      <c r="C206" s="10"/>
      <c r="D206" s="10"/>
      <c r="E206" s="10"/>
      <c r="F206" s="10"/>
      <c r="G206" s="10"/>
      <c r="H206" s="10"/>
      <c r="I206" s="195"/>
      <c r="J206" s="10"/>
      <c r="K206" s="10"/>
      <c r="L206" s="10"/>
      <c r="M206" s="10"/>
      <c r="N206" s="10"/>
      <c r="O206" s="10"/>
      <c r="P206" s="10"/>
      <c r="Q206" s="10"/>
      <c r="R206" s="10"/>
      <c r="S206" s="10"/>
      <c r="T206" s="10"/>
      <c r="U206" s="10"/>
      <c r="V206" s="10"/>
      <c r="W206" s="10"/>
      <c r="X206" s="10"/>
      <c r="Y206" s="10"/>
      <c r="Z206" s="10"/>
      <c r="AA206" s="10"/>
      <c r="AB206" s="10"/>
      <c r="AC206" s="10"/>
      <c r="AD206" s="10"/>
    </row>
    <row r="207" ht="15.75" customHeight="1">
      <c r="A207" s="10"/>
      <c r="B207" s="10"/>
      <c r="C207" s="10"/>
      <c r="D207" s="10"/>
      <c r="E207" s="10"/>
      <c r="F207" s="10"/>
      <c r="G207" s="10"/>
      <c r="H207" s="10"/>
      <c r="I207" s="195"/>
      <c r="J207" s="10"/>
      <c r="K207" s="10"/>
      <c r="L207" s="10"/>
      <c r="M207" s="10"/>
      <c r="N207" s="10"/>
      <c r="O207" s="10"/>
      <c r="P207" s="10"/>
      <c r="Q207" s="10"/>
      <c r="R207" s="10"/>
      <c r="S207" s="10"/>
      <c r="T207" s="10"/>
      <c r="U207" s="10"/>
      <c r="V207" s="10"/>
      <c r="W207" s="10"/>
      <c r="X207" s="10"/>
      <c r="Y207" s="10"/>
      <c r="Z207" s="10"/>
      <c r="AA207" s="10"/>
      <c r="AB207" s="10"/>
      <c r="AC207" s="10"/>
      <c r="AD207" s="10"/>
    </row>
    <row r="208" ht="15.75" customHeight="1">
      <c r="A208" s="10"/>
      <c r="B208" s="10"/>
      <c r="C208" s="10"/>
      <c r="D208" s="10"/>
      <c r="E208" s="10"/>
      <c r="F208" s="10"/>
      <c r="G208" s="10"/>
      <c r="H208" s="10"/>
      <c r="I208" s="195"/>
      <c r="J208" s="10"/>
      <c r="K208" s="10"/>
      <c r="L208" s="10"/>
      <c r="M208" s="10"/>
      <c r="N208" s="10"/>
      <c r="O208" s="10"/>
      <c r="P208" s="10"/>
      <c r="Q208" s="10"/>
      <c r="R208" s="10"/>
      <c r="S208" s="10"/>
      <c r="T208" s="10"/>
      <c r="U208" s="10"/>
      <c r="V208" s="10"/>
      <c r="W208" s="10"/>
      <c r="X208" s="10"/>
      <c r="Y208" s="10"/>
      <c r="Z208" s="10"/>
      <c r="AA208" s="10"/>
      <c r="AB208" s="10"/>
      <c r="AC208" s="10"/>
      <c r="AD208" s="10"/>
    </row>
    <row r="209" ht="15.75" customHeight="1">
      <c r="A209" s="10"/>
      <c r="B209" s="10"/>
      <c r="C209" s="10"/>
      <c r="D209" s="10"/>
      <c r="E209" s="10"/>
      <c r="F209" s="10"/>
      <c r="G209" s="10"/>
      <c r="H209" s="10"/>
      <c r="I209" s="195"/>
      <c r="J209" s="10"/>
      <c r="K209" s="10"/>
      <c r="L209" s="10"/>
      <c r="M209" s="10"/>
      <c r="N209" s="10"/>
      <c r="O209" s="10"/>
      <c r="P209" s="10"/>
      <c r="Q209" s="10"/>
      <c r="R209" s="10"/>
      <c r="S209" s="10"/>
      <c r="T209" s="10"/>
      <c r="U209" s="10"/>
      <c r="V209" s="10"/>
      <c r="W209" s="10"/>
      <c r="X209" s="10"/>
      <c r="Y209" s="10"/>
      <c r="Z209" s="10"/>
      <c r="AA209" s="10"/>
      <c r="AB209" s="10"/>
      <c r="AC209" s="10"/>
      <c r="AD209" s="10"/>
    </row>
    <row r="210" ht="15.75" customHeight="1">
      <c r="A210" s="10"/>
      <c r="B210" s="10"/>
      <c r="C210" s="10"/>
      <c r="D210" s="10"/>
      <c r="E210" s="10"/>
      <c r="F210" s="10"/>
      <c r="G210" s="10"/>
      <c r="H210" s="10"/>
      <c r="I210" s="195"/>
      <c r="J210" s="10"/>
      <c r="K210" s="10"/>
      <c r="L210" s="10"/>
      <c r="M210" s="10"/>
      <c r="N210" s="10"/>
      <c r="O210" s="10"/>
      <c r="P210" s="10"/>
      <c r="Q210" s="10"/>
      <c r="R210" s="10"/>
      <c r="S210" s="10"/>
      <c r="T210" s="10"/>
      <c r="U210" s="10"/>
      <c r="V210" s="10"/>
      <c r="W210" s="10"/>
      <c r="X210" s="10"/>
      <c r="Y210" s="10"/>
      <c r="Z210" s="10"/>
      <c r="AA210" s="10"/>
      <c r="AB210" s="10"/>
      <c r="AC210" s="10"/>
      <c r="AD210" s="10"/>
    </row>
    <row r="211" ht="15.75" customHeight="1">
      <c r="A211" s="10"/>
      <c r="B211" s="10"/>
      <c r="C211" s="10"/>
      <c r="D211" s="10"/>
      <c r="E211" s="10"/>
      <c r="F211" s="10"/>
      <c r="G211" s="10"/>
      <c r="H211" s="10"/>
      <c r="I211" s="195"/>
      <c r="J211" s="10"/>
      <c r="K211" s="10"/>
      <c r="L211" s="10"/>
      <c r="M211" s="10"/>
      <c r="N211" s="10"/>
      <c r="O211" s="10"/>
      <c r="P211" s="10"/>
      <c r="Q211" s="10"/>
      <c r="R211" s="10"/>
      <c r="S211" s="10"/>
      <c r="T211" s="10"/>
      <c r="U211" s="10"/>
      <c r="V211" s="10"/>
      <c r="W211" s="10"/>
      <c r="X211" s="10"/>
      <c r="Y211" s="10"/>
      <c r="Z211" s="10"/>
      <c r="AA211" s="10"/>
      <c r="AB211" s="10"/>
      <c r="AC211" s="10"/>
      <c r="AD211" s="10"/>
    </row>
    <row r="212" ht="15.75" customHeight="1">
      <c r="A212" s="10"/>
      <c r="B212" s="10"/>
      <c r="C212" s="10"/>
      <c r="D212" s="10"/>
      <c r="E212" s="10"/>
      <c r="F212" s="10"/>
      <c r="G212" s="10"/>
      <c r="H212" s="10"/>
      <c r="I212" s="195"/>
      <c r="J212" s="10"/>
      <c r="K212" s="10"/>
      <c r="L212" s="10"/>
      <c r="M212" s="10"/>
      <c r="N212" s="10"/>
      <c r="O212" s="10"/>
      <c r="P212" s="10"/>
      <c r="Q212" s="10"/>
      <c r="R212" s="10"/>
      <c r="S212" s="10"/>
      <c r="T212" s="10"/>
      <c r="U212" s="10"/>
      <c r="V212" s="10"/>
      <c r="W212" s="10"/>
      <c r="X212" s="10"/>
      <c r="Y212" s="10"/>
      <c r="Z212" s="10"/>
      <c r="AA212" s="10"/>
      <c r="AB212" s="10"/>
      <c r="AC212" s="10"/>
      <c r="AD212" s="10"/>
    </row>
    <row r="213" ht="15.75" customHeight="1">
      <c r="A213" s="10"/>
      <c r="B213" s="10"/>
      <c r="C213" s="10"/>
      <c r="D213" s="10"/>
      <c r="E213" s="10"/>
      <c r="F213" s="10"/>
      <c r="G213" s="10"/>
      <c r="H213" s="10"/>
      <c r="I213" s="195"/>
      <c r="J213" s="10"/>
      <c r="K213" s="10"/>
      <c r="L213" s="10"/>
      <c r="M213" s="10"/>
      <c r="N213" s="10"/>
      <c r="O213" s="10"/>
      <c r="P213" s="10"/>
      <c r="Q213" s="10"/>
      <c r="R213" s="10"/>
      <c r="S213" s="10"/>
      <c r="T213" s="10"/>
      <c r="U213" s="10"/>
      <c r="V213" s="10"/>
      <c r="W213" s="10"/>
      <c r="X213" s="10"/>
      <c r="Y213" s="10"/>
      <c r="Z213" s="10"/>
      <c r="AA213" s="10"/>
      <c r="AB213" s="10"/>
      <c r="AC213" s="10"/>
      <c r="AD213" s="10"/>
    </row>
    <row r="214" ht="15.75" customHeight="1">
      <c r="A214" s="10"/>
      <c r="B214" s="10"/>
      <c r="C214" s="10"/>
      <c r="D214" s="10"/>
      <c r="E214" s="10"/>
      <c r="F214" s="10"/>
      <c r="G214" s="10"/>
      <c r="H214" s="10"/>
      <c r="I214" s="195"/>
      <c r="J214" s="10"/>
      <c r="K214" s="10"/>
      <c r="L214" s="10"/>
      <c r="M214" s="10"/>
      <c r="N214" s="10"/>
      <c r="O214" s="10"/>
      <c r="P214" s="10"/>
      <c r="Q214" s="10"/>
      <c r="R214" s="10"/>
      <c r="S214" s="10"/>
      <c r="T214" s="10"/>
      <c r="U214" s="10"/>
      <c r="V214" s="10"/>
      <c r="W214" s="10"/>
      <c r="X214" s="10"/>
      <c r="Y214" s="10"/>
      <c r="Z214" s="10"/>
      <c r="AA214" s="10"/>
      <c r="AB214" s="10"/>
      <c r="AC214" s="10"/>
      <c r="AD214" s="10"/>
    </row>
    <row r="215" ht="15.75" customHeight="1">
      <c r="A215" s="10"/>
      <c r="B215" s="10"/>
      <c r="C215" s="10"/>
      <c r="D215" s="10"/>
      <c r="E215" s="10"/>
      <c r="F215" s="10"/>
      <c r="G215" s="10"/>
      <c r="H215" s="10"/>
      <c r="I215" s="195"/>
      <c r="J215" s="10"/>
      <c r="K215" s="10"/>
      <c r="L215" s="10"/>
      <c r="M215" s="10"/>
      <c r="N215" s="10"/>
      <c r="O215" s="10"/>
      <c r="P215" s="10"/>
      <c r="Q215" s="10"/>
      <c r="R215" s="10"/>
      <c r="S215" s="10"/>
      <c r="T215" s="10"/>
      <c r="U215" s="10"/>
      <c r="V215" s="10"/>
      <c r="W215" s="10"/>
      <c r="X215" s="10"/>
      <c r="Y215" s="10"/>
      <c r="Z215" s="10"/>
      <c r="AA215" s="10"/>
      <c r="AB215" s="10"/>
      <c r="AC215" s="10"/>
      <c r="AD215" s="10"/>
    </row>
    <row r="216" ht="15.75" customHeight="1">
      <c r="A216" s="10"/>
      <c r="B216" s="10"/>
      <c r="C216" s="10"/>
      <c r="D216" s="10"/>
      <c r="E216" s="10"/>
      <c r="F216" s="10"/>
      <c r="G216" s="10"/>
      <c r="H216" s="10"/>
      <c r="I216" s="195"/>
      <c r="J216" s="10"/>
      <c r="K216" s="10"/>
      <c r="L216" s="10"/>
      <c r="M216" s="10"/>
      <c r="N216" s="10"/>
      <c r="O216" s="10"/>
      <c r="P216" s="10"/>
      <c r="Q216" s="10"/>
      <c r="R216" s="10"/>
      <c r="S216" s="10"/>
      <c r="T216" s="10"/>
      <c r="U216" s="10"/>
      <c r="V216" s="10"/>
      <c r="W216" s="10"/>
      <c r="X216" s="10"/>
      <c r="Y216" s="10"/>
      <c r="Z216" s="10"/>
      <c r="AA216" s="10"/>
      <c r="AB216" s="10"/>
      <c r="AC216" s="10"/>
      <c r="AD216" s="10"/>
    </row>
    <row r="217" ht="15.75" customHeight="1">
      <c r="A217" s="10"/>
      <c r="B217" s="10"/>
      <c r="C217" s="10"/>
      <c r="D217" s="10"/>
      <c r="E217" s="10"/>
      <c r="F217" s="10"/>
      <c r="G217" s="10"/>
      <c r="H217" s="10"/>
      <c r="I217" s="195"/>
      <c r="J217" s="10"/>
      <c r="K217" s="10"/>
      <c r="L217" s="10"/>
      <c r="M217" s="10"/>
      <c r="N217" s="10"/>
      <c r="O217" s="10"/>
      <c r="P217" s="10"/>
      <c r="Q217" s="10"/>
      <c r="R217" s="10"/>
      <c r="S217" s="10"/>
      <c r="T217" s="10"/>
      <c r="U217" s="10"/>
      <c r="V217" s="10"/>
      <c r="W217" s="10"/>
      <c r="X217" s="10"/>
      <c r="Y217" s="10"/>
      <c r="Z217" s="10"/>
      <c r="AA217" s="10"/>
      <c r="AB217" s="10"/>
      <c r="AC217" s="10"/>
      <c r="AD217" s="10"/>
    </row>
    <row r="218" ht="15.75" customHeight="1">
      <c r="A218" s="10"/>
      <c r="B218" s="10"/>
      <c r="C218" s="10"/>
      <c r="D218" s="10"/>
      <c r="E218" s="10"/>
      <c r="F218" s="10"/>
      <c r="G218" s="10"/>
      <c r="H218" s="10"/>
      <c r="I218" s="195"/>
      <c r="J218" s="10"/>
      <c r="K218" s="10"/>
      <c r="L218" s="10"/>
      <c r="M218" s="10"/>
      <c r="N218" s="10"/>
      <c r="O218" s="10"/>
      <c r="P218" s="10"/>
      <c r="Q218" s="10"/>
      <c r="R218" s="10"/>
      <c r="S218" s="10"/>
      <c r="T218" s="10"/>
      <c r="U218" s="10"/>
      <c r="V218" s="10"/>
      <c r="W218" s="10"/>
      <c r="X218" s="10"/>
      <c r="Y218" s="10"/>
      <c r="Z218" s="10"/>
      <c r="AA218" s="10"/>
      <c r="AB218" s="10"/>
      <c r="AC218" s="10"/>
      <c r="AD218" s="10"/>
    </row>
    <row r="219" ht="15.75" customHeight="1">
      <c r="A219" s="10"/>
      <c r="B219" s="10"/>
      <c r="C219" s="10"/>
      <c r="D219" s="10"/>
      <c r="E219" s="10"/>
      <c r="F219" s="10"/>
      <c r="G219" s="10"/>
      <c r="H219" s="10"/>
      <c r="I219" s="195"/>
      <c r="J219" s="10"/>
      <c r="K219" s="10"/>
      <c r="L219" s="10"/>
      <c r="M219" s="10"/>
      <c r="N219" s="10"/>
      <c r="O219" s="10"/>
      <c r="P219" s="10"/>
      <c r="Q219" s="10"/>
      <c r="R219" s="10"/>
      <c r="S219" s="10"/>
      <c r="T219" s="10"/>
      <c r="U219" s="10"/>
      <c r="V219" s="10"/>
      <c r="W219" s="10"/>
      <c r="X219" s="10"/>
      <c r="Y219" s="10"/>
      <c r="Z219" s="10"/>
      <c r="AA219" s="10"/>
      <c r="AB219" s="10"/>
      <c r="AC219" s="10"/>
      <c r="AD219" s="10"/>
    </row>
    <row r="220" ht="15.75" customHeight="1">
      <c r="A220" s="10"/>
      <c r="B220" s="10"/>
      <c r="C220" s="10"/>
      <c r="D220" s="10"/>
      <c r="E220" s="10"/>
      <c r="F220" s="10"/>
      <c r="G220" s="10"/>
      <c r="H220" s="10"/>
      <c r="I220" s="195"/>
      <c r="J220" s="10"/>
      <c r="K220" s="10"/>
      <c r="L220" s="10"/>
      <c r="M220" s="10"/>
      <c r="N220" s="10"/>
      <c r="O220" s="10"/>
      <c r="P220" s="10"/>
      <c r="Q220" s="10"/>
      <c r="R220" s="10"/>
      <c r="S220" s="10"/>
      <c r="T220" s="10"/>
      <c r="U220" s="10"/>
      <c r="V220" s="10"/>
      <c r="W220" s="10"/>
      <c r="X220" s="10"/>
      <c r="Y220" s="10"/>
      <c r="Z220" s="10"/>
      <c r="AA220" s="10"/>
      <c r="AB220" s="10"/>
      <c r="AC220" s="10"/>
      <c r="AD220" s="10"/>
    </row>
    <row r="221" ht="15.75" customHeight="1">
      <c r="A221" s="10"/>
      <c r="B221" s="10"/>
      <c r="C221" s="10"/>
      <c r="D221" s="10"/>
      <c r="E221" s="10"/>
      <c r="F221" s="10"/>
      <c r="G221" s="10"/>
      <c r="H221" s="10"/>
      <c r="I221" s="195"/>
      <c r="J221" s="10"/>
      <c r="K221" s="10"/>
      <c r="L221" s="10"/>
      <c r="M221" s="10"/>
      <c r="N221" s="10"/>
      <c r="O221" s="10"/>
      <c r="P221" s="10"/>
      <c r="Q221" s="10"/>
      <c r="R221" s="10"/>
      <c r="S221" s="10"/>
      <c r="T221" s="10"/>
      <c r="U221" s="10"/>
      <c r="V221" s="10"/>
      <c r="W221" s="10"/>
      <c r="X221" s="10"/>
      <c r="Y221" s="10"/>
      <c r="Z221" s="10"/>
      <c r="AA221" s="10"/>
      <c r="AB221" s="10"/>
      <c r="AC221" s="10"/>
      <c r="AD221" s="10"/>
    </row>
    <row r="222" ht="15.75" customHeight="1">
      <c r="A222" s="10"/>
      <c r="B222" s="10"/>
      <c r="C222" s="10"/>
      <c r="D222" s="10"/>
      <c r="E222" s="10"/>
      <c r="F222" s="10"/>
      <c r="G222" s="10"/>
      <c r="H222" s="10"/>
      <c r="I222" s="195"/>
      <c r="J222" s="10"/>
      <c r="K222" s="10"/>
      <c r="L222" s="10"/>
      <c r="M222" s="10"/>
      <c r="N222" s="10"/>
      <c r="O222" s="10"/>
      <c r="P222" s="10"/>
      <c r="Q222" s="10"/>
      <c r="R222" s="10"/>
      <c r="S222" s="10"/>
      <c r="T222" s="10"/>
      <c r="U222" s="10"/>
      <c r="V222" s="10"/>
      <c r="W222" s="10"/>
      <c r="X222" s="10"/>
      <c r="Y222" s="10"/>
      <c r="Z222" s="10"/>
      <c r="AA222" s="10"/>
      <c r="AB222" s="10"/>
      <c r="AC222" s="10"/>
      <c r="AD222" s="10"/>
    </row>
    <row r="223" ht="15.75" customHeight="1">
      <c r="A223" s="10"/>
      <c r="B223" s="10"/>
      <c r="C223" s="10"/>
      <c r="D223" s="10"/>
      <c r="E223" s="10"/>
      <c r="F223" s="10"/>
      <c r="G223" s="10"/>
      <c r="H223" s="10"/>
      <c r="I223" s="195"/>
      <c r="J223" s="10"/>
      <c r="K223" s="10"/>
      <c r="L223" s="10"/>
      <c r="M223" s="10"/>
      <c r="N223" s="10"/>
      <c r="O223" s="10"/>
      <c r="P223" s="10"/>
      <c r="Q223" s="10"/>
      <c r="R223" s="10"/>
      <c r="S223" s="10"/>
      <c r="T223" s="10"/>
      <c r="U223" s="10"/>
      <c r="V223" s="10"/>
      <c r="W223" s="10"/>
      <c r="X223" s="10"/>
      <c r="Y223" s="10"/>
      <c r="Z223" s="10"/>
      <c r="AA223" s="10"/>
      <c r="AB223" s="10"/>
      <c r="AC223" s="10"/>
      <c r="AD223" s="10"/>
    </row>
    <row r="224" ht="15.75" customHeight="1">
      <c r="A224" s="10"/>
      <c r="B224" s="10"/>
      <c r="C224" s="10"/>
      <c r="D224" s="10"/>
      <c r="E224" s="10"/>
      <c r="F224" s="10"/>
      <c r="G224" s="10"/>
      <c r="H224" s="10"/>
      <c r="I224" s="195"/>
      <c r="J224" s="10"/>
      <c r="K224" s="10"/>
      <c r="L224" s="10"/>
      <c r="M224" s="10"/>
      <c r="N224" s="10"/>
      <c r="O224" s="10"/>
      <c r="P224" s="10"/>
      <c r="Q224" s="10"/>
      <c r="R224" s="10"/>
      <c r="S224" s="10"/>
      <c r="T224" s="10"/>
      <c r="U224" s="10"/>
      <c r="V224" s="10"/>
      <c r="W224" s="10"/>
      <c r="X224" s="10"/>
      <c r="Y224" s="10"/>
      <c r="Z224" s="10"/>
      <c r="AA224" s="10"/>
      <c r="AB224" s="10"/>
      <c r="AC224" s="10"/>
      <c r="AD224" s="10"/>
    </row>
    <row r="225" ht="15.75" customHeight="1">
      <c r="A225" s="10"/>
      <c r="B225" s="10"/>
      <c r="C225" s="10"/>
      <c r="D225" s="10"/>
      <c r="E225" s="10"/>
      <c r="F225" s="10"/>
      <c r="G225" s="10"/>
      <c r="H225" s="10"/>
      <c r="I225" s="195"/>
      <c r="J225" s="10"/>
      <c r="K225" s="10"/>
      <c r="L225" s="10"/>
      <c r="M225" s="10"/>
      <c r="N225" s="10"/>
      <c r="O225" s="10"/>
      <c r="P225" s="10"/>
      <c r="Q225" s="10"/>
      <c r="R225" s="10"/>
      <c r="S225" s="10"/>
      <c r="T225" s="10"/>
      <c r="U225" s="10"/>
      <c r="V225" s="10"/>
      <c r="W225" s="10"/>
      <c r="X225" s="10"/>
      <c r="Y225" s="10"/>
      <c r="Z225" s="10"/>
      <c r="AA225" s="10"/>
      <c r="AB225" s="10"/>
      <c r="AC225" s="10"/>
      <c r="AD225" s="10"/>
    </row>
    <row r="226" ht="15.75" customHeight="1">
      <c r="A226" s="10"/>
      <c r="B226" s="10"/>
      <c r="C226" s="10"/>
      <c r="D226" s="10"/>
      <c r="E226" s="10"/>
      <c r="F226" s="10"/>
      <c r="G226" s="10"/>
      <c r="H226" s="10"/>
      <c r="I226" s="195"/>
      <c r="J226" s="10"/>
      <c r="K226" s="10"/>
      <c r="L226" s="10"/>
      <c r="M226" s="10"/>
      <c r="N226" s="10"/>
      <c r="O226" s="10"/>
      <c r="P226" s="10"/>
      <c r="Q226" s="10"/>
      <c r="R226" s="10"/>
      <c r="S226" s="10"/>
      <c r="T226" s="10"/>
      <c r="U226" s="10"/>
      <c r="V226" s="10"/>
      <c r="W226" s="10"/>
      <c r="X226" s="10"/>
      <c r="Y226" s="10"/>
      <c r="Z226" s="10"/>
      <c r="AA226" s="10"/>
      <c r="AB226" s="10"/>
      <c r="AC226" s="10"/>
      <c r="AD226" s="10"/>
    </row>
    <row r="227" ht="15.75" customHeight="1">
      <c r="A227" s="10"/>
      <c r="B227" s="10"/>
      <c r="C227" s="10"/>
      <c r="D227" s="10"/>
      <c r="E227" s="10"/>
      <c r="F227" s="10"/>
      <c r="G227" s="10"/>
      <c r="H227" s="10"/>
      <c r="I227" s="195"/>
      <c r="J227" s="10"/>
      <c r="K227" s="10"/>
      <c r="L227" s="10"/>
      <c r="M227" s="10"/>
      <c r="N227" s="10"/>
      <c r="O227" s="10"/>
      <c r="P227" s="10"/>
      <c r="Q227" s="10"/>
      <c r="R227" s="10"/>
      <c r="S227" s="10"/>
      <c r="T227" s="10"/>
      <c r="U227" s="10"/>
      <c r="V227" s="10"/>
      <c r="W227" s="10"/>
      <c r="X227" s="10"/>
      <c r="Y227" s="10"/>
      <c r="Z227" s="10"/>
      <c r="AA227" s="10"/>
      <c r="AB227" s="10"/>
      <c r="AC227" s="10"/>
      <c r="AD227" s="10"/>
    </row>
    <row r="228" ht="15.75" customHeight="1">
      <c r="A228" s="10"/>
      <c r="B228" s="10"/>
      <c r="C228" s="10"/>
      <c r="D228" s="10"/>
      <c r="E228" s="10"/>
      <c r="F228" s="10"/>
      <c r="G228" s="10"/>
      <c r="H228" s="10"/>
      <c r="I228" s="195"/>
      <c r="J228" s="10"/>
      <c r="K228" s="10"/>
      <c r="L228" s="10"/>
      <c r="M228" s="10"/>
      <c r="N228" s="10"/>
      <c r="O228" s="10"/>
      <c r="P228" s="10"/>
      <c r="Q228" s="10"/>
      <c r="R228" s="10"/>
      <c r="S228" s="10"/>
      <c r="T228" s="10"/>
      <c r="U228" s="10"/>
      <c r="V228" s="10"/>
      <c r="W228" s="10"/>
      <c r="X228" s="10"/>
      <c r="Y228" s="10"/>
      <c r="Z228" s="10"/>
      <c r="AA228" s="10"/>
      <c r="AB228" s="10"/>
      <c r="AC228" s="10"/>
      <c r="AD228" s="10"/>
    </row>
    <row r="229" ht="15.75" customHeight="1">
      <c r="A229" s="10"/>
      <c r="B229" s="10"/>
      <c r="C229" s="10"/>
      <c r="D229" s="10"/>
      <c r="E229" s="10"/>
      <c r="F229" s="10"/>
      <c r="G229" s="10"/>
      <c r="H229" s="10"/>
      <c r="I229" s="195"/>
      <c r="J229" s="10"/>
      <c r="K229" s="10"/>
      <c r="L229" s="10"/>
      <c r="M229" s="10"/>
      <c r="N229" s="10"/>
      <c r="O229" s="10"/>
      <c r="P229" s="10"/>
      <c r="Q229" s="10"/>
      <c r="R229" s="10"/>
      <c r="S229" s="10"/>
      <c r="T229" s="10"/>
      <c r="U229" s="10"/>
      <c r="V229" s="10"/>
      <c r="W229" s="10"/>
      <c r="X229" s="10"/>
      <c r="Y229" s="10"/>
      <c r="Z229" s="10"/>
      <c r="AA229" s="10"/>
      <c r="AB229" s="10"/>
      <c r="AC229" s="10"/>
      <c r="AD229" s="10"/>
    </row>
    <row r="230" ht="15.75" customHeight="1">
      <c r="A230" s="10"/>
      <c r="B230" s="10"/>
      <c r="C230" s="10"/>
      <c r="D230" s="10"/>
      <c r="E230" s="10"/>
      <c r="F230" s="10"/>
      <c r="G230" s="10"/>
      <c r="H230" s="10"/>
      <c r="I230" s="195"/>
      <c r="J230" s="10"/>
      <c r="K230" s="10"/>
      <c r="L230" s="10"/>
      <c r="M230" s="10"/>
      <c r="N230" s="10"/>
      <c r="O230" s="10"/>
      <c r="P230" s="10"/>
      <c r="Q230" s="10"/>
      <c r="R230" s="10"/>
      <c r="S230" s="10"/>
      <c r="T230" s="10"/>
      <c r="U230" s="10"/>
      <c r="V230" s="10"/>
      <c r="W230" s="10"/>
      <c r="X230" s="10"/>
      <c r="Y230" s="10"/>
      <c r="Z230" s="10"/>
      <c r="AA230" s="10"/>
      <c r="AB230" s="10"/>
      <c r="AC230" s="10"/>
      <c r="AD230" s="10"/>
    </row>
    <row r="231" ht="15.75" customHeight="1">
      <c r="A231" s="10"/>
      <c r="B231" s="10"/>
      <c r="C231" s="10"/>
      <c r="D231" s="10"/>
      <c r="E231" s="10"/>
      <c r="F231" s="10"/>
      <c r="G231" s="10"/>
      <c r="H231" s="10"/>
      <c r="I231" s="195"/>
      <c r="J231" s="10"/>
      <c r="K231" s="10"/>
      <c r="L231" s="10"/>
      <c r="M231" s="10"/>
      <c r="N231" s="10"/>
      <c r="O231" s="10"/>
      <c r="P231" s="10"/>
      <c r="Q231" s="10"/>
      <c r="R231" s="10"/>
      <c r="S231" s="10"/>
      <c r="T231" s="10"/>
      <c r="U231" s="10"/>
      <c r="V231" s="10"/>
      <c r="W231" s="10"/>
      <c r="X231" s="10"/>
      <c r="Y231" s="10"/>
      <c r="Z231" s="10"/>
      <c r="AA231" s="10"/>
      <c r="AB231" s="10"/>
      <c r="AC231" s="10"/>
      <c r="AD231" s="10"/>
    </row>
    <row r="232" ht="15.75" customHeight="1">
      <c r="A232" s="10"/>
      <c r="B232" s="10"/>
      <c r="C232" s="10"/>
      <c r="D232" s="10"/>
      <c r="E232" s="10"/>
      <c r="F232" s="10"/>
      <c r="G232" s="10"/>
      <c r="H232" s="10"/>
      <c r="I232" s="195"/>
      <c r="J232" s="10"/>
      <c r="K232" s="10"/>
      <c r="L232" s="10"/>
      <c r="M232" s="10"/>
      <c r="N232" s="10"/>
      <c r="O232" s="10"/>
      <c r="P232" s="10"/>
      <c r="Q232" s="10"/>
      <c r="R232" s="10"/>
      <c r="S232" s="10"/>
      <c r="T232" s="10"/>
      <c r="U232" s="10"/>
      <c r="V232" s="10"/>
      <c r="W232" s="10"/>
      <c r="X232" s="10"/>
      <c r="Y232" s="10"/>
      <c r="Z232" s="10"/>
      <c r="AA232" s="10"/>
      <c r="AB232" s="10"/>
      <c r="AC232" s="10"/>
      <c r="AD232" s="10"/>
    </row>
    <row r="233" ht="15.75" customHeight="1">
      <c r="A233" s="10"/>
      <c r="B233" s="10"/>
      <c r="C233" s="10"/>
      <c r="D233" s="10"/>
      <c r="E233" s="10"/>
      <c r="F233" s="10"/>
      <c r="G233" s="10"/>
      <c r="H233" s="10"/>
      <c r="I233" s="195"/>
      <c r="J233" s="10"/>
      <c r="K233" s="10"/>
      <c r="L233" s="10"/>
      <c r="M233" s="10"/>
      <c r="N233" s="10"/>
      <c r="O233" s="10"/>
      <c r="P233" s="10"/>
      <c r="Q233" s="10"/>
      <c r="R233" s="10"/>
      <c r="S233" s="10"/>
      <c r="T233" s="10"/>
      <c r="U233" s="10"/>
      <c r="V233" s="10"/>
      <c r="W233" s="10"/>
      <c r="X233" s="10"/>
      <c r="Y233" s="10"/>
      <c r="Z233" s="10"/>
      <c r="AA233" s="10"/>
      <c r="AB233" s="10"/>
      <c r="AC233" s="10"/>
      <c r="AD233" s="10"/>
    </row>
    <row r="234" ht="15.75" customHeight="1">
      <c r="A234" s="10"/>
      <c r="B234" s="10"/>
      <c r="C234" s="10"/>
      <c r="D234" s="10"/>
      <c r="E234" s="10"/>
      <c r="F234" s="10"/>
      <c r="G234" s="10"/>
      <c r="H234" s="10"/>
      <c r="I234" s="195"/>
      <c r="J234" s="10"/>
      <c r="K234" s="10"/>
      <c r="L234" s="10"/>
      <c r="M234" s="10"/>
      <c r="N234" s="10"/>
      <c r="O234" s="10"/>
      <c r="P234" s="10"/>
      <c r="Q234" s="10"/>
      <c r="R234" s="10"/>
      <c r="S234" s="10"/>
      <c r="T234" s="10"/>
      <c r="U234" s="10"/>
      <c r="V234" s="10"/>
      <c r="W234" s="10"/>
      <c r="X234" s="10"/>
      <c r="Y234" s="10"/>
      <c r="Z234" s="10"/>
      <c r="AA234" s="10"/>
      <c r="AB234" s="10"/>
      <c r="AC234" s="10"/>
      <c r="AD234" s="10"/>
    </row>
    <row r="235" ht="15.75" customHeight="1">
      <c r="A235" s="10"/>
      <c r="B235" s="10"/>
      <c r="C235" s="10"/>
      <c r="D235" s="10"/>
      <c r="E235" s="10"/>
      <c r="F235" s="10"/>
      <c r="G235" s="10"/>
      <c r="H235" s="10"/>
      <c r="I235" s="195"/>
      <c r="J235" s="10"/>
      <c r="K235" s="10"/>
      <c r="L235" s="10"/>
      <c r="M235" s="10"/>
      <c r="N235" s="10"/>
      <c r="O235" s="10"/>
      <c r="P235" s="10"/>
      <c r="Q235" s="10"/>
      <c r="R235" s="10"/>
      <c r="S235" s="10"/>
      <c r="T235" s="10"/>
      <c r="U235" s="10"/>
      <c r="V235" s="10"/>
      <c r="W235" s="10"/>
      <c r="X235" s="10"/>
      <c r="Y235" s="10"/>
      <c r="Z235" s="10"/>
      <c r="AA235" s="10"/>
      <c r="AB235" s="10"/>
      <c r="AC235" s="10"/>
      <c r="AD235" s="10"/>
    </row>
    <row r="236" ht="15.75" customHeight="1">
      <c r="A236" s="10"/>
      <c r="B236" s="10"/>
      <c r="C236" s="10"/>
      <c r="D236" s="10"/>
      <c r="E236" s="10"/>
      <c r="F236" s="10"/>
      <c r="G236" s="10"/>
      <c r="H236" s="10"/>
      <c r="I236" s="195"/>
      <c r="J236" s="10"/>
      <c r="K236" s="10"/>
      <c r="L236" s="10"/>
      <c r="M236" s="10"/>
      <c r="N236" s="10"/>
      <c r="O236" s="10"/>
      <c r="P236" s="10"/>
      <c r="Q236" s="10"/>
      <c r="R236" s="10"/>
      <c r="S236" s="10"/>
      <c r="T236" s="10"/>
      <c r="U236" s="10"/>
      <c r="V236" s="10"/>
      <c r="W236" s="10"/>
      <c r="X236" s="10"/>
      <c r="Y236" s="10"/>
      <c r="Z236" s="10"/>
      <c r="AA236" s="10"/>
      <c r="AB236" s="10"/>
      <c r="AC236" s="10"/>
      <c r="AD236" s="10"/>
    </row>
    <row r="237" ht="15.75" customHeight="1">
      <c r="A237" s="10"/>
      <c r="B237" s="10"/>
      <c r="C237" s="10"/>
      <c r="D237" s="10"/>
      <c r="E237" s="10"/>
      <c r="F237" s="10"/>
      <c r="G237" s="10"/>
      <c r="H237" s="10"/>
      <c r="I237" s="195"/>
      <c r="J237" s="10"/>
      <c r="K237" s="10"/>
      <c r="L237" s="10"/>
      <c r="M237" s="10"/>
      <c r="N237" s="10"/>
      <c r="O237" s="10"/>
      <c r="P237" s="10"/>
      <c r="Q237" s="10"/>
      <c r="R237" s="10"/>
      <c r="S237" s="10"/>
      <c r="T237" s="10"/>
      <c r="U237" s="10"/>
      <c r="V237" s="10"/>
      <c r="W237" s="10"/>
      <c r="X237" s="10"/>
      <c r="Y237" s="10"/>
      <c r="Z237" s="10"/>
      <c r="AA237" s="10"/>
      <c r="AB237" s="10"/>
      <c r="AC237" s="10"/>
      <c r="AD237" s="10"/>
    </row>
    <row r="238" ht="15.75" customHeight="1">
      <c r="A238" s="10"/>
      <c r="B238" s="10"/>
      <c r="C238" s="10"/>
      <c r="D238" s="10"/>
      <c r="E238" s="10"/>
      <c r="F238" s="10"/>
      <c r="G238" s="10"/>
      <c r="H238" s="10"/>
      <c r="I238" s="195"/>
      <c r="J238" s="10"/>
      <c r="K238" s="10"/>
      <c r="L238" s="10"/>
      <c r="M238" s="10"/>
      <c r="N238" s="10"/>
      <c r="O238" s="10"/>
      <c r="P238" s="10"/>
      <c r="Q238" s="10"/>
      <c r="R238" s="10"/>
      <c r="S238" s="10"/>
      <c r="T238" s="10"/>
      <c r="U238" s="10"/>
      <c r="V238" s="10"/>
      <c r="W238" s="10"/>
      <c r="X238" s="10"/>
      <c r="Y238" s="10"/>
      <c r="Z238" s="10"/>
      <c r="AA238" s="10"/>
      <c r="AB238" s="10"/>
      <c r="AC238" s="10"/>
      <c r="AD238" s="10"/>
    </row>
    <row r="239" ht="15.75" customHeight="1">
      <c r="A239" s="10"/>
      <c r="B239" s="10"/>
      <c r="C239" s="10"/>
      <c r="D239" s="10"/>
      <c r="E239" s="10"/>
      <c r="F239" s="10"/>
      <c r="G239" s="10"/>
      <c r="H239" s="10"/>
      <c r="I239" s="195"/>
      <c r="J239" s="10"/>
      <c r="K239" s="10"/>
      <c r="L239" s="10"/>
      <c r="M239" s="10"/>
      <c r="N239" s="10"/>
      <c r="O239" s="10"/>
      <c r="P239" s="10"/>
      <c r="Q239" s="10"/>
      <c r="R239" s="10"/>
      <c r="S239" s="10"/>
      <c r="T239" s="10"/>
      <c r="U239" s="10"/>
      <c r="V239" s="10"/>
      <c r="W239" s="10"/>
      <c r="X239" s="10"/>
      <c r="Y239" s="10"/>
      <c r="Z239" s="10"/>
      <c r="AA239" s="10"/>
      <c r="AB239" s="10"/>
      <c r="AC239" s="10"/>
      <c r="AD239" s="10"/>
    </row>
    <row r="240" ht="15.75" customHeight="1">
      <c r="A240" s="10"/>
      <c r="B240" s="10"/>
      <c r="C240" s="10"/>
      <c r="D240" s="10"/>
      <c r="E240" s="10"/>
      <c r="F240" s="10"/>
      <c r="G240" s="10"/>
      <c r="H240" s="10"/>
      <c r="I240" s="195"/>
      <c r="J240" s="10"/>
      <c r="K240" s="10"/>
      <c r="L240" s="10"/>
      <c r="M240" s="10"/>
      <c r="N240" s="10"/>
      <c r="O240" s="10"/>
      <c r="P240" s="10"/>
      <c r="Q240" s="10"/>
      <c r="R240" s="10"/>
      <c r="S240" s="10"/>
      <c r="T240" s="10"/>
      <c r="U240" s="10"/>
      <c r="V240" s="10"/>
      <c r="W240" s="10"/>
      <c r="X240" s="10"/>
      <c r="Y240" s="10"/>
      <c r="Z240" s="10"/>
      <c r="AA240" s="10"/>
      <c r="AB240" s="10"/>
      <c r="AC240" s="10"/>
      <c r="AD240" s="10"/>
    </row>
    <row r="241" ht="15.75" customHeight="1">
      <c r="A241" s="10"/>
      <c r="B241" s="10"/>
      <c r="C241" s="10"/>
      <c r="D241" s="10"/>
      <c r="E241" s="10"/>
      <c r="F241" s="10"/>
      <c r="G241" s="10"/>
      <c r="H241" s="10"/>
      <c r="I241" s="195"/>
      <c r="J241" s="10"/>
      <c r="K241" s="10"/>
      <c r="L241" s="10"/>
      <c r="M241" s="10"/>
      <c r="N241" s="10"/>
      <c r="O241" s="10"/>
      <c r="P241" s="10"/>
      <c r="Q241" s="10"/>
      <c r="R241" s="10"/>
      <c r="S241" s="10"/>
      <c r="T241" s="10"/>
      <c r="U241" s="10"/>
      <c r="V241" s="10"/>
      <c r="W241" s="10"/>
      <c r="X241" s="10"/>
      <c r="Y241" s="10"/>
      <c r="Z241" s="10"/>
      <c r="AA241" s="10"/>
      <c r="AB241" s="10"/>
      <c r="AC241" s="10"/>
      <c r="AD241" s="10"/>
    </row>
    <row r="242" ht="15.75" customHeight="1">
      <c r="A242" s="10"/>
      <c r="B242" s="10"/>
      <c r="C242" s="10"/>
      <c r="D242" s="10"/>
      <c r="E242" s="10"/>
      <c r="F242" s="10"/>
      <c r="G242" s="10"/>
      <c r="H242" s="10"/>
      <c r="I242" s="195"/>
      <c r="J242" s="10"/>
      <c r="K242" s="10"/>
      <c r="L242" s="10"/>
      <c r="M242" s="10"/>
      <c r="N242" s="10"/>
      <c r="O242" s="10"/>
      <c r="P242" s="10"/>
      <c r="Q242" s="10"/>
      <c r="R242" s="10"/>
      <c r="S242" s="10"/>
      <c r="T242" s="10"/>
      <c r="U242" s="10"/>
      <c r="V242" s="10"/>
      <c r="W242" s="10"/>
      <c r="X242" s="10"/>
      <c r="Y242" s="10"/>
      <c r="Z242" s="10"/>
      <c r="AA242" s="10"/>
      <c r="AB242" s="10"/>
      <c r="AC242" s="10"/>
      <c r="AD242" s="10"/>
    </row>
    <row r="243" ht="15.75" customHeight="1">
      <c r="A243" s="10"/>
      <c r="B243" s="10"/>
      <c r="C243" s="10"/>
      <c r="D243" s="10"/>
      <c r="E243" s="10"/>
      <c r="F243" s="10"/>
      <c r="G243" s="10"/>
      <c r="H243" s="10"/>
      <c r="I243" s="195"/>
      <c r="J243" s="10"/>
      <c r="K243" s="10"/>
      <c r="L243" s="10"/>
      <c r="M243" s="10"/>
      <c r="N243" s="10"/>
      <c r="O243" s="10"/>
      <c r="P243" s="10"/>
      <c r="Q243" s="10"/>
      <c r="R243" s="10"/>
      <c r="S243" s="10"/>
      <c r="T243" s="10"/>
      <c r="U243" s="10"/>
      <c r="V243" s="10"/>
      <c r="W243" s="10"/>
      <c r="X243" s="10"/>
      <c r="Y243" s="10"/>
      <c r="Z243" s="10"/>
      <c r="AA243" s="10"/>
      <c r="AB243" s="10"/>
      <c r="AC243" s="10"/>
      <c r="AD243" s="10"/>
    </row>
    <row r="244" ht="15.75" customHeight="1">
      <c r="A244" s="10"/>
      <c r="B244" s="10"/>
      <c r="C244" s="10"/>
      <c r="D244" s="10"/>
      <c r="E244" s="10"/>
      <c r="F244" s="10"/>
      <c r="G244" s="10"/>
      <c r="H244" s="10"/>
      <c r="I244" s="195"/>
      <c r="J244" s="10"/>
      <c r="K244" s="10"/>
      <c r="L244" s="10"/>
      <c r="M244" s="10"/>
      <c r="N244" s="10"/>
      <c r="O244" s="10"/>
      <c r="P244" s="10"/>
      <c r="Q244" s="10"/>
      <c r="R244" s="10"/>
      <c r="S244" s="10"/>
      <c r="T244" s="10"/>
      <c r="U244" s="10"/>
      <c r="V244" s="10"/>
      <c r="W244" s="10"/>
      <c r="X244" s="10"/>
      <c r="Y244" s="10"/>
      <c r="Z244" s="10"/>
      <c r="AA244" s="10"/>
      <c r="AB244" s="10"/>
      <c r="AC244" s="10"/>
      <c r="AD244" s="10"/>
    </row>
    <row r="245" ht="15.75" customHeight="1">
      <c r="A245" s="10"/>
      <c r="B245" s="10"/>
      <c r="C245" s="10"/>
      <c r="D245" s="10"/>
      <c r="E245" s="10"/>
      <c r="F245" s="10"/>
      <c r="G245" s="10"/>
      <c r="H245" s="10"/>
      <c r="I245" s="195"/>
      <c r="J245" s="10"/>
      <c r="K245" s="10"/>
      <c r="L245" s="10"/>
      <c r="M245" s="10"/>
      <c r="N245" s="10"/>
      <c r="O245" s="10"/>
      <c r="P245" s="10"/>
      <c r="Q245" s="10"/>
      <c r="R245" s="10"/>
      <c r="S245" s="10"/>
      <c r="T245" s="10"/>
      <c r="U245" s="10"/>
      <c r="V245" s="10"/>
      <c r="W245" s="10"/>
      <c r="X245" s="10"/>
      <c r="Y245" s="10"/>
      <c r="Z245" s="10"/>
      <c r="AA245" s="10"/>
      <c r="AB245" s="10"/>
      <c r="AC245" s="10"/>
      <c r="AD245" s="10"/>
    </row>
    <row r="246" ht="15.75" customHeight="1">
      <c r="A246" s="10"/>
      <c r="B246" s="10"/>
      <c r="C246" s="10"/>
      <c r="D246" s="10"/>
      <c r="E246" s="10"/>
      <c r="F246" s="10"/>
      <c r="G246" s="10"/>
      <c r="H246" s="10"/>
      <c r="I246" s="195"/>
      <c r="J246" s="10"/>
      <c r="K246" s="10"/>
      <c r="L246" s="10"/>
      <c r="M246" s="10"/>
      <c r="N246" s="10"/>
      <c r="O246" s="10"/>
      <c r="P246" s="10"/>
      <c r="Q246" s="10"/>
      <c r="R246" s="10"/>
      <c r="S246" s="10"/>
      <c r="T246" s="10"/>
      <c r="U246" s="10"/>
      <c r="V246" s="10"/>
      <c r="W246" s="10"/>
      <c r="X246" s="10"/>
      <c r="Y246" s="10"/>
      <c r="Z246" s="10"/>
      <c r="AA246" s="10"/>
      <c r="AB246" s="10"/>
      <c r="AC246" s="10"/>
      <c r="AD246" s="10"/>
    </row>
    <row r="247" ht="15.75" customHeight="1">
      <c r="A247" s="10"/>
      <c r="B247" s="10"/>
      <c r="C247" s="10"/>
      <c r="D247" s="10"/>
      <c r="E247" s="10"/>
      <c r="F247" s="10"/>
      <c r="G247" s="10"/>
      <c r="H247" s="10"/>
      <c r="I247" s="195"/>
      <c r="J247" s="10"/>
      <c r="K247" s="10"/>
      <c r="L247" s="10"/>
      <c r="M247" s="10"/>
      <c r="N247" s="10"/>
      <c r="O247" s="10"/>
      <c r="P247" s="10"/>
      <c r="Q247" s="10"/>
      <c r="R247" s="10"/>
      <c r="S247" s="10"/>
      <c r="T247" s="10"/>
      <c r="U247" s="10"/>
      <c r="V247" s="10"/>
      <c r="W247" s="10"/>
      <c r="X247" s="10"/>
      <c r="Y247" s="10"/>
      <c r="Z247" s="10"/>
      <c r="AA247" s="10"/>
      <c r="AB247" s="10"/>
      <c r="AC247" s="10"/>
      <c r="AD247" s="10"/>
    </row>
    <row r="248" ht="15.75" customHeight="1">
      <c r="A248" s="10"/>
      <c r="B248" s="10"/>
      <c r="C248" s="10"/>
      <c r="D248" s="10"/>
      <c r="E248" s="10"/>
      <c r="F248" s="10"/>
      <c r="G248" s="10"/>
      <c r="H248" s="10"/>
      <c r="I248" s="195"/>
      <c r="J248" s="10"/>
      <c r="K248" s="10"/>
      <c r="L248" s="10"/>
      <c r="M248" s="10"/>
      <c r="N248" s="10"/>
      <c r="O248" s="10"/>
      <c r="P248" s="10"/>
      <c r="Q248" s="10"/>
      <c r="R248" s="10"/>
      <c r="S248" s="10"/>
      <c r="T248" s="10"/>
      <c r="U248" s="10"/>
      <c r="V248" s="10"/>
      <c r="W248" s="10"/>
      <c r="X248" s="10"/>
      <c r="Y248" s="10"/>
      <c r="Z248" s="10"/>
      <c r="AA248" s="10"/>
      <c r="AB248" s="10"/>
      <c r="AC248" s="10"/>
      <c r="AD248" s="10"/>
    </row>
    <row r="249" ht="15.75" customHeight="1">
      <c r="A249" s="10"/>
      <c r="B249" s="10"/>
      <c r="C249" s="10"/>
      <c r="D249" s="10"/>
      <c r="E249" s="10"/>
      <c r="F249" s="10"/>
      <c r="G249" s="10"/>
      <c r="H249" s="10"/>
      <c r="I249" s="195"/>
      <c r="J249" s="10"/>
      <c r="K249" s="10"/>
      <c r="L249" s="10"/>
      <c r="M249" s="10"/>
      <c r="N249" s="10"/>
      <c r="O249" s="10"/>
      <c r="P249" s="10"/>
      <c r="Q249" s="10"/>
      <c r="R249" s="10"/>
      <c r="S249" s="10"/>
      <c r="T249" s="10"/>
      <c r="U249" s="10"/>
      <c r="V249" s="10"/>
      <c r="W249" s="10"/>
      <c r="X249" s="10"/>
      <c r="Y249" s="10"/>
      <c r="Z249" s="10"/>
      <c r="AA249" s="10"/>
      <c r="AB249" s="10"/>
      <c r="AC249" s="10"/>
      <c r="AD249" s="10"/>
    </row>
    <row r="250" ht="15.75" customHeight="1">
      <c r="A250" s="10"/>
      <c r="B250" s="10"/>
      <c r="C250" s="10"/>
      <c r="D250" s="10"/>
      <c r="E250" s="10"/>
      <c r="F250" s="10"/>
      <c r="G250" s="10"/>
      <c r="H250" s="10"/>
      <c r="I250" s="195"/>
      <c r="J250" s="10"/>
      <c r="K250" s="10"/>
      <c r="L250" s="10"/>
      <c r="M250" s="10"/>
      <c r="N250" s="10"/>
      <c r="O250" s="10"/>
      <c r="P250" s="10"/>
      <c r="Q250" s="10"/>
      <c r="R250" s="10"/>
      <c r="S250" s="10"/>
      <c r="T250" s="10"/>
      <c r="U250" s="10"/>
      <c r="V250" s="10"/>
      <c r="W250" s="10"/>
      <c r="X250" s="10"/>
      <c r="Y250" s="10"/>
      <c r="Z250" s="10"/>
      <c r="AA250" s="10"/>
      <c r="AB250" s="10"/>
      <c r="AC250" s="10"/>
      <c r="AD250" s="10"/>
    </row>
    <row r="251" ht="15.75" customHeight="1">
      <c r="A251" s="10"/>
      <c r="B251" s="10"/>
      <c r="C251" s="10"/>
      <c r="D251" s="10"/>
      <c r="E251" s="10"/>
      <c r="F251" s="10"/>
      <c r="G251" s="10"/>
      <c r="H251" s="10"/>
      <c r="I251" s="195"/>
      <c r="J251" s="10"/>
      <c r="K251" s="10"/>
      <c r="L251" s="10"/>
      <c r="M251" s="10"/>
      <c r="N251" s="10"/>
      <c r="O251" s="10"/>
      <c r="P251" s="10"/>
      <c r="Q251" s="10"/>
      <c r="R251" s="10"/>
      <c r="S251" s="10"/>
      <c r="T251" s="10"/>
      <c r="U251" s="10"/>
      <c r="V251" s="10"/>
      <c r="W251" s="10"/>
      <c r="X251" s="10"/>
      <c r="Y251" s="10"/>
      <c r="Z251" s="10"/>
      <c r="AA251" s="10"/>
      <c r="AB251" s="10"/>
      <c r="AC251" s="10"/>
      <c r="AD251" s="10"/>
    </row>
    <row r="252" ht="15.75" customHeight="1">
      <c r="A252" s="10"/>
      <c r="B252" s="10"/>
      <c r="C252" s="10"/>
      <c r="D252" s="10"/>
      <c r="E252" s="10"/>
      <c r="F252" s="10"/>
      <c r="G252" s="10"/>
      <c r="H252" s="10"/>
      <c r="I252" s="195"/>
      <c r="J252" s="10"/>
      <c r="K252" s="10"/>
      <c r="L252" s="10"/>
      <c r="M252" s="10"/>
      <c r="N252" s="10"/>
      <c r="O252" s="10"/>
      <c r="P252" s="10"/>
      <c r="Q252" s="10"/>
      <c r="R252" s="10"/>
      <c r="S252" s="10"/>
      <c r="T252" s="10"/>
      <c r="U252" s="10"/>
      <c r="V252" s="10"/>
      <c r="W252" s="10"/>
      <c r="X252" s="10"/>
      <c r="Y252" s="10"/>
      <c r="Z252" s="10"/>
      <c r="AA252" s="10"/>
      <c r="AB252" s="10"/>
      <c r="AC252" s="10"/>
      <c r="AD252" s="10"/>
    </row>
    <row r="253" ht="15.75" customHeight="1">
      <c r="A253" s="10"/>
      <c r="B253" s="10"/>
      <c r="C253" s="10"/>
      <c r="D253" s="10"/>
      <c r="E253" s="10"/>
      <c r="F253" s="10"/>
      <c r="G253" s="10"/>
      <c r="H253" s="10"/>
      <c r="I253" s="195"/>
      <c r="J253" s="10"/>
      <c r="K253" s="10"/>
      <c r="L253" s="10"/>
      <c r="M253" s="10"/>
      <c r="N253" s="10"/>
      <c r="O253" s="10"/>
      <c r="P253" s="10"/>
      <c r="Q253" s="10"/>
      <c r="R253" s="10"/>
      <c r="S253" s="10"/>
      <c r="T253" s="10"/>
      <c r="U253" s="10"/>
      <c r="V253" s="10"/>
      <c r="W253" s="10"/>
      <c r="X253" s="10"/>
      <c r="Y253" s="10"/>
      <c r="Z253" s="10"/>
      <c r="AA253" s="10"/>
      <c r="AB253" s="10"/>
      <c r="AC253" s="10"/>
      <c r="AD253" s="10"/>
    </row>
    <row r="254" ht="15.75" customHeight="1">
      <c r="A254" s="10"/>
      <c r="B254" s="10"/>
      <c r="C254" s="10"/>
      <c r="D254" s="10"/>
      <c r="E254" s="10"/>
      <c r="F254" s="10"/>
      <c r="G254" s="10"/>
      <c r="H254" s="10"/>
      <c r="I254" s="195"/>
      <c r="J254" s="10"/>
      <c r="K254" s="10"/>
      <c r="L254" s="10"/>
      <c r="M254" s="10"/>
      <c r="N254" s="10"/>
      <c r="O254" s="10"/>
      <c r="P254" s="10"/>
      <c r="Q254" s="10"/>
      <c r="R254" s="10"/>
      <c r="S254" s="10"/>
      <c r="T254" s="10"/>
      <c r="U254" s="10"/>
      <c r="V254" s="10"/>
      <c r="W254" s="10"/>
      <c r="X254" s="10"/>
      <c r="Y254" s="10"/>
      <c r="Z254" s="10"/>
      <c r="AA254" s="10"/>
      <c r="AB254" s="10"/>
      <c r="AC254" s="10"/>
      <c r="AD254" s="10"/>
    </row>
    <row r="255" ht="15.75" customHeight="1">
      <c r="A255" s="10"/>
      <c r="B255" s="10"/>
      <c r="C255" s="10"/>
      <c r="D255" s="10"/>
      <c r="E255" s="10"/>
      <c r="F255" s="10"/>
      <c r="G255" s="10"/>
      <c r="H255" s="10"/>
      <c r="I255" s="195"/>
      <c r="J255" s="10"/>
      <c r="K255" s="10"/>
      <c r="L255" s="10"/>
      <c r="M255" s="10"/>
      <c r="N255" s="10"/>
      <c r="O255" s="10"/>
      <c r="P255" s="10"/>
      <c r="Q255" s="10"/>
      <c r="R255" s="10"/>
      <c r="S255" s="10"/>
      <c r="T255" s="10"/>
      <c r="U255" s="10"/>
      <c r="V255" s="10"/>
      <c r="W255" s="10"/>
      <c r="X255" s="10"/>
      <c r="Y255" s="10"/>
      <c r="Z255" s="10"/>
      <c r="AA255" s="10"/>
      <c r="AB255" s="10"/>
      <c r="AC255" s="10"/>
      <c r="AD255" s="10"/>
    </row>
    <row r="256" ht="15.75" customHeight="1">
      <c r="A256" s="10"/>
      <c r="B256" s="10"/>
      <c r="C256" s="10"/>
      <c r="D256" s="10"/>
      <c r="E256" s="10"/>
      <c r="F256" s="10"/>
      <c r="G256" s="10"/>
      <c r="H256" s="10"/>
      <c r="I256" s="195"/>
      <c r="J256" s="10"/>
      <c r="K256" s="10"/>
      <c r="L256" s="10"/>
      <c r="M256" s="10"/>
      <c r="N256" s="10"/>
      <c r="O256" s="10"/>
      <c r="P256" s="10"/>
      <c r="Q256" s="10"/>
      <c r="R256" s="10"/>
      <c r="S256" s="10"/>
      <c r="T256" s="10"/>
      <c r="U256" s="10"/>
      <c r="V256" s="10"/>
      <c r="W256" s="10"/>
      <c r="X256" s="10"/>
      <c r="Y256" s="10"/>
      <c r="Z256" s="10"/>
      <c r="AA256" s="10"/>
      <c r="AB256" s="10"/>
      <c r="AC256" s="10"/>
      <c r="AD256" s="10"/>
    </row>
    <row r="257" ht="15.75" customHeight="1">
      <c r="A257" s="10"/>
      <c r="B257" s="10"/>
      <c r="C257" s="10"/>
      <c r="D257" s="10"/>
      <c r="E257" s="10"/>
      <c r="F257" s="10"/>
      <c r="G257" s="10"/>
      <c r="H257" s="10"/>
      <c r="I257" s="195"/>
      <c r="J257" s="10"/>
      <c r="K257" s="10"/>
      <c r="L257" s="10"/>
      <c r="M257" s="10"/>
      <c r="N257" s="10"/>
      <c r="O257" s="10"/>
      <c r="P257" s="10"/>
      <c r="Q257" s="10"/>
      <c r="R257" s="10"/>
      <c r="S257" s="10"/>
      <c r="T257" s="10"/>
      <c r="U257" s="10"/>
      <c r="V257" s="10"/>
      <c r="W257" s="10"/>
      <c r="X257" s="10"/>
      <c r="Y257" s="10"/>
      <c r="Z257" s="10"/>
      <c r="AA257" s="10"/>
      <c r="AB257" s="10"/>
      <c r="AC257" s="10"/>
      <c r="AD257" s="10"/>
    </row>
    <row r="258" ht="15.75" customHeight="1">
      <c r="A258" s="10"/>
      <c r="B258" s="10"/>
      <c r="C258" s="10"/>
      <c r="D258" s="10"/>
      <c r="E258" s="10"/>
      <c r="F258" s="10"/>
      <c r="G258" s="10"/>
      <c r="H258" s="10"/>
      <c r="I258" s="195"/>
      <c r="J258" s="10"/>
      <c r="K258" s="10"/>
      <c r="L258" s="10"/>
      <c r="M258" s="10"/>
      <c r="N258" s="10"/>
      <c r="O258" s="10"/>
      <c r="P258" s="10"/>
      <c r="Q258" s="10"/>
      <c r="R258" s="10"/>
      <c r="S258" s="10"/>
      <c r="T258" s="10"/>
      <c r="U258" s="10"/>
      <c r="V258" s="10"/>
      <c r="W258" s="10"/>
      <c r="X258" s="10"/>
      <c r="Y258" s="10"/>
      <c r="Z258" s="10"/>
      <c r="AA258" s="10"/>
      <c r="AB258" s="10"/>
      <c r="AC258" s="10"/>
      <c r="AD258" s="10"/>
    </row>
    <row r="259" ht="15.75" customHeight="1">
      <c r="A259" s="10"/>
      <c r="B259" s="10"/>
      <c r="C259" s="10"/>
      <c r="D259" s="10"/>
      <c r="E259" s="10"/>
      <c r="F259" s="10"/>
      <c r="G259" s="10"/>
      <c r="H259" s="10"/>
      <c r="I259" s="195"/>
      <c r="J259" s="10"/>
      <c r="K259" s="10"/>
      <c r="L259" s="10"/>
      <c r="M259" s="10"/>
      <c r="N259" s="10"/>
      <c r="O259" s="10"/>
      <c r="P259" s="10"/>
      <c r="Q259" s="10"/>
      <c r="R259" s="10"/>
      <c r="S259" s="10"/>
      <c r="T259" s="10"/>
      <c r="U259" s="10"/>
      <c r="V259" s="10"/>
      <c r="W259" s="10"/>
      <c r="X259" s="10"/>
      <c r="Y259" s="10"/>
      <c r="Z259" s="10"/>
      <c r="AA259" s="10"/>
      <c r="AB259" s="10"/>
      <c r="AC259" s="10"/>
      <c r="AD259" s="10"/>
    </row>
    <row r="260" ht="15.75" customHeight="1">
      <c r="A260" s="10"/>
      <c r="B260" s="10"/>
      <c r="C260" s="10"/>
      <c r="D260" s="10"/>
      <c r="E260" s="10"/>
      <c r="F260" s="10"/>
      <c r="G260" s="10"/>
      <c r="H260" s="10"/>
      <c r="I260" s="195"/>
      <c r="J260" s="10"/>
      <c r="K260" s="10"/>
      <c r="L260" s="10"/>
      <c r="M260" s="10"/>
      <c r="N260" s="10"/>
      <c r="O260" s="10"/>
      <c r="P260" s="10"/>
      <c r="Q260" s="10"/>
      <c r="R260" s="10"/>
      <c r="S260" s="10"/>
      <c r="T260" s="10"/>
      <c r="U260" s="10"/>
      <c r="V260" s="10"/>
      <c r="W260" s="10"/>
      <c r="X260" s="10"/>
      <c r="Y260" s="10"/>
      <c r="Z260" s="10"/>
      <c r="AA260" s="10"/>
      <c r="AB260" s="10"/>
      <c r="AC260" s="10"/>
      <c r="AD260" s="10"/>
    </row>
    <row r="261" ht="15.75" customHeight="1">
      <c r="A261" s="10"/>
      <c r="B261" s="10"/>
      <c r="C261" s="10"/>
      <c r="D261" s="10"/>
      <c r="E261" s="10"/>
      <c r="F261" s="10"/>
      <c r="G261" s="10"/>
      <c r="H261" s="10"/>
      <c r="I261" s="195"/>
      <c r="J261" s="10"/>
      <c r="K261" s="10"/>
      <c r="L261" s="10"/>
      <c r="M261" s="10"/>
      <c r="N261" s="10"/>
      <c r="O261" s="10"/>
      <c r="P261" s="10"/>
      <c r="Q261" s="10"/>
      <c r="R261" s="10"/>
      <c r="S261" s="10"/>
      <c r="T261" s="10"/>
      <c r="U261" s="10"/>
      <c r="V261" s="10"/>
      <c r="W261" s="10"/>
      <c r="X261" s="10"/>
      <c r="Y261" s="10"/>
      <c r="Z261" s="10"/>
      <c r="AA261" s="10"/>
      <c r="AB261" s="10"/>
      <c r="AC261" s="10"/>
      <c r="AD261" s="10"/>
    </row>
    <row r="262" ht="15.75" customHeight="1">
      <c r="A262" s="10"/>
      <c r="B262" s="10"/>
      <c r="C262" s="10"/>
      <c r="D262" s="10"/>
      <c r="E262" s="10"/>
      <c r="F262" s="10"/>
      <c r="G262" s="10"/>
      <c r="H262" s="10"/>
      <c r="I262" s="195"/>
      <c r="J262" s="10"/>
      <c r="K262" s="10"/>
      <c r="L262" s="10"/>
      <c r="M262" s="10"/>
      <c r="N262" s="10"/>
      <c r="O262" s="10"/>
      <c r="P262" s="10"/>
      <c r="Q262" s="10"/>
      <c r="R262" s="10"/>
      <c r="S262" s="10"/>
      <c r="T262" s="10"/>
      <c r="U262" s="10"/>
      <c r="V262" s="10"/>
      <c r="W262" s="10"/>
      <c r="X262" s="10"/>
      <c r="Y262" s="10"/>
      <c r="Z262" s="10"/>
      <c r="AA262" s="10"/>
      <c r="AB262" s="10"/>
      <c r="AC262" s="10"/>
      <c r="AD262" s="10"/>
    </row>
    <row r="263" ht="15.75" customHeight="1">
      <c r="A263" s="10"/>
      <c r="B263" s="10"/>
      <c r="C263" s="10"/>
      <c r="D263" s="10"/>
      <c r="E263" s="10"/>
      <c r="F263" s="10"/>
      <c r="G263" s="10"/>
      <c r="H263" s="10"/>
      <c r="I263" s="195"/>
      <c r="J263" s="10"/>
      <c r="K263" s="10"/>
      <c r="L263" s="10"/>
      <c r="M263" s="10"/>
      <c r="N263" s="10"/>
      <c r="O263" s="10"/>
      <c r="P263" s="10"/>
      <c r="Q263" s="10"/>
      <c r="R263" s="10"/>
      <c r="S263" s="10"/>
      <c r="T263" s="10"/>
      <c r="U263" s="10"/>
      <c r="V263" s="10"/>
      <c r="W263" s="10"/>
      <c r="X263" s="10"/>
      <c r="Y263" s="10"/>
      <c r="Z263" s="10"/>
      <c r="AA263" s="10"/>
      <c r="AB263" s="10"/>
      <c r="AC263" s="10"/>
      <c r="AD263" s="10"/>
    </row>
    <row r="264" ht="15.75" customHeight="1">
      <c r="A264" s="10"/>
      <c r="B264" s="10"/>
      <c r="C264" s="10"/>
      <c r="D264" s="10"/>
      <c r="E264" s="10"/>
      <c r="F264" s="10"/>
      <c r="G264" s="10"/>
      <c r="H264" s="10"/>
      <c r="I264" s="195"/>
      <c r="J264" s="10"/>
      <c r="K264" s="10"/>
      <c r="L264" s="10"/>
      <c r="M264" s="10"/>
      <c r="N264" s="10"/>
      <c r="O264" s="10"/>
      <c r="P264" s="10"/>
      <c r="Q264" s="10"/>
      <c r="R264" s="10"/>
      <c r="S264" s="10"/>
      <c r="T264" s="10"/>
      <c r="U264" s="10"/>
      <c r="V264" s="10"/>
      <c r="W264" s="10"/>
      <c r="X264" s="10"/>
      <c r="Y264" s="10"/>
      <c r="Z264" s="10"/>
      <c r="AA264" s="10"/>
      <c r="AB264" s="10"/>
      <c r="AC264" s="10"/>
      <c r="AD264" s="10"/>
    </row>
    <row r="265" ht="15.75" customHeight="1">
      <c r="A265" s="10"/>
      <c r="B265" s="10"/>
      <c r="C265" s="10"/>
      <c r="D265" s="10"/>
      <c r="E265" s="10"/>
      <c r="F265" s="10"/>
      <c r="G265" s="10"/>
      <c r="H265" s="10"/>
      <c r="I265" s="195"/>
      <c r="J265" s="10"/>
      <c r="K265" s="10"/>
      <c r="L265" s="10"/>
      <c r="M265" s="10"/>
      <c r="N265" s="10"/>
      <c r="O265" s="10"/>
      <c r="P265" s="10"/>
      <c r="Q265" s="10"/>
      <c r="R265" s="10"/>
      <c r="S265" s="10"/>
      <c r="T265" s="10"/>
      <c r="U265" s="10"/>
      <c r="V265" s="10"/>
      <c r="W265" s="10"/>
      <c r="X265" s="10"/>
      <c r="Y265" s="10"/>
      <c r="Z265" s="10"/>
      <c r="AA265" s="10"/>
      <c r="AB265" s="10"/>
      <c r="AC265" s="10"/>
      <c r="AD265" s="10"/>
    </row>
    <row r="266" ht="15.75" customHeight="1">
      <c r="A266" s="10"/>
      <c r="B266" s="10"/>
      <c r="C266" s="10"/>
      <c r="D266" s="10"/>
      <c r="E266" s="10"/>
      <c r="F266" s="10"/>
      <c r="G266" s="10"/>
      <c r="H266" s="10"/>
      <c r="I266" s="195"/>
      <c r="J266" s="10"/>
      <c r="K266" s="10"/>
      <c r="L266" s="10"/>
      <c r="M266" s="10"/>
      <c r="N266" s="10"/>
      <c r="O266" s="10"/>
      <c r="P266" s="10"/>
      <c r="Q266" s="10"/>
      <c r="R266" s="10"/>
      <c r="S266" s="10"/>
      <c r="T266" s="10"/>
      <c r="U266" s="10"/>
      <c r="V266" s="10"/>
      <c r="W266" s="10"/>
      <c r="X266" s="10"/>
      <c r="Y266" s="10"/>
      <c r="Z266" s="10"/>
      <c r="AA266" s="10"/>
      <c r="AB266" s="10"/>
      <c r="AC266" s="10"/>
      <c r="AD266" s="10"/>
    </row>
    <row r="267" ht="15.75" customHeight="1">
      <c r="A267" s="10"/>
      <c r="B267" s="10"/>
      <c r="C267" s="10"/>
      <c r="D267" s="10"/>
      <c r="E267" s="10"/>
      <c r="F267" s="10"/>
      <c r="G267" s="10"/>
      <c r="H267" s="10"/>
      <c r="I267" s="195"/>
      <c r="J267" s="10"/>
      <c r="K267" s="10"/>
      <c r="L267" s="10"/>
      <c r="M267" s="10"/>
      <c r="N267" s="10"/>
      <c r="O267" s="10"/>
      <c r="P267" s="10"/>
      <c r="Q267" s="10"/>
      <c r="R267" s="10"/>
      <c r="S267" s="10"/>
      <c r="T267" s="10"/>
      <c r="U267" s="10"/>
      <c r="V267" s="10"/>
      <c r="W267" s="10"/>
      <c r="X267" s="10"/>
      <c r="Y267" s="10"/>
      <c r="Z267" s="10"/>
      <c r="AA267" s="10"/>
      <c r="AB267" s="10"/>
      <c r="AC267" s="10"/>
      <c r="AD267" s="10"/>
    </row>
    <row r="268" ht="15.75" customHeight="1">
      <c r="A268" s="10"/>
      <c r="B268" s="10"/>
      <c r="C268" s="10"/>
      <c r="D268" s="10"/>
      <c r="E268" s="10"/>
      <c r="F268" s="10"/>
      <c r="G268" s="10"/>
      <c r="H268" s="10"/>
      <c r="I268" s="195"/>
      <c r="J268" s="10"/>
      <c r="K268" s="10"/>
      <c r="L268" s="10"/>
      <c r="M268" s="10"/>
      <c r="N268" s="10"/>
      <c r="O268" s="10"/>
      <c r="P268" s="10"/>
      <c r="Q268" s="10"/>
      <c r="R268" s="10"/>
      <c r="S268" s="10"/>
      <c r="T268" s="10"/>
      <c r="U268" s="10"/>
      <c r="V268" s="10"/>
      <c r="W268" s="10"/>
      <c r="X268" s="10"/>
      <c r="Y268" s="10"/>
      <c r="Z268" s="10"/>
      <c r="AA268" s="10"/>
      <c r="AB268" s="10"/>
      <c r="AC268" s="10"/>
      <c r="AD268" s="10"/>
    </row>
    <row r="269" ht="15.75" customHeight="1">
      <c r="A269" s="10"/>
      <c r="B269" s="10"/>
      <c r="C269" s="10"/>
      <c r="D269" s="10"/>
      <c r="E269" s="10"/>
      <c r="F269" s="10"/>
      <c r="G269" s="10"/>
      <c r="H269" s="10"/>
      <c r="I269" s="195"/>
      <c r="J269" s="10"/>
      <c r="K269" s="10"/>
      <c r="L269" s="10"/>
      <c r="M269" s="10"/>
      <c r="N269" s="10"/>
      <c r="O269" s="10"/>
      <c r="P269" s="10"/>
      <c r="Q269" s="10"/>
      <c r="R269" s="10"/>
      <c r="S269" s="10"/>
      <c r="T269" s="10"/>
      <c r="U269" s="10"/>
      <c r="V269" s="10"/>
      <c r="W269" s="10"/>
      <c r="X269" s="10"/>
      <c r="Y269" s="10"/>
      <c r="Z269" s="10"/>
      <c r="AA269" s="10"/>
      <c r="AB269" s="10"/>
      <c r="AC269" s="10"/>
      <c r="AD269" s="10"/>
    </row>
    <row r="270" ht="15.75" customHeight="1">
      <c r="A270" s="10"/>
      <c r="B270" s="10"/>
      <c r="C270" s="10"/>
      <c r="D270" s="10"/>
      <c r="E270" s="10"/>
      <c r="F270" s="10"/>
      <c r="G270" s="10"/>
      <c r="H270" s="10"/>
      <c r="I270" s="195"/>
      <c r="J270" s="10"/>
      <c r="K270" s="10"/>
      <c r="L270" s="10"/>
      <c r="M270" s="10"/>
      <c r="N270" s="10"/>
      <c r="O270" s="10"/>
      <c r="P270" s="10"/>
      <c r="Q270" s="10"/>
      <c r="R270" s="10"/>
      <c r="S270" s="10"/>
      <c r="T270" s="10"/>
      <c r="U270" s="10"/>
      <c r="V270" s="10"/>
      <c r="W270" s="10"/>
      <c r="X270" s="10"/>
      <c r="Y270" s="10"/>
      <c r="Z270" s="10"/>
      <c r="AA270" s="10"/>
      <c r="AB270" s="10"/>
      <c r="AC270" s="10"/>
      <c r="AD270" s="10"/>
    </row>
    <row r="271" ht="15.75" customHeight="1">
      <c r="A271" s="10"/>
      <c r="B271" s="10"/>
      <c r="C271" s="10"/>
      <c r="D271" s="10"/>
      <c r="E271" s="10"/>
      <c r="F271" s="10"/>
      <c r="G271" s="10"/>
      <c r="H271" s="10"/>
      <c r="I271" s="195"/>
      <c r="J271" s="10"/>
      <c r="K271" s="10"/>
      <c r="L271" s="10"/>
      <c r="M271" s="10"/>
      <c r="N271" s="10"/>
      <c r="O271" s="10"/>
      <c r="P271" s="10"/>
      <c r="Q271" s="10"/>
      <c r="R271" s="10"/>
      <c r="S271" s="10"/>
      <c r="T271" s="10"/>
      <c r="U271" s="10"/>
      <c r="V271" s="10"/>
      <c r="W271" s="10"/>
      <c r="X271" s="10"/>
      <c r="Y271" s="10"/>
      <c r="Z271" s="10"/>
      <c r="AA271" s="10"/>
      <c r="AB271" s="10"/>
      <c r="AC271" s="10"/>
      <c r="AD271" s="10"/>
    </row>
    <row r="272" ht="15.75" customHeight="1">
      <c r="A272" s="10"/>
      <c r="B272" s="10"/>
      <c r="C272" s="10"/>
      <c r="D272" s="10"/>
      <c r="E272" s="10"/>
      <c r="F272" s="10"/>
      <c r="G272" s="10"/>
      <c r="H272" s="10"/>
      <c r="I272" s="195"/>
      <c r="J272" s="10"/>
      <c r="K272" s="10"/>
      <c r="L272" s="10"/>
      <c r="M272" s="10"/>
      <c r="N272" s="10"/>
      <c r="O272" s="10"/>
      <c r="P272" s="10"/>
      <c r="Q272" s="10"/>
      <c r="R272" s="10"/>
      <c r="S272" s="10"/>
      <c r="T272" s="10"/>
      <c r="U272" s="10"/>
      <c r="V272" s="10"/>
      <c r="W272" s="10"/>
      <c r="X272" s="10"/>
      <c r="Y272" s="10"/>
      <c r="Z272" s="10"/>
      <c r="AA272" s="10"/>
      <c r="AB272" s="10"/>
      <c r="AC272" s="10"/>
      <c r="AD272" s="10"/>
    </row>
    <row r="273" ht="15.75" customHeight="1">
      <c r="A273" s="10"/>
      <c r="B273" s="10"/>
      <c r="C273" s="10"/>
      <c r="D273" s="10"/>
      <c r="E273" s="10"/>
      <c r="F273" s="10"/>
      <c r="G273" s="10"/>
      <c r="H273" s="10"/>
      <c r="I273" s="195"/>
      <c r="J273" s="10"/>
      <c r="K273" s="10"/>
      <c r="L273" s="10"/>
      <c r="M273" s="10"/>
      <c r="N273" s="10"/>
      <c r="O273" s="10"/>
      <c r="P273" s="10"/>
      <c r="Q273" s="10"/>
      <c r="R273" s="10"/>
      <c r="S273" s="10"/>
      <c r="T273" s="10"/>
      <c r="U273" s="10"/>
      <c r="V273" s="10"/>
      <c r="W273" s="10"/>
      <c r="X273" s="10"/>
      <c r="Y273" s="10"/>
      <c r="Z273" s="10"/>
      <c r="AA273" s="10"/>
      <c r="AB273" s="10"/>
      <c r="AC273" s="10"/>
      <c r="AD273" s="10"/>
    </row>
    <row r="274" ht="15.75" customHeight="1">
      <c r="A274" s="10"/>
      <c r="B274" s="10"/>
      <c r="C274" s="10"/>
      <c r="D274" s="10"/>
      <c r="E274" s="10"/>
      <c r="F274" s="10"/>
      <c r="G274" s="10"/>
      <c r="H274" s="10"/>
      <c r="I274" s="195"/>
      <c r="J274" s="10"/>
      <c r="K274" s="10"/>
      <c r="L274" s="10"/>
      <c r="M274" s="10"/>
      <c r="N274" s="10"/>
      <c r="O274" s="10"/>
      <c r="P274" s="10"/>
      <c r="Q274" s="10"/>
      <c r="R274" s="10"/>
      <c r="S274" s="10"/>
      <c r="T274" s="10"/>
      <c r="U274" s="10"/>
      <c r="V274" s="10"/>
      <c r="W274" s="10"/>
      <c r="X274" s="10"/>
      <c r="Y274" s="10"/>
      <c r="Z274" s="10"/>
      <c r="AA274" s="10"/>
      <c r="AB274" s="10"/>
      <c r="AC274" s="10"/>
      <c r="AD274" s="10"/>
    </row>
    <row r="275" ht="15.75" customHeight="1">
      <c r="A275" s="10"/>
      <c r="B275" s="10"/>
      <c r="C275" s="10"/>
      <c r="D275" s="10"/>
      <c r="E275" s="10"/>
      <c r="F275" s="10"/>
      <c r="G275" s="10"/>
      <c r="H275" s="10"/>
      <c r="I275" s="195"/>
      <c r="J275" s="10"/>
      <c r="K275" s="10"/>
      <c r="L275" s="10"/>
      <c r="M275" s="10"/>
      <c r="N275" s="10"/>
      <c r="O275" s="10"/>
      <c r="P275" s="10"/>
      <c r="Q275" s="10"/>
      <c r="R275" s="10"/>
      <c r="S275" s="10"/>
      <c r="T275" s="10"/>
      <c r="U275" s="10"/>
      <c r="V275" s="10"/>
      <c r="W275" s="10"/>
      <c r="X275" s="10"/>
      <c r="Y275" s="10"/>
      <c r="Z275" s="10"/>
      <c r="AA275" s="10"/>
      <c r="AB275" s="10"/>
      <c r="AC275" s="10"/>
      <c r="AD275" s="10"/>
    </row>
    <row r="276" ht="15.75" customHeight="1">
      <c r="A276" s="10"/>
      <c r="B276" s="10"/>
      <c r="C276" s="10"/>
      <c r="D276" s="10"/>
      <c r="E276" s="10"/>
      <c r="F276" s="10"/>
      <c r="G276" s="10"/>
      <c r="H276" s="10"/>
      <c r="I276" s="195"/>
      <c r="J276" s="10"/>
      <c r="K276" s="10"/>
      <c r="L276" s="10"/>
      <c r="M276" s="10"/>
      <c r="N276" s="10"/>
      <c r="O276" s="10"/>
      <c r="P276" s="10"/>
      <c r="Q276" s="10"/>
      <c r="R276" s="10"/>
      <c r="S276" s="10"/>
      <c r="T276" s="10"/>
      <c r="U276" s="10"/>
      <c r="V276" s="10"/>
      <c r="W276" s="10"/>
      <c r="X276" s="10"/>
      <c r="Y276" s="10"/>
      <c r="Z276" s="10"/>
      <c r="AA276" s="10"/>
      <c r="AB276" s="10"/>
      <c r="AC276" s="10"/>
      <c r="AD276" s="10"/>
    </row>
    <row r="277" ht="15.75" customHeight="1">
      <c r="A277" s="10"/>
      <c r="B277" s="10"/>
      <c r="C277" s="10"/>
      <c r="D277" s="10"/>
      <c r="E277" s="10"/>
      <c r="F277" s="10"/>
      <c r="G277" s="10"/>
      <c r="H277" s="10"/>
      <c r="I277" s="195"/>
      <c r="J277" s="10"/>
      <c r="K277" s="10"/>
      <c r="L277" s="10"/>
      <c r="M277" s="10"/>
      <c r="N277" s="10"/>
      <c r="O277" s="10"/>
      <c r="P277" s="10"/>
      <c r="Q277" s="10"/>
      <c r="R277" s="10"/>
      <c r="S277" s="10"/>
      <c r="T277" s="10"/>
      <c r="U277" s="10"/>
      <c r="V277" s="10"/>
      <c r="W277" s="10"/>
      <c r="X277" s="10"/>
      <c r="Y277" s="10"/>
      <c r="Z277" s="10"/>
      <c r="AA277" s="10"/>
      <c r="AB277" s="10"/>
      <c r="AC277" s="10"/>
      <c r="AD277" s="10"/>
    </row>
    <row r="278" ht="15.75" customHeight="1">
      <c r="A278" s="10"/>
      <c r="B278" s="10"/>
      <c r="C278" s="10"/>
      <c r="D278" s="10"/>
      <c r="E278" s="10"/>
      <c r="F278" s="10"/>
      <c r="G278" s="10"/>
      <c r="H278" s="10"/>
      <c r="I278" s="195"/>
      <c r="J278" s="10"/>
      <c r="K278" s="10"/>
      <c r="L278" s="10"/>
      <c r="M278" s="10"/>
      <c r="N278" s="10"/>
      <c r="O278" s="10"/>
      <c r="P278" s="10"/>
      <c r="Q278" s="10"/>
      <c r="R278" s="10"/>
      <c r="S278" s="10"/>
      <c r="T278" s="10"/>
      <c r="U278" s="10"/>
      <c r="V278" s="10"/>
      <c r="W278" s="10"/>
      <c r="X278" s="10"/>
      <c r="Y278" s="10"/>
      <c r="Z278" s="10"/>
      <c r="AA278" s="10"/>
      <c r="AB278" s="10"/>
      <c r="AC278" s="10"/>
      <c r="AD278" s="10"/>
    </row>
    <row r="279" ht="15.75" customHeight="1">
      <c r="A279" s="10"/>
      <c r="B279" s="10"/>
      <c r="C279" s="10"/>
      <c r="D279" s="10"/>
      <c r="E279" s="10"/>
      <c r="F279" s="10"/>
      <c r="G279" s="10"/>
      <c r="H279" s="10"/>
      <c r="I279" s="195"/>
      <c r="J279" s="10"/>
      <c r="K279" s="10"/>
      <c r="L279" s="10"/>
      <c r="M279" s="10"/>
      <c r="N279" s="10"/>
      <c r="O279" s="10"/>
      <c r="P279" s="10"/>
      <c r="Q279" s="10"/>
      <c r="R279" s="10"/>
      <c r="S279" s="10"/>
      <c r="T279" s="10"/>
      <c r="U279" s="10"/>
      <c r="V279" s="10"/>
      <c r="W279" s="10"/>
      <c r="X279" s="10"/>
      <c r="Y279" s="10"/>
      <c r="Z279" s="10"/>
      <c r="AA279" s="10"/>
      <c r="AB279" s="10"/>
      <c r="AC279" s="10"/>
      <c r="AD279" s="10"/>
    </row>
    <row r="280" ht="15.75" customHeight="1">
      <c r="A280" s="10"/>
      <c r="B280" s="10"/>
      <c r="C280" s="10"/>
      <c r="D280" s="10"/>
      <c r="E280" s="10"/>
      <c r="F280" s="10"/>
      <c r="G280" s="10"/>
      <c r="H280" s="10"/>
      <c r="I280" s="195"/>
      <c r="J280" s="10"/>
      <c r="K280" s="10"/>
      <c r="L280" s="10"/>
      <c r="M280" s="10"/>
      <c r="N280" s="10"/>
      <c r="O280" s="10"/>
      <c r="P280" s="10"/>
      <c r="Q280" s="10"/>
      <c r="R280" s="10"/>
      <c r="S280" s="10"/>
      <c r="T280" s="10"/>
      <c r="U280" s="10"/>
      <c r="V280" s="10"/>
      <c r="W280" s="10"/>
      <c r="X280" s="10"/>
      <c r="Y280" s="10"/>
      <c r="Z280" s="10"/>
      <c r="AA280" s="10"/>
      <c r="AB280" s="10"/>
      <c r="AC280" s="10"/>
      <c r="AD280" s="10"/>
    </row>
    <row r="281" ht="15.75" customHeight="1">
      <c r="A281" s="10"/>
      <c r="B281" s="10"/>
      <c r="C281" s="10"/>
      <c r="D281" s="10"/>
      <c r="E281" s="10"/>
      <c r="F281" s="10"/>
      <c r="G281" s="10"/>
      <c r="H281" s="10"/>
      <c r="I281" s="195"/>
      <c r="J281" s="10"/>
      <c r="K281" s="10"/>
      <c r="L281" s="10"/>
      <c r="M281" s="10"/>
      <c r="N281" s="10"/>
      <c r="O281" s="10"/>
      <c r="P281" s="10"/>
      <c r="Q281" s="10"/>
      <c r="R281" s="10"/>
      <c r="S281" s="10"/>
      <c r="T281" s="10"/>
      <c r="U281" s="10"/>
      <c r="V281" s="10"/>
      <c r="W281" s="10"/>
      <c r="X281" s="10"/>
      <c r="Y281" s="10"/>
      <c r="Z281" s="10"/>
      <c r="AA281" s="10"/>
      <c r="AB281" s="10"/>
      <c r="AC281" s="10"/>
      <c r="AD281" s="10"/>
    </row>
    <row r="282" ht="15.75" customHeight="1">
      <c r="A282" s="10"/>
      <c r="B282" s="10"/>
      <c r="C282" s="10"/>
      <c r="D282" s="10"/>
      <c r="E282" s="10"/>
      <c r="F282" s="10"/>
      <c r="G282" s="10"/>
      <c r="H282" s="10"/>
      <c r="I282" s="195"/>
      <c r="J282" s="10"/>
      <c r="K282" s="10"/>
      <c r="L282" s="10"/>
      <c r="M282" s="10"/>
      <c r="N282" s="10"/>
      <c r="O282" s="10"/>
      <c r="P282" s="10"/>
      <c r="Q282" s="10"/>
      <c r="R282" s="10"/>
      <c r="S282" s="10"/>
      <c r="T282" s="10"/>
      <c r="U282" s="10"/>
      <c r="V282" s="10"/>
      <c r="W282" s="10"/>
      <c r="X282" s="10"/>
      <c r="Y282" s="10"/>
      <c r="Z282" s="10"/>
      <c r="AA282" s="10"/>
      <c r="AB282" s="10"/>
      <c r="AC282" s="10"/>
      <c r="AD282" s="10"/>
    </row>
    <row r="283" ht="15.75" customHeight="1">
      <c r="A283" s="10"/>
      <c r="B283" s="10"/>
      <c r="C283" s="10"/>
      <c r="D283" s="10"/>
      <c r="E283" s="10"/>
      <c r="F283" s="10"/>
      <c r="G283" s="10"/>
      <c r="H283" s="10"/>
      <c r="I283" s="195"/>
      <c r="J283" s="10"/>
      <c r="K283" s="10"/>
      <c r="L283" s="10"/>
      <c r="M283" s="10"/>
      <c r="N283" s="10"/>
      <c r="O283" s="10"/>
      <c r="P283" s="10"/>
      <c r="Q283" s="10"/>
      <c r="R283" s="10"/>
      <c r="S283" s="10"/>
      <c r="T283" s="10"/>
      <c r="U283" s="10"/>
      <c r="V283" s="10"/>
      <c r="W283" s="10"/>
      <c r="X283" s="10"/>
      <c r="Y283" s="10"/>
      <c r="Z283" s="10"/>
      <c r="AA283" s="10"/>
      <c r="AB283" s="10"/>
      <c r="AC283" s="10"/>
      <c r="AD283" s="10"/>
    </row>
    <row r="284" ht="15.75" customHeight="1">
      <c r="A284" s="10"/>
      <c r="B284" s="10"/>
      <c r="C284" s="10"/>
      <c r="D284" s="10"/>
      <c r="E284" s="10"/>
      <c r="F284" s="10"/>
      <c r="G284" s="10"/>
      <c r="H284" s="10"/>
      <c r="I284" s="195"/>
      <c r="J284" s="10"/>
      <c r="K284" s="10"/>
      <c r="L284" s="10"/>
      <c r="M284" s="10"/>
      <c r="N284" s="10"/>
      <c r="O284" s="10"/>
      <c r="P284" s="10"/>
      <c r="Q284" s="10"/>
      <c r="R284" s="10"/>
      <c r="S284" s="10"/>
      <c r="T284" s="10"/>
      <c r="U284" s="10"/>
      <c r="V284" s="10"/>
      <c r="W284" s="10"/>
      <c r="X284" s="10"/>
      <c r="Y284" s="10"/>
      <c r="Z284" s="10"/>
      <c r="AA284" s="10"/>
      <c r="AB284" s="10"/>
      <c r="AC284" s="10"/>
      <c r="AD284" s="10"/>
    </row>
    <row r="285" ht="15.75" customHeight="1">
      <c r="A285" s="10"/>
      <c r="B285" s="10"/>
      <c r="C285" s="10"/>
      <c r="D285" s="10"/>
      <c r="E285" s="10"/>
      <c r="F285" s="10"/>
      <c r="G285" s="10"/>
      <c r="H285" s="10"/>
      <c r="I285" s="195"/>
      <c r="J285" s="10"/>
      <c r="K285" s="10"/>
      <c r="L285" s="10"/>
      <c r="M285" s="10"/>
      <c r="N285" s="10"/>
      <c r="O285" s="10"/>
      <c r="P285" s="10"/>
      <c r="Q285" s="10"/>
      <c r="R285" s="10"/>
      <c r="S285" s="10"/>
      <c r="T285" s="10"/>
      <c r="U285" s="10"/>
      <c r="V285" s="10"/>
      <c r="W285" s="10"/>
      <c r="X285" s="10"/>
      <c r="Y285" s="10"/>
      <c r="Z285" s="10"/>
      <c r="AA285" s="10"/>
      <c r="AB285" s="10"/>
      <c r="AC285" s="10"/>
      <c r="AD285" s="10"/>
    </row>
    <row r="286" ht="15.75" customHeight="1">
      <c r="A286" s="10"/>
      <c r="B286" s="10"/>
      <c r="C286" s="10"/>
      <c r="D286" s="10"/>
      <c r="E286" s="10"/>
      <c r="F286" s="10"/>
      <c r="G286" s="10"/>
      <c r="H286" s="10"/>
      <c r="I286" s="195"/>
      <c r="J286" s="10"/>
      <c r="K286" s="10"/>
      <c r="L286" s="10"/>
      <c r="M286" s="10"/>
      <c r="N286" s="10"/>
      <c r="O286" s="10"/>
      <c r="P286" s="10"/>
      <c r="Q286" s="10"/>
      <c r="R286" s="10"/>
      <c r="S286" s="10"/>
      <c r="T286" s="10"/>
      <c r="U286" s="10"/>
      <c r="V286" s="10"/>
      <c r="W286" s="10"/>
      <c r="X286" s="10"/>
      <c r="Y286" s="10"/>
      <c r="Z286" s="10"/>
      <c r="AA286" s="10"/>
      <c r="AB286" s="10"/>
      <c r="AC286" s="10"/>
      <c r="AD286" s="10"/>
    </row>
    <row r="287" ht="15.75" customHeight="1">
      <c r="A287" s="10"/>
      <c r="B287" s="10"/>
      <c r="C287" s="10"/>
      <c r="D287" s="10"/>
      <c r="E287" s="10"/>
      <c r="F287" s="10"/>
      <c r="G287" s="10"/>
      <c r="H287" s="10"/>
      <c r="I287" s="195"/>
      <c r="J287" s="10"/>
      <c r="K287" s="10"/>
      <c r="L287" s="10"/>
      <c r="M287" s="10"/>
      <c r="N287" s="10"/>
      <c r="O287" s="10"/>
      <c r="P287" s="10"/>
      <c r="Q287" s="10"/>
      <c r="R287" s="10"/>
      <c r="S287" s="10"/>
      <c r="T287" s="10"/>
      <c r="U287" s="10"/>
      <c r="V287" s="10"/>
      <c r="W287" s="10"/>
      <c r="X287" s="10"/>
      <c r="Y287" s="10"/>
      <c r="Z287" s="10"/>
      <c r="AA287" s="10"/>
      <c r="AB287" s="10"/>
      <c r="AC287" s="10"/>
      <c r="AD287" s="10"/>
    </row>
    <row r="288" ht="15.75" customHeight="1">
      <c r="A288" s="10"/>
      <c r="B288" s="10"/>
      <c r="C288" s="10"/>
      <c r="D288" s="10"/>
      <c r="E288" s="10"/>
      <c r="F288" s="10"/>
      <c r="G288" s="10"/>
      <c r="H288" s="10"/>
      <c r="I288" s="195"/>
      <c r="J288" s="10"/>
      <c r="K288" s="10"/>
      <c r="L288" s="10"/>
      <c r="M288" s="10"/>
      <c r="N288" s="10"/>
      <c r="O288" s="10"/>
      <c r="P288" s="10"/>
      <c r="Q288" s="10"/>
      <c r="R288" s="10"/>
      <c r="S288" s="10"/>
      <c r="T288" s="10"/>
      <c r="U288" s="10"/>
      <c r="V288" s="10"/>
      <c r="W288" s="10"/>
      <c r="X288" s="10"/>
      <c r="Y288" s="10"/>
      <c r="Z288" s="10"/>
      <c r="AA288" s="10"/>
      <c r="AB288" s="10"/>
      <c r="AC288" s="10"/>
      <c r="AD288" s="10"/>
    </row>
    <row r="289" ht="15.75" customHeight="1">
      <c r="E289" s="293"/>
    </row>
    <row r="290" ht="15.75" customHeight="1">
      <c r="E290" s="293"/>
    </row>
    <row r="291" ht="15.75" customHeight="1">
      <c r="E291" s="293"/>
    </row>
    <row r="292" ht="15.75" customHeight="1">
      <c r="E292" s="293"/>
    </row>
    <row r="293" ht="15.75" customHeight="1">
      <c r="E293" s="293"/>
    </row>
    <row r="294" ht="15.75" customHeight="1">
      <c r="E294" s="293"/>
    </row>
    <row r="295" ht="15.75" customHeight="1">
      <c r="E295" s="293"/>
    </row>
    <row r="296" ht="15.75" customHeight="1">
      <c r="E296" s="293"/>
    </row>
    <row r="297" ht="15.75" customHeight="1">
      <c r="E297" s="293"/>
    </row>
    <row r="298" ht="15.75" customHeight="1">
      <c r="E298" s="293"/>
    </row>
    <row r="299" ht="15.75" customHeight="1">
      <c r="E299" s="293"/>
    </row>
    <row r="300" ht="15.75" customHeight="1">
      <c r="E300" s="293"/>
    </row>
    <row r="301" ht="15.75" customHeight="1">
      <c r="E301" s="293"/>
    </row>
    <row r="302" ht="15.75" customHeight="1">
      <c r="E302" s="293"/>
    </row>
    <row r="303" ht="15.75" customHeight="1">
      <c r="E303" s="293"/>
    </row>
    <row r="304" ht="15.75" customHeight="1">
      <c r="E304" s="293"/>
    </row>
    <row r="305" ht="15.75" customHeight="1">
      <c r="E305" s="293"/>
    </row>
    <row r="306" ht="15.75" customHeight="1">
      <c r="E306" s="293"/>
    </row>
    <row r="307" ht="15.75" customHeight="1">
      <c r="E307" s="293"/>
    </row>
    <row r="308" ht="15.75" customHeight="1">
      <c r="E308" s="293"/>
    </row>
    <row r="309" ht="15.75" customHeight="1">
      <c r="E309" s="293"/>
    </row>
    <row r="310" ht="15.75" customHeight="1">
      <c r="E310" s="293"/>
    </row>
    <row r="311" ht="15.75" customHeight="1">
      <c r="E311" s="293"/>
    </row>
    <row r="312" ht="15.75" customHeight="1">
      <c r="E312" s="293"/>
    </row>
    <row r="313" ht="15.75" customHeight="1">
      <c r="E313" s="293"/>
    </row>
    <row r="314" ht="15.75" customHeight="1">
      <c r="E314" s="293"/>
    </row>
    <row r="315" ht="15.75" customHeight="1">
      <c r="E315" s="293"/>
    </row>
    <row r="316" ht="15.75" customHeight="1">
      <c r="E316" s="293"/>
    </row>
    <row r="317" ht="15.75" customHeight="1">
      <c r="E317" s="293"/>
    </row>
    <row r="318" ht="15.75" customHeight="1">
      <c r="E318" s="293"/>
    </row>
    <row r="319" ht="15.75" customHeight="1">
      <c r="E319" s="293"/>
    </row>
    <row r="320" ht="15.75" customHeight="1">
      <c r="E320" s="293"/>
    </row>
    <row r="321" ht="15.75" customHeight="1">
      <c r="E321" s="293"/>
    </row>
    <row r="322" ht="15.75" customHeight="1">
      <c r="E322" s="293"/>
    </row>
    <row r="323" ht="15.75" customHeight="1">
      <c r="E323" s="293"/>
    </row>
    <row r="324" ht="15.75" customHeight="1">
      <c r="E324" s="293"/>
    </row>
    <row r="325" ht="15.75" customHeight="1">
      <c r="E325" s="293"/>
    </row>
    <row r="326" ht="15.75" customHeight="1">
      <c r="E326" s="293"/>
    </row>
    <row r="327" ht="15.75" customHeight="1">
      <c r="E327" s="293"/>
    </row>
    <row r="328" ht="15.75" customHeight="1">
      <c r="E328" s="293"/>
    </row>
    <row r="329" ht="15.75" customHeight="1">
      <c r="E329" s="293"/>
    </row>
    <row r="330" ht="15.75" customHeight="1">
      <c r="E330" s="293"/>
    </row>
    <row r="331" ht="15.75" customHeight="1">
      <c r="E331" s="293"/>
    </row>
    <row r="332" ht="15.75" customHeight="1">
      <c r="E332" s="293"/>
    </row>
    <row r="333" ht="15.75" customHeight="1">
      <c r="E333" s="293"/>
    </row>
    <row r="334" ht="15.75" customHeight="1">
      <c r="E334" s="293"/>
    </row>
    <row r="335" ht="15.75" customHeight="1">
      <c r="E335" s="293"/>
    </row>
    <row r="336" ht="15.75" customHeight="1">
      <c r="E336" s="293"/>
    </row>
    <row r="337" ht="15.75" customHeight="1">
      <c r="E337" s="293"/>
    </row>
    <row r="338" ht="15.75" customHeight="1">
      <c r="E338" s="293"/>
    </row>
    <row r="339" ht="15.75" customHeight="1">
      <c r="E339" s="293"/>
    </row>
    <row r="340" ht="15.75" customHeight="1">
      <c r="E340" s="293"/>
    </row>
    <row r="341" ht="15.75" customHeight="1">
      <c r="E341" s="293"/>
    </row>
    <row r="342" ht="15.75" customHeight="1">
      <c r="E342" s="293"/>
    </row>
    <row r="343" ht="15.75" customHeight="1">
      <c r="E343" s="293"/>
    </row>
    <row r="344" ht="15.75" customHeight="1">
      <c r="E344" s="293"/>
    </row>
    <row r="345" ht="15.75" customHeight="1">
      <c r="E345" s="293"/>
    </row>
    <row r="346" ht="15.75" customHeight="1">
      <c r="E346" s="293"/>
    </row>
    <row r="347" ht="15.75" customHeight="1">
      <c r="E347" s="293"/>
    </row>
    <row r="348" ht="15.75" customHeight="1">
      <c r="E348" s="293"/>
    </row>
    <row r="349" ht="15.75" customHeight="1">
      <c r="E349" s="293"/>
    </row>
    <row r="350" ht="15.75" customHeight="1">
      <c r="E350" s="293"/>
    </row>
    <row r="351" ht="15.75" customHeight="1">
      <c r="E351" s="293"/>
    </row>
    <row r="352" ht="15.75" customHeight="1">
      <c r="E352" s="293"/>
    </row>
    <row r="353" ht="15.75" customHeight="1">
      <c r="E353" s="293"/>
    </row>
    <row r="354" ht="15.75" customHeight="1">
      <c r="E354" s="293"/>
    </row>
    <row r="355" ht="15.75" customHeight="1">
      <c r="E355" s="293"/>
    </row>
    <row r="356" ht="15.75" customHeight="1">
      <c r="E356" s="293"/>
    </row>
    <row r="357" ht="15.75" customHeight="1">
      <c r="E357" s="293"/>
    </row>
    <row r="358" ht="15.75" customHeight="1">
      <c r="E358" s="293"/>
    </row>
    <row r="359" ht="15.75" customHeight="1">
      <c r="E359" s="293"/>
    </row>
    <row r="360" ht="15.75" customHeight="1">
      <c r="E360" s="293"/>
    </row>
    <row r="361" ht="15.75" customHeight="1">
      <c r="E361" s="293"/>
    </row>
    <row r="362" ht="15.75" customHeight="1">
      <c r="E362" s="293"/>
    </row>
    <row r="363" ht="15.75" customHeight="1">
      <c r="E363" s="293"/>
    </row>
    <row r="364" ht="15.75" customHeight="1">
      <c r="E364" s="293"/>
    </row>
    <row r="365" ht="15.75" customHeight="1">
      <c r="E365" s="293"/>
    </row>
    <row r="366" ht="15.75" customHeight="1">
      <c r="E366" s="293"/>
    </row>
    <row r="367" ht="15.75" customHeight="1">
      <c r="E367" s="293"/>
    </row>
    <row r="368" ht="15.75" customHeight="1">
      <c r="E368" s="293"/>
    </row>
    <row r="369" ht="15.75" customHeight="1">
      <c r="E369" s="293"/>
    </row>
    <row r="370" ht="15.75" customHeight="1">
      <c r="E370" s="293"/>
    </row>
    <row r="371" ht="15.75" customHeight="1">
      <c r="E371" s="293"/>
    </row>
    <row r="372" ht="15.75" customHeight="1">
      <c r="E372" s="293"/>
    </row>
    <row r="373" ht="15.75" customHeight="1">
      <c r="E373" s="293"/>
    </row>
    <row r="374" ht="15.75" customHeight="1">
      <c r="E374" s="293"/>
    </row>
    <row r="375" ht="15.75" customHeight="1">
      <c r="E375" s="293"/>
    </row>
    <row r="376" ht="15.75" customHeight="1">
      <c r="E376" s="293"/>
    </row>
    <row r="377" ht="15.75" customHeight="1">
      <c r="E377" s="293"/>
    </row>
    <row r="378" ht="15.75" customHeight="1">
      <c r="E378" s="293"/>
    </row>
    <row r="379" ht="15.75" customHeight="1">
      <c r="E379" s="293"/>
    </row>
    <row r="380" ht="15.75" customHeight="1">
      <c r="E380" s="293"/>
    </row>
    <row r="381" ht="15.75" customHeight="1">
      <c r="E381" s="293"/>
    </row>
    <row r="382" ht="15.75" customHeight="1">
      <c r="E382" s="293"/>
    </row>
    <row r="383" ht="15.75" customHeight="1">
      <c r="E383" s="293"/>
    </row>
    <row r="384" ht="15.75" customHeight="1">
      <c r="E384" s="293"/>
    </row>
    <row r="385" ht="15.75" customHeight="1">
      <c r="E385" s="293"/>
    </row>
    <row r="386" ht="15.75" customHeight="1">
      <c r="E386" s="293"/>
    </row>
    <row r="387" ht="15.75" customHeight="1">
      <c r="E387" s="293"/>
    </row>
    <row r="388" ht="15.75" customHeight="1">
      <c r="E388" s="293"/>
    </row>
    <row r="389" ht="15.75" customHeight="1">
      <c r="E389" s="293"/>
    </row>
    <row r="390" ht="15.75" customHeight="1">
      <c r="E390" s="293"/>
    </row>
    <row r="391" ht="15.75" customHeight="1">
      <c r="E391" s="293"/>
    </row>
    <row r="392" ht="15.75" customHeight="1">
      <c r="E392" s="293"/>
    </row>
    <row r="393" ht="15.75" customHeight="1">
      <c r="E393" s="293"/>
    </row>
    <row r="394" ht="15.75" customHeight="1">
      <c r="E394" s="293"/>
    </row>
    <row r="395" ht="15.75" customHeight="1">
      <c r="E395" s="293"/>
    </row>
    <row r="396" ht="15.75" customHeight="1">
      <c r="E396" s="293"/>
    </row>
    <row r="397" ht="15.75" customHeight="1">
      <c r="E397" s="293"/>
    </row>
    <row r="398" ht="15.75" customHeight="1">
      <c r="E398" s="293"/>
    </row>
    <row r="399" ht="15.75" customHeight="1">
      <c r="E399" s="293"/>
    </row>
    <row r="400" ht="15.75" customHeight="1">
      <c r="E400" s="293"/>
    </row>
    <row r="401" ht="15.75" customHeight="1">
      <c r="E401" s="293"/>
    </row>
    <row r="402" ht="15.75" customHeight="1">
      <c r="E402" s="293"/>
    </row>
    <row r="403" ht="15.75" customHeight="1">
      <c r="E403" s="293"/>
    </row>
    <row r="404" ht="15.75" customHeight="1">
      <c r="E404" s="293"/>
    </row>
    <row r="405" ht="15.75" customHeight="1">
      <c r="E405" s="293"/>
    </row>
    <row r="406" ht="15.75" customHeight="1">
      <c r="E406" s="293"/>
    </row>
    <row r="407" ht="15.75" customHeight="1">
      <c r="E407" s="293"/>
    </row>
    <row r="408" ht="15.75" customHeight="1">
      <c r="E408" s="293"/>
    </row>
    <row r="409" ht="15.75" customHeight="1">
      <c r="E409" s="293"/>
    </row>
    <row r="410" ht="15.75" customHeight="1">
      <c r="E410" s="293"/>
    </row>
    <row r="411" ht="15.75" customHeight="1">
      <c r="E411" s="293"/>
    </row>
    <row r="412" ht="15.75" customHeight="1">
      <c r="E412" s="293"/>
    </row>
    <row r="413" ht="15.75" customHeight="1">
      <c r="E413" s="293"/>
    </row>
    <row r="414" ht="15.75" customHeight="1">
      <c r="E414" s="293"/>
    </row>
    <row r="415" ht="15.75" customHeight="1">
      <c r="E415" s="293"/>
    </row>
    <row r="416" ht="15.75" customHeight="1">
      <c r="E416" s="293"/>
    </row>
    <row r="417" ht="15.75" customHeight="1">
      <c r="E417" s="293"/>
    </row>
    <row r="418" ht="15.75" customHeight="1">
      <c r="E418" s="293"/>
    </row>
    <row r="419" ht="15.75" customHeight="1">
      <c r="E419" s="293"/>
    </row>
    <row r="420" ht="15.75" customHeight="1">
      <c r="E420" s="293"/>
    </row>
    <row r="421" ht="15.75" customHeight="1">
      <c r="E421" s="293"/>
    </row>
    <row r="422" ht="15.75" customHeight="1">
      <c r="E422" s="293"/>
    </row>
    <row r="423" ht="15.75" customHeight="1">
      <c r="E423" s="293"/>
    </row>
    <row r="424" ht="15.75" customHeight="1">
      <c r="E424" s="293"/>
    </row>
    <row r="425" ht="15.75" customHeight="1">
      <c r="E425" s="293"/>
    </row>
    <row r="426" ht="15.75" customHeight="1">
      <c r="E426" s="293"/>
    </row>
    <row r="427" ht="15.75" customHeight="1">
      <c r="E427" s="293"/>
    </row>
    <row r="428" ht="15.75" customHeight="1">
      <c r="E428" s="293"/>
    </row>
    <row r="429" ht="15.75" customHeight="1">
      <c r="E429" s="293"/>
    </row>
    <row r="430" ht="15.75" customHeight="1">
      <c r="E430" s="293"/>
    </row>
    <row r="431" ht="15.75" customHeight="1">
      <c r="E431" s="293"/>
    </row>
    <row r="432" ht="15.75" customHeight="1">
      <c r="E432" s="293"/>
    </row>
    <row r="433" ht="15.75" customHeight="1">
      <c r="E433" s="293"/>
    </row>
    <row r="434" ht="15.75" customHeight="1">
      <c r="E434" s="293"/>
    </row>
    <row r="435" ht="15.75" customHeight="1">
      <c r="E435" s="293"/>
    </row>
    <row r="436" ht="15.75" customHeight="1">
      <c r="E436" s="293"/>
    </row>
    <row r="437" ht="15.75" customHeight="1">
      <c r="E437" s="293"/>
    </row>
    <row r="438" ht="15.75" customHeight="1">
      <c r="E438" s="293"/>
    </row>
    <row r="439" ht="15.75" customHeight="1">
      <c r="E439" s="293"/>
    </row>
    <row r="440" ht="15.75" customHeight="1">
      <c r="E440" s="293"/>
    </row>
    <row r="441" ht="15.75" customHeight="1">
      <c r="E441" s="293"/>
    </row>
    <row r="442" ht="15.75" customHeight="1">
      <c r="E442" s="293"/>
    </row>
    <row r="443" ht="15.75" customHeight="1">
      <c r="E443" s="293"/>
    </row>
    <row r="444" ht="15.75" customHeight="1">
      <c r="E444" s="293"/>
    </row>
    <row r="445" ht="15.75" customHeight="1">
      <c r="E445" s="293"/>
    </row>
    <row r="446" ht="15.75" customHeight="1">
      <c r="E446" s="293"/>
    </row>
    <row r="447" ht="15.75" customHeight="1">
      <c r="E447" s="293"/>
    </row>
    <row r="448" ht="15.75" customHeight="1">
      <c r="E448" s="293"/>
    </row>
    <row r="449" ht="15.75" customHeight="1">
      <c r="E449" s="293"/>
    </row>
    <row r="450" ht="15.75" customHeight="1">
      <c r="E450" s="293"/>
    </row>
    <row r="451" ht="15.75" customHeight="1">
      <c r="E451" s="293"/>
    </row>
    <row r="452" ht="15.75" customHeight="1">
      <c r="E452" s="293"/>
    </row>
    <row r="453" ht="15.75" customHeight="1">
      <c r="E453" s="293"/>
    </row>
    <row r="454" ht="15.75" customHeight="1">
      <c r="E454" s="293"/>
    </row>
    <row r="455" ht="15.75" customHeight="1">
      <c r="E455" s="293"/>
    </row>
    <row r="456" ht="15.75" customHeight="1">
      <c r="E456" s="293"/>
    </row>
    <row r="457" ht="15.75" customHeight="1">
      <c r="E457" s="293"/>
    </row>
    <row r="458" ht="15.75" customHeight="1">
      <c r="E458" s="293"/>
    </row>
    <row r="459" ht="15.75" customHeight="1">
      <c r="E459" s="293"/>
    </row>
    <row r="460" ht="15.75" customHeight="1">
      <c r="E460" s="293"/>
    </row>
    <row r="461" ht="15.75" customHeight="1">
      <c r="E461" s="293"/>
    </row>
    <row r="462" ht="15.75" customHeight="1">
      <c r="E462" s="293"/>
    </row>
    <row r="463" ht="15.75" customHeight="1">
      <c r="E463" s="293"/>
    </row>
    <row r="464" ht="15.75" customHeight="1">
      <c r="E464" s="293"/>
    </row>
    <row r="465" ht="15.75" customHeight="1">
      <c r="E465" s="293"/>
    </row>
    <row r="466" ht="15.75" customHeight="1">
      <c r="E466" s="293"/>
    </row>
    <row r="467" ht="15.75" customHeight="1">
      <c r="E467" s="293"/>
    </row>
    <row r="468" ht="15.75" customHeight="1">
      <c r="E468" s="293"/>
    </row>
    <row r="469" ht="15.75" customHeight="1">
      <c r="E469" s="293"/>
    </row>
    <row r="470" ht="15.75" customHeight="1">
      <c r="E470" s="293"/>
    </row>
    <row r="471" ht="15.75" customHeight="1">
      <c r="E471" s="293"/>
    </row>
    <row r="472" ht="15.75" customHeight="1">
      <c r="E472" s="293"/>
    </row>
    <row r="473" ht="15.75" customHeight="1">
      <c r="E473" s="293"/>
    </row>
    <row r="474" ht="15.75" customHeight="1">
      <c r="E474" s="293"/>
    </row>
    <row r="475" ht="15.75" customHeight="1">
      <c r="E475" s="293"/>
    </row>
    <row r="476" ht="15.75" customHeight="1">
      <c r="E476" s="293"/>
    </row>
    <row r="477" ht="15.75" customHeight="1">
      <c r="E477" s="293"/>
    </row>
    <row r="478" ht="15.75" customHeight="1">
      <c r="E478" s="293"/>
    </row>
    <row r="479" ht="15.75" customHeight="1">
      <c r="E479" s="293"/>
    </row>
    <row r="480" ht="15.75" customHeight="1">
      <c r="E480" s="293"/>
    </row>
    <row r="481" ht="15.75" customHeight="1">
      <c r="E481" s="293"/>
    </row>
    <row r="482" ht="15.75" customHeight="1">
      <c r="E482" s="293"/>
    </row>
    <row r="483" ht="15.75" customHeight="1">
      <c r="E483" s="293"/>
    </row>
    <row r="484" ht="15.75" customHeight="1">
      <c r="E484" s="293"/>
    </row>
    <row r="485" ht="15.75" customHeight="1">
      <c r="E485" s="293"/>
    </row>
    <row r="486" ht="15.75" customHeight="1">
      <c r="E486" s="293"/>
    </row>
    <row r="487" ht="15.75" customHeight="1">
      <c r="E487" s="293"/>
    </row>
    <row r="488" ht="15.75" customHeight="1">
      <c r="E488" s="293"/>
    </row>
    <row r="489" ht="15.75" customHeight="1">
      <c r="E489" s="293"/>
    </row>
    <row r="490" ht="15.75" customHeight="1">
      <c r="E490" s="293"/>
    </row>
    <row r="491" ht="15.75" customHeight="1">
      <c r="E491" s="293"/>
    </row>
    <row r="492" ht="15.75" customHeight="1">
      <c r="E492" s="293"/>
    </row>
    <row r="493" ht="15.75" customHeight="1">
      <c r="E493" s="293"/>
    </row>
    <row r="494" ht="15.75" customHeight="1">
      <c r="E494" s="293"/>
    </row>
    <row r="495" ht="15.75" customHeight="1">
      <c r="E495" s="293"/>
    </row>
    <row r="496" ht="15.75" customHeight="1">
      <c r="E496" s="293"/>
    </row>
    <row r="497" ht="15.75" customHeight="1">
      <c r="E497" s="293"/>
    </row>
    <row r="498" ht="15.75" customHeight="1">
      <c r="E498" s="293"/>
    </row>
    <row r="499" ht="15.75" customHeight="1">
      <c r="E499" s="293"/>
    </row>
    <row r="500" ht="15.75" customHeight="1">
      <c r="E500" s="293"/>
    </row>
    <row r="501" ht="15.75" customHeight="1">
      <c r="E501" s="293"/>
    </row>
    <row r="502" ht="15.75" customHeight="1">
      <c r="E502" s="293"/>
    </row>
    <row r="503" ht="15.75" customHeight="1">
      <c r="E503" s="293"/>
    </row>
    <row r="504" ht="15.75" customHeight="1">
      <c r="E504" s="293"/>
    </row>
    <row r="505" ht="15.75" customHeight="1">
      <c r="E505" s="293"/>
    </row>
    <row r="506" ht="15.75" customHeight="1">
      <c r="E506" s="293"/>
    </row>
    <row r="507" ht="15.75" customHeight="1">
      <c r="E507" s="293"/>
    </row>
    <row r="508" ht="15.75" customHeight="1">
      <c r="E508" s="293"/>
    </row>
    <row r="509" ht="15.75" customHeight="1">
      <c r="E509" s="293"/>
    </row>
    <row r="510" ht="15.75" customHeight="1">
      <c r="E510" s="293"/>
    </row>
    <row r="511" ht="15.75" customHeight="1">
      <c r="E511" s="293"/>
    </row>
    <row r="512" ht="15.75" customHeight="1">
      <c r="E512" s="293"/>
    </row>
    <row r="513" ht="15.75" customHeight="1">
      <c r="E513" s="293"/>
    </row>
    <row r="514" ht="15.75" customHeight="1">
      <c r="E514" s="293"/>
    </row>
    <row r="515" ht="15.75" customHeight="1">
      <c r="E515" s="293"/>
    </row>
    <row r="516" ht="15.75" customHeight="1">
      <c r="E516" s="293"/>
    </row>
    <row r="517" ht="15.75" customHeight="1">
      <c r="E517" s="293"/>
    </row>
    <row r="518" ht="15.75" customHeight="1">
      <c r="E518" s="293"/>
    </row>
    <row r="519" ht="15.75" customHeight="1">
      <c r="E519" s="293"/>
    </row>
    <row r="520" ht="15.75" customHeight="1">
      <c r="E520" s="293"/>
    </row>
    <row r="521" ht="15.75" customHeight="1">
      <c r="E521" s="293"/>
    </row>
    <row r="522" ht="15.75" customHeight="1">
      <c r="E522" s="293"/>
    </row>
    <row r="523" ht="15.75" customHeight="1">
      <c r="E523" s="293"/>
    </row>
    <row r="524" ht="15.75" customHeight="1">
      <c r="E524" s="293"/>
    </row>
    <row r="525" ht="15.75" customHeight="1">
      <c r="E525" s="293"/>
    </row>
    <row r="526" ht="15.75" customHeight="1">
      <c r="E526" s="293"/>
    </row>
    <row r="527" ht="15.75" customHeight="1">
      <c r="E527" s="293"/>
    </row>
    <row r="528" ht="15.75" customHeight="1">
      <c r="E528" s="293"/>
    </row>
    <row r="529" ht="15.75" customHeight="1">
      <c r="E529" s="293"/>
    </row>
    <row r="530" ht="15.75" customHeight="1">
      <c r="E530" s="293"/>
    </row>
    <row r="531" ht="15.75" customHeight="1">
      <c r="E531" s="293"/>
    </row>
    <row r="532" ht="15.75" customHeight="1">
      <c r="E532" s="293"/>
    </row>
    <row r="533" ht="15.75" customHeight="1">
      <c r="E533" s="293"/>
    </row>
    <row r="534" ht="15.75" customHeight="1">
      <c r="E534" s="293"/>
    </row>
    <row r="535" ht="15.75" customHeight="1">
      <c r="E535" s="293"/>
    </row>
    <row r="536" ht="15.75" customHeight="1">
      <c r="E536" s="293"/>
    </row>
    <row r="537" ht="15.75" customHeight="1">
      <c r="E537" s="293"/>
    </row>
    <row r="538" ht="15.75" customHeight="1">
      <c r="E538" s="293"/>
    </row>
    <row r="539" ht="15.75" customHeight="1">
      <c r="E539" s="293"/>
    </row>
    <row r="540" ht="15.75" customHeight="1">
      <c r="E540" s="293"/>
    </row>
    <row r="541" ht="15.75" customHeight="1">
      <c r="E541" s="293"/>
    </row>
    <row r="542" ht="15.75" customHeight="1">
      <c r="E542" s="293"/>
    </row>
    <row r="543" ht="15.75" customHeight="1">
      <c r="E543" s="293"/>
    </row>
    <row r="544" ht="15.75" customHeight="1">
      <c r="E544" s="293"/>
    </row>
    <row r="545" ht="15.75" customHeight="1">
      <c r="E545" s="293"/>
    </row>
    <row r="546" ht="15.75" customHeight="1">
      <c r="E546" s="293"/>
    </row>
    <row r="547" ht="15.75" customHeight="1">
      <c r="E547" s="293"/>
    </row>
    <row r="548" ht="15.75" customHeight="1">
      <c r="E548" s="293"/>
    </row>
    <row r="549" ht="15.75" customHeight="1">
      <c r="E549" s="293"/>
    </row>
    <row r="550" ht="15.75" customHeight="1">
      <c r="E550" s="293"/>
    </row>
    <row r="551" ht="15.75" customHeight="1">
      <c r="E551" s="293"/>
    </row>
    <row r="552" ht="15.75" customHeight="1">
      <c r="E552" s="293"/>
    </row>
    <row r="553" ht="15.75" customHeight="1">
      <c r="E553" s="293"/>
    </row>
    <row r="554" ht="15.75" customHeight="1">
      <c r="E554" s="293"/>
    </row>
    <row r="555" ht="15.75" customHeight="1">
      <c r="E555" s="293"/>
    </row>
    <row r="556" ht="15.75" customHeight="1">
      <c r="E556" s="293"/>
    </row>
    <row r="557" ht="15.75" customHeight="1">
      <c r="E557" s="293"/>
    </row>
    <row r="558" ht="15.75" customHeight="1">
      <c r="E558" s="293"/>
    </row>
    <row r="559" ht="15.75" customHeight="1">
      <c r="E559" s="293"/>
    </row>
    <row r="560" ht="15.75" customHeight="1">
      <c r="E560" s="293"/>
    </row>
    <row r="561" ht="15.75" customHeight="1">
      <c r="E561" s="293"/>
    </row>
    <row r="562" ht="15.75" customHeight="1">
      <c r="E562" s="293"/>
    </row>
    <row r="563" ht="15.75" customHeight="1">
      <c r="E563" s="293"/>
    </row>
    <row r="564" ht="15.75" customHeight="1">
      <c r="E564" s="293"/>
    </row>
    <row r="565" ht="15.75" customHeight="1">
      <c r="E565" s="293"/>
    </row>
    <row r="566" ht="15.75" customHeight="1">
      <c r="E566" s="293"/>
    </row>
    <row r="567" ht="15.75" customHeight="1">
      <c r="E567" s="293"/>
    </row>
    <row r="568" ht="15.75" customHeight="1">
      <c r="E568" s="293"/>
    </row>
    <row r="569" ht="15.75" customHeight="1">
      <c r="E569" s="293"/>
    </row>
    <row r="570" ht="15.75" customHeight="1">
      <c r="E570" s="293"/>
    </row>
    <row r="571" ht="15.75" customHeight="1">
      <c r="E571" s="293"/>
    </row>
    <row r="572" ht="15.75" customHeight="1">
      <c r="E572" s="293"/>
    </row>
    <row r="573" ht="15.75" customHeight="1">
      <c r="E573" s="293"/>
    </row>
    <row r="574" ht="15.75" customHeight="1">
      <c r="E574" s="293"/>
    </row>
    <row r="575" ht="15.75" customHeight="1">
      <c r="E575" s="293"/>
    </row>
    <row r="576" ht="15.75" customHeight="1">
      <c r="E576" s="293"/>
    </row>
    <row r="577" ht="15.75" customHeight="1">
      <c r="E577" s="293"/>
    </row>
    <row r="578" ht="15.75" customHeight="1">
      <c r="E578" s="293"/>
    </row>
    <row r="579" ht="15.75" customHeight="1">
      <c r="E579" s="293"/>
    </row>
    <row r="580" ht="15.75" customHeight="1">
      <c r="E580" s="293"/>
    </row>
    <row r="581" ht="15.75" customHeight="1">
      <c r="E581" s="293"/>
    </row>
    <row r="582" ht="15.75" customHeight="1">
      <c r="E582" s="293"/>
    </row>
    <row r="583" ht="15.75" customHeight="1">
      <c r="E583" s="293"/>
    </row>
    <row r="584" ht="15.75" customHeight="1">
      <c r="E584" s="293"/>
    </row>
    <row r="585" ht="15.75" customHeight="1">
      <c r="E585" s="293"/>
    </row>
    <row r="586" ht="15.75" customHeight="1">
      <c r="E586" s="293"/>
    </row>
    <row r="587" ht="15.75" customHeight="1">
      <c r="E587" s="293"/>
    </row>
    <row r="588" ht="15.75" customHeight="1">
      <c r="E588" s="293"/>
    </row>
    <row r="589" ht="15.75" customHeight="1">
      <c r="E589" s="293"/>
    </row>
    <row r="590" ht="15.75" customHeight="1">
      <c r="E590" s="293"/>
    </row>
    <row r="591" ht="15.75" customHeight="1">
      <c r="E591" s="293"/>
    </row>
    <row r="592" ht="15.75" customHeight="1">
      <c r="E592" s="293"/>
    </row>
    <row r="593" ht="15.75" customHeight="1">
      <c r="E593" s="293"/>
    </row>
    <row r="594" ht="15.75" customHeight="1">
      <c r="E594" s="293"/>
    </row>
    <row r="595" ht="15.75" customHeight="1">
      <c r="E595" s="293"/>
    </row>
    <row r="596" ht="15.75" customHeight="1">
      <c r="E596" s="293"/>
    </row>
    <row r="597" ht="15.75" customHeight="1">
      <c r="E597" s="293"/>
    </row>
    <row r="598" ht="15.75" customHeight="1">
      <c r="E598" s="293"/>
    </row>
    <row r="599" ht="15.75" customHeight="1">
      <c r="E599" s="293"/>
    </row>
    <row r="600" ht="15.75" customHeight="1">
      <c r="E600" s="293"/>
    </row>
    <row r="601" ht="15.75" customHeight="1">
      <c r="E601" s="293"/>
    </row>
    <row r="602" ht="15.75" customHeight="1">
      <c r="E602" s="293"/>
    </row>
    <row r="603" ht="15.75" customHeight="1">
      <c r="E603" s="293"/>
    </row>
    <row r="604" ht="15.75" customHeight="1">
      <c r="E604" s="293"/>
    </row>
    <row r="605" ht="15.75" customHeight="1">
      <c r="E605" s="293"/>
    </row>
    <row r="606" ht="15.75" customHeight="1">
      <c r="E606" s="293"/>
    </row>
    <row r="607" ht="15.75" customHeight="1">
      <c r="E607" s="293"/>
    </row>
    <row r="608" ht="15.75" customHeight="1">
      <c r="E608" s="293"/>
    </row>
    <row r="609" ht="15.75" customHeight="1">
      <c r="E609" s="293"/>
    </row>
    <row r="610" ht="15.75" customHeight="1">
      <c r="E610" s="293"/>
    </row>
    <row r="611" ht="15.75" customHeight="1">
      <c r="E611" s="293"/>
    </row>
    <row r="612" ht="15.75" customHeight="1">
      <c r="E612" s="293"/>
    </row>
    <row r="613" ht="15.75" customHeight="1">
      <c r="E613" s="293"/>
    </row>
    <row r="614" ht="15.75" customHeight="1">
      <c r="E614" s="293"/>
    </row>
    <row r="615" ht="15.75" customHeight="1">
      <c r="E615" s="293"/>
    </row>
    <row r="616" ht="15.75" customHeight="1">
      <c r="E616" s="293"/>
    </row>
    <row r="617" ht="15.75" customHeight="1">
      <c r="E617" s="293"/>
    </row>
    <row r="618" ht="15.75" customHeight="1">
      <c r="E618" s="293"/>
    </row>
    <row r="619" ht="15.75" customHeight="1">
      <c r="E619" s="293"/>
    </row>
    <row r="620" ht="15.75" customHeight="1">
      <c r="E620" s="293"/>
    </row>
    <row r="621" ht="15.75" customHeight="1">
      <c r="E621" s="293"/>
    </row>
    <row r="622" ht="15.75" customHeight="1">
      <c r="E622" s="293"/>
    </row>
    <row r="623" ht="15.75" customHeight="1">
      <c r="E623" s="293"/>
    </row>
    <row r="624" ht="15.75" customHeight="1">
      <c r="E624" s="293"/>
    </row>
    <row r="625" ht="15.75" customHeight="1">
      <c r="E625" s="293"/>
    </row>
    <row r="626" ht="15.75" customHeight="1">
      <c r="E626" s="293"/>
    </row>
    <row r="627" ht="15.75" customHeight="1">
      <c r="E627" s="293"/>
    </row>
    <row r="628" ht="15.75" customHeight="1">
      <c r="E628" s="293"/>
    </row>
    <row r="629" ht="15.75" customHeight="1">
      <c r="E629" s="293"/>
    </row>
    <row r="630" ht="15.75" customHeight="1">
      <c r="E630" s="293"/>
    </row>
    <row r="631" ht="15.75" customHeight="1">
      <c r="E631" s="293"/>
    </row>
    <row r="632" ht="15.75" customHeight="1">
      <c r="E632" s="293"/>
    </row>
    <row r="633" ht="15.75" customHeight="1">
      <c r="E633" s="293"/>
    </row>
    <row r="634" ht="15.75" customHeight="1">
      <c r="E634" s="293"/>
    </row>
    <row r="635" ht="15.75" customHeight="1">
      <c r="E635" s="293"/>
    </row>
    <row r="636" ht="15.75" customHeight="1">
      <c r="E636" s="293"/>
    </row>
    <row r="637" ht="15.75" customHeight="1">
      <c r="E637" s="293"/>
    </row>
    <row r="638" ht="15.75" customHeight="1">
      <c r="E638" s="293"/>
    </row>
    <row r="639" ht="15.75" customHeight="1">
      <c r="E639" s="293"/>
    </row>
    <row r="640" ht="15.75" customHeight="1">
      <c r="E640" s="293"/>
    </row>
    <row r="641" ht="15.75" customHeight="1">
      <c r="E641" s="293"/>
    </row>
    <row r="642" ht="15.75" customHeight="1">
      <c r="E642" s="293"/>
    </row>
    <row r="643" ht="15.75" customHeight="1">
      <c r="E643" s="293"/>
    </row>
    <row r="644" ht="15.75" customHeight="1">
      <c r="E644" s="293"/>
    </row>
    <row r="645" ht="15.75" customHeight="1">
      <c r="E645" s="293"/>
    </row>
    <row r="646" ht="15.75" customHeight="1">
      <c r="E646" s="293"/>
    </row>
    <row r="647" ht="15.75" customHeight="1">
      <c r="E647" s="293"/>
    </row>
    <row r="648" ht="15.75" customHeight="1">
      <c r="E648" s="293"/>
    </row>
    <row r="649" ht="15.75" customHeight="1">
      <c r="E649" s="293"/>
    </row>
    <row r="650" ht="15.75" customHeight="1">
      <c r="E650" s="293"/>
    </row>
    <row r="651" ht="15.75" customHeight="1">
      <c r="E651" s="293"/>
    </row>
    <row r="652" ht="15.75" customHeight="1">
      <c r="E652" s="293"/>
    </row>
    <row r="653" ht="15.75" customHeight="1">
      <c r="E653" s="293"/>
    </row>
    <row r="654" ht="15.75" customHeight="1">
      <c r="E654" s="293"/>
    </row>
    <row r="655" ht="15.75" customHeight="1">
      <c r="E655" s="293"/>
    </row>
    <row r="656" ht="15.75" customHeight="1">
      <c r="E656" s="293"/>
    </row>
    <row r="657" ht="15.75" customHeight="1">
      <c r="E657" s="293"/>
    </row>
    <row r="658" ht="15.75" customHeight="1">
      <c r="E658" s="293"/>
    </row>
    <row r="659" ht="15.75" customHeight="1">
      <c r="E659" s="293"/>
    </row>
    <row r="660" ht="15.75" customHeight="1">
      <c r="E660" s="293"/>
    </row>
    <row r="661" ht="15.75" customHeight="1">
      <c r="E661" s="293"/>
    </row>
    <row r="662" ht="15.75" customHeight="1">
      <c r="E662" s="293"/>
    </row>
    <row r="663" ht="15.75" customHeight="1">
      <c r="E663" s="293"/>
    </row>
    <row r="664" ht="15.75" customHeight="1">
      <c r="E664" s="293"/>
    </row>
    <row r="665" ht="15.75" customHeight="1">
      <c r="E665" s="293"/>
    </row>
    <row r="666" ht="15.75" customHeight="1">
      <c r="E666" s="293"/>
    </row>
    <row r="667" ht="15.75" customHeight="1">
      <c r="E667" s="293"/>
    </row>
    <row r="668" ht="15.75" customHeight="1">
      <c r="E668" s="293"/>
    </row>
    <row r="669" ht="15.75" customHeight="1">
      <c r="E669" s="293"/>
    </row>
    <row r="670" ht="15.75" customHeight="1">
      <c r="E670" s="293"/>
    </row>
    <row r="671" ht="15.75" customHeight="1">
      <c r="E671" s="293"/>
    </row>
    <row r="672" ht="15.75" customHeight="1">
      <c r="E672" s="293"/>
    </row>
    <row r="673" ht="15.75" customHeight="1">
      <c r="E673" s="293"/>
    </row>
    <row r="674" ht="15.75" customHeight="1">
      <c r="E674" s="293"/>
    </row>
    <row r="675" ht="15.75" customHeight="1">
      <c r="E675" s="293"/>
    </row>
    <row r="676" ht="15.75" customHeight="1">
      <c r="E676" s="293"/>
    </row>
    <row r="677" ht="15.75" customHeight="1">
      <c r="E677" s="293"/>
    </row>
    <row r="678" ht="15.75" customHeight="1">
      <c r="E678" s="293"/>
    </row>
    <row r="679" ht="15.75" customHeight="1">
      <c r="E679" s="293"/>
    </row>
    <row r="680" ht="15.75" customHeight="1">
      <c r="E680" s="293"/>
    </row>
    <row r="681" ht="15.75" customHeight="1">
      <c r="E681" s="293"/>
    </row>
    <row r="682" ht="15.75" customHeight="1">
      <c r="E682" s="293"/>
    </row>
    <row r="683" ht="15.75" customHeight="1">
      <c r="E683" s="293"/>
    </row>
    <row r="684" ht="15.75" customHeight="1">
      <c r="E684" s="293"/>
    </row>
    <row r="685" ht="15.75" customHeight="1">
      <c r="E685" s="293"/>
    </row>
    <row r="686" ht="15.75" customHeight="1">
      <c r="E686" s="293"/>
    </row>
    <row r="687" ht="15.75" customHeight="1">
      <c r="E687" s="293"/>
    </row>
    <row r="688" ht="15.75" customHeight="1">
      <c r="E688" s="293"/>
    </row>
    <row r="689" ht="15.75" customHeight="1">
      <c r="E689" s="293"/>
    </row>
    <row r="690" ht="15.75" customHeight="1">
      <c r="E690" s="293"/>
    </row>
    <row r="691" ht="15.75" customHeight="1">
      <c r="E691" s="293"/>
    </row>
    <row r="692" ht="15.75" customHeight="1">
      <c r="E692" s="293"/>
    </row>
    <row r="693" ht="15.75" customHeight="1">
      <c r="E693" s="293"/>
    </row>
    <row r="694" ht="15.75" customHeight="1">
      <c r="E694" s="293"/>
    </row>
    <row r="695" ht="15.75" customHeight="1">
      <c r="E695" s="293"/>
    </row>
    <row r="696" ht="15.75" customHeight="1">
      <c r="E696" s="293"/>
    </row>
    <row r="697" ht="15.75" customHeight="1">
      <c r="E697" s="293"/>
    </row>
    <row r="698" ht="15.75" customHeight="1">
      <c r="E698" s="293"/>
    </row>
    <row r="699" ht="15.75" customHeight="1">
      <c r="E699" s="293"/>
    </row>
    <row r="700" ht="15.75" customHeight="1">
      <c r="E700" s="293"/>
    </row>
    <row r="701" ht="15.75" customHeight="1">
      <c r="E701" s="293"/>
    </row>
    <row r="702" ht="15.75" customHeight="1">
      <c r="E702" s="293"/>
    </row>
    <row r="703" ht="15.75" customHeight="1">
      <c r="E703" s="293"/>
    </row>
    <row r="704" ht="15.75" customHeight="1">
      <c r="E704" s="293"/>
    </row>
    <row r="705" ht="15.75" customHeight="1">
      <c r="E705" s="293"/>
    </row>
    <row r="706" ht="15.75" customHeight="1">
      <c r="E706" s="293"/>
    </row>
    <row r="707" ht="15.75" customHeight="1">
      <c r="E707" s="293"/>
    </row>
    <row r="708" ht="15.75" customHeight="1">
      <c r="E708" s="293"/>
    </row>
    <row r="709" ht="15.75" customHeight="1">
      <c r="E709" s="293"/>
    </row>
    <row r="710" ht="15.75" customHeight="1">
      <c r="E710" s="293"/>
    </row>
    <row r="711" ht="15.75" customHeight="1">
      <c r="E711" s="293"/>
    </row>
    <row r="712" ht="15.75" customHeight="1">
      <c r="E712" s="293"/>
    </row>
    <row r="713" ht="15.75" customHeight="1">
      <c r="E713" s="293"/>
    </row>
    <row r="714" ht="15.75" customHeight="1">
      <c r="E714" s="293"/>
    </row>
    <row r="715" ht="15.75" customHeight="1">
      <c r="E715" s="293"/>
    </row>
    <row r="716" ht="15.75" customHeight="1">
      <c r="E716" s="293"/>
    </row>
    <row r="717" ht="15.75" customHeight="1">
      <c r="E717" s="293"/>
    </row>
    <row r="718" ht="15.75" customHeight="1">
      <c r="E718" s="293"/>
    </row>
    <row r="719" ht="15.75" customHeight="1">
      <c r="E719" s="293"/>
    </row>
    <row r="720" ht="15.75" customHeight="1">
      <c r="E720" s="293"/>
    </row>
    <row r="721" ht="15.75" customHeight="1">
      <c r="E721" s="293"/>
    </row>
    <row r="722" ht="15.75" customHeight="1">
      <c r="E722" s="293"/>
    </row>
    <row r="723" ht="15.75" customHeight="1">
      <c r="E723" s="293"/>
    </row>
    <row r="724" ht="15.75" customHeight="1">
      <c r="E724" s="293"/>
    </row>
    <row r="725" ht="15.75" customHeight="1">
      <c r="E725" s="293"/>
    </row>
    <row r="726" ht="15.75" customHeight="1">
      <c r="E726" s="293"/>
    </row>
    <row r="727" ht="15.75" customHeight="1">
      <c r="E727" s="293"/>
    </row>
    <row r="728" ht="15.75" customHeight="1">
      <c r="E728" s="293"/>
    </row>
    <row r="729" ht="15.75" customHeight="1">
      <c r="E729" s="293"/>
    </row>
    <row r="730" ht="15.75" customHeight="1">
      <c r="E730" s="293"/>
    </row>
    <row r="731" ht="15.75" customHeight="1">
      <c r="E731" s="293"/>
    </row>
    <row r="732" ht="15.75" customHeight="1">
      <c r="E732" s="293"/>
    </row>
    <row r="733" ht="15.75" customHeight="1">
      <c r="E733" s="293"/>
    </row>
    <row r="734" ht="15.75" customHeight="1">
      <c r="E734" s="293"/>
    </row>
    <row r="735" ht="15.75" customHeight="1">
      <c r="E735" s="293"/>
    </row>
    <row r="736" ht="15.75" customHeight="1">
      <c r="E736" s="293"/>
    </row>
    <row r="737" ht="15.75" customHeight="1">
      <c r="E737" s="293"/>
    </row>
    <row r="738" ht="15.75" customHeight="1">
      <c r="E738" s="293"/>
    </row>
    <row r="739" ht="15.75" customHeight="1">
      <c r="E739" s="293"/>
    </row>
    <row r="740" ht="15.75" customHeight="1">
      <c r="E740" s="293"/>
    </row>
    <row r="741" ht="15.75" customHeight="1">
      <c r="E741" s="293"/>
    </row>
    <row r="742" ht="15.75" customHeight="1">
      <c r="E742" s="293"/>
    </row>
    <row r="743" ht="15.75" customHeight="1">
      <c r="E743" s="293"/>
    </row>
    <row r="744" ht="15.75" customHeight="1">
      <c r="E744" s="293"/>
    </row>
    <row r="745" ht="15.75" customHeight="1">
      <c r="E745" s="293"/>
    </row>
    <row r="746" ht="15.75" customHeight="1">
      <c r="E746" s="293"/>
    </row>
    <row r="747" ht="15.75" customHeight="1">
      <c r="E747" s="293"/>
    </row>
    <row r="748" ht="15.75" customHeight="1">
      <c r="E748" s="293"/>
    </row>
    <row r="749" ht="15.75" customHeight="1">
      <c r="E749" s="293"/>
    </row>
    <row r="750" ht="15.75" customHeight="1">
      <c r="E750" s="293"/>
    </row>
    <row r="751" ht="15.75" customHeight="1">
      <c r="E751" s="293"/>
    </row>
    <row r="752" ht="15.75" customHeight="1">
      <c r="E752" s="293"/>
    </row>
    <row r="753" ht="15.75" customHeight="1">
      <c r="E753" s="293"/>
    </row>
    <row r="754" ht="15.75" customHeight="1">
      <c r="E754" s="293"/>
    </row>
    <row r="755" ht="15.75" customHeight="1">
      <c r="E755" s="293"/>
    </row>
    <row r="756" ht="15.75" customHeight="1">
      <c r="E756" s="293"/>
    </row>
    <row r="757" ht="15.75" customHeight="1">
      <c r="E757" s="293"/>
    </row>
    <row r="758" ht="15.75" customHeight="1">
      <c r="E758" s="293"/>
    </row>
    <row r="759" ht="15.75" customHeight="1">
      <c r="E759" s="293"/>
    </row>
    <row r="760" ht="15.75" customHeight="1">
      <c r="E760" s="293"/>
    </row>
    <row r="761" ht="15.75" customHeight="1">
      <c r="E761" s="293"/>
    </row>
    <row r="762" ht="15.75" customHeight="1">
      <c r="E762" s="293"/>
    </row>
    <row r="763" ht="15.75" customHeight="1">
      <c r="E763" s="293"/>
    </row>
    <row r="764" ht="15.75" customHeight="1">
      <c r="E764" s="293"/>
    </row>
    <row r="765" ht="15.75" customHeight="1">
      <c r="E765" s="293"/>
    </row>
    <row r="766" ht="15.75" customHeight="1">
      <c r="E766" s="293"/>
    </row>
    <row r="767" ht="15.75" customHeight="1">
      <c r="E767" s="293"/>
    </row>
    <row r="768" ht="15.75" customHeight="1">
      <c r="E768" s="293"/>
    </row>
    <row r="769" ht="15.75" customHeight="1">
      <c r="E769" s="293"/>
    </row>
    <row r="770" ht="15.75" customHeight="1">
      <c r="E770" s="293"/>
    </row>
    <row r="771" ht="15.75" customHeight="1">
      <c r="E771" s="293"/>
    </row>
    <row r="772" ht="15.75" customHeight="1">
      <c r="E772" s="293"/>
    </row>
    <row r="773" ht="15.75" customHeight="1">
      <c r="E773" s="293"/>
    </row>
    <row r="774" ht="15.75" customHeight="1">
      <c r="E774" s="293"/>
    </row>
    <row r="775" ht="15.75" customHeight="1">
      <c r="E775" s="293"/>
    </row>
    <row r="776" ht="15.75" customHeight="1">
      <c r="E776" s="293"/>
    </row>
    <row r="777" ht="15.75" customHeight="1">
      <c r="E777" s="293"/>
    </row>
    <row r="778" ht="15.75" customHeight="1">
      <c r="E778" s="293"/>
    </row>
    <row r="779" ht="15.75" customHeight="1">
      <c r="E779" s="293"/>
    </row>
    <row r="780" ht="15.75" customHeight="1">
      <c r="E780" s="293"/>
    </row>
    <row r="781" ht="15.75" customHeight="1">
      <c r="E781" s="293"/>
    </row>
    <row r="782" ht="15.75" customHeight="1">
      <c r="E782" s="293"/>
    </row>
    <row r="783" ht="15.75" customHeight="1">
      <c r="E783" s="293"/>
    </row>
    <row r="784" ht="15.75" customHeight="1">
      <c r="E784" s="293"/>
    </row>
    <row r="785" ht="15.75" customHeight="1">
      <c r="E785" s="293"/>
    </row>
    <row r="786" ht="15.75" customHeight="1">
      <c r="E786" s="293"/>
    </row>
    <row r="787" ht="15.75" customHeight="1">
      <c r="E787" s="293"/>
    </row>
    <row r="788" ht="15.75" customHeight="1">
      <c r="E788" s="293"/>
    </row>
    <row r="789" ht="15.75" customHeight="1">
      <c r="E789" s="293"/>
    </row>
    <row r="790" ht="15.75" customHeight="1">
      <c r="E790" s="293"/>
    </row>
    <row r="791" ht="15.75" customHeight="1">
      <c r="E791" s="293"/>
    </row>
    <row r="792" ht="15.75" customHeight="1">
      <c r="E792" s="293"/>
    </row>
    <row r="793" ht="15.75" customHeight="1">
      <c r="E793" s="293"/>
    </row>
    <row r="794" ht="15.75" customHeight="1">
      <c r="E794" s="293"/>
    </row>
    <row r="795" ht="15.75" customHeight="1">
      <c r="E795" s="293"/>
    </row>
    <row r="796" ht="15.75" customHeight="1">
      <c r="E796" s="293"/>
    </row>
    <row r="797" ht="15.75" customHeight="1">
      <c r="E797" s="293"/>
    </row>
    <row r="798" ht="15.75" customHeight="1">
      <c r="E798" s="293"/>
    </row>
    <row r="799" ht="15.75" customHeight="1">
      <c r="E799" s="293"/>
    </row>
    <row r="800" ht="15.75" customHeight="1">
      <c r="E800" s="293"/>
    </row>
    <row r="801" ht="15.75" customHeight="1">
      <c r="E801" s="293"/>
    </row>
    <row r="802" ht="15.75" customHeight="1">
      <c r="E802" s="293"/>
    </row>
    <row r="803" ht="15.75" customHeight="1">
      <c r="E803" s="293"/>
    </row>
    <row r="804" ht="15.75" customHeight="1">
      <c r="E804" s="293"/>
    </row>
    <row r="805" ht="15.75" customHeight="1">
      <c r="E805" s="293"/>
    </row>
    <row r="806" ht="15.75" customHeight="1">
      <c r="E806" s="293"/>
    </row>
    <row r="807" ht="15.75" customHeight="1">
      <c r="E807" s="293"/>
    </row>
    <row r="808" ht="15.75" customHeight="1">
      <c r="E808" s="293"/>
    </row>
    <row r="809" ht="15.75" customHeight="1">
      <c r="E809" s="293"/>
    </row>
    <row r="810" ht="15.75" customHeight="1">
      <c r="E810" s="293"/>
    </row>
    <row r="811" ht="15.75" customHeight="1">
      <c r="E811" s="293"/>
    </row>
    <row r="812" ht="15.75" customHeight="1">
      <c r="E812" s="293"/>
    </row>
    <row r="813" ht="15.75" customHeight="1">
      <c r="E813" s="293"/>
    </row>
    <row r="814" ht="15.75" customHeight="1">
      <c r="E814" s="293"/>
    </row>
    <row r="815" ht="15.75" customHeight="1">
      <c r="E815" s="293"/>
    </row>
    <row r="816" ht="15.75" customHeight="1">
      <c r="E816" s="293"/>
    </row>
    <row r="817" ht="15.75" customHeight="1">
      <c r="E817" s="293"/>
    </row>
    <row r="818" ht="15.75" customHeight="1">
      <c r="E818" s="293"/>
    </row>
    <row r="819" ht="15.75" customHeight="1">
      <c r="E819" s="293"/>
    </row>
    <row r="820" ht="15.75" customHeight="1">
      <c r="E820" s="293"/>
    </row>
    <row r="821" ht="15.75" customHeight="1">
      <c r="E821" s="293"/>
    </row>
    <row r="822" ht="15.75" customHeight="1">
      <c r="E822" s="293"/>
    </row>
    <row r="823" ht="15.75" customHeight="1">
      <c r="E823" s="293"/>
    </row>
    <row r="824" ht="15.75" customHeight="1">
      <c r="E824" s="293"/>
    </row>
    <row r="825" ht="15.75" customHeight="1">
      <c r="E825" s="293"/>
    </row>
    <row r="826" ht="15.75" customHeight="1">
      <c r="E826" s="293"/>
    </row>
    <row r="827" ht="15.75" customHeight="1">
      <c r="E827" s="293"/>
    </row>
    <row r="828" ht="15.75" customHeight="1">
      <c r="E828" s="293"/>
    </row>
    <row r="829" ht="15.75" customHeight="1">
      <c r="E829" s="293"/>
    </row>
    <row r="830" ht="15.75" customHeight="1">
      <c r="E830" s="293"/>
    </row>
    <row r="831" ht="15.75" customHeight="1">
      <c r="E831" s="293"/>
    </row>
    <row r="832" ht="15.75" customHeight="1">
      <c r="E832" s="293"/>
    </row>
    <row r="833" ht="15.75" customHeight="1">
      <c r="E833" s="293"/>
    </row>
    <row r="834" ht="15.75" customHeight="1">
      <c r="E834" s="293"/>
    </row>
    <row r="835" ht="15.75" customHeight="1">
      <c r="E835" s="293"/>
    </row>
    <row r="836" ht="15.75" customHeight="1">
      <c r="E836" s="293"/>
    </row>
    <row r="837" ht="15.75" customHeight="1">
      <c r="E837" s="293"/>
    </row>
    <row r="838" ht="15.75" customHeight="1">
      <c r="E838" s="293"/>
    </row>
    <row r="839" ht="15.75" customHeight="1">
      <c r="E839" s="293"/>
    </row>
    <row r="840" ht="15.75" customHeight="1">
      <c r="E840" s="293"/>
    </row>
    <row r="841" ht="15.75" customHeight="1">
      <c r="E841" s="293"/>
    </row>
    <row r="842" ht="15.75" customHeight="1">
      <c r="E842" s="293"/>
    </row>
    <row r="843" ht="15.75" customHeight="1">
      <c r="E843" s="293"/>
    </row>
    <row r="844" ht="15.75" customHeight="1">
      <c r="E844" s="293"/>
    </row>
    <row r="845" ht="15.75" customHeight="1">
      <c r="E845" s="293"/>
    </row>
    <row r="846" ht="15.75" customHeight="1">
      <c r="E846" s="293"/>
    </row>
    <row r="847" ht="15.75" customHeight="1">
      <c r="E847" s="293"/>
    </row>
    <row r="848" ht="15.75" customHeight="1">
      <c r="E848" s="293"/>
    </row>
    <row r="849" ht="15.75" customHeight="1">
      <c r="E849" s="293"/>
    </row>
    <row r="850" ht="15.75" customHeight="1">
      <c r="E850" s="293"/>
    </row>
    <row r="851" ht="15.75" customHeight="1">
      <c r="E851" s="293"/>
    </row>
    <row r="852" ht="15.75" customHeight="1">
      <c r="E852" s="293"/>
    </row>
    <row r="853" ht="15.75" customHeight="1">
      <c r="E853" s="293"/>
    </row>
    <row r="854" ht="15.75" customHeight="1">
      <c r="E854" s="293"/>
    </row>
    <row r="855" ht="15.75" customHeight="1">
      <c r="E855" s="293"/>
    </row>
    <row r="856" ht="15.75" customHeight="1">
      <c r="E856" s="293"/>
    </row>
    <row r="857" ht="15.75" customHeight="1">
      <c r="E857" s="293"/>
    </row>
    <row r="858" ht="15.75" customHeight="1">
      <c r="E858" s="293"/>
    </row>
    <row r="859" ht="15.75" customHeight="1">
      <c r="E859" s="293"/>
    </row>
    <row r="860" ht="15.75" customHeight="1">
      <c r="E860" s="293"/>
    </row>
    <row r="861" ht="15.75" customHeight="1">
      <c r="E861" s="293"/>
    </row>
    <row r="862" ht="15.75" customHeight="1">
      <c r="E862" s="293"/>
    </row>
    <row r="863" ht="15.75" customHeight="1">
      <c r="E863" s="293"/>
    </row>
    <row r="864" ht="15.75" customHeight="1">
      <c r="E864" s="293"/>
    </row>
    <row r="865" ht="15.75" customHeight="1">
      <c r="E865" s="293"/>
    </row>
    <row r="866" ht="15.75" customHeight="1">
      <c r="E866" s="293"/>
    </row>
    <row r="867" ht="15.75" customHeight="1">
      <c r="E867" s="293"/>
    </row>
    <row r="868" ht="15.75" customHeight="1">
      <c r="E868" s="293"/>
    </row>
    <row r="869" ht="15.75" customHeight="1">
      <c r="E869" s="293"/>
    </row>
    <row r="870" ht="15.75" customHeight="1">
      <c r="E870" s="293"/>
    </row>
    <row r="871" ht="15.75" customHeight="1">
      <c r="E871" s="293"/>
    </row>
    <row r="872" ht="15.75" customHeight="1">
      <c r="E872" s="293"/>
    </row>
    <row r="873" ht="15.75" customHeight="1">
      <c r="E873" s="293"/>
    </row>
    <row r="874" ht="15.75" customHeight="1">
      <c r="E874" s="293"/>
    </row>
    <row r="875" ht="15.75" customHeight="1">
      <c r="E875" s="293"/>
    </row>
    <row r="876" ht="15.75" customHeight="1">
      <c r="E876" s="293"/>
    </row>
    <row r="877" ht="15.75" customHeight="1">
      <c r="E877" s="293"/>
    </row>
    <row r="878" ht="15.75" customHeight="1">
      <c r="E878" s="293"/>
    </row>
    <row r="879" ht="15.75" customHeight="1">
      <c r="E879" s="293"/>
    </row>
    <row r="880" ht="15.75" customHeight="1">
      <c r="E880" s="293"/>
    </row>
    <row r="881" ht="15.75" customHeight="1">
      <c r="E881" s="293"/>
    </row>
    <row r="882" ht="15.75" customHeight="1">
      <c r="E882" s="293"/>
    </row>
    <row r="883" ht="15.75" customHeight="1">
      <c r="E883" s="293"/>
    </row>
    <row r="884" ht="15.75" customHeight="1">
      <c r="E884" s="293"/>
    </row>
    <row r="885" ht="15.75" customHeight="1">
      <c r="E885" s="293"/>
    </row>
    <row r="886" ht="15.75" customHeight="1">
      <c r="E886" s="293"/>
    </row>
    <row r="887" ht="15.75" customHeight="1">
      <c r="E887" s="293"/>
    </row>
    <row r="888" ht="15.75" customHeight="1">
      <c r="E888" s="293"/>
    </row>
    <row r="889" ht="15.75" customHeight="1">
      <c r="E889" s="293"/>
    </row>
    <row r="890" ht="15.75" customHeight="1">
      <c r="E890" s="293"/>
    </row>
    <row r="891" ht="15.75" customHeight="1">
      <c r="E891" s="293"/>
    </row>
    <row r="892" ht="15.75" customHeight="1">
      <c r="E892" s="293"/>
    </row>
    <row r="893" ht="15.75" customHeight="1">
      <c r="E893" s="293"/>
    </row>
    <row r="894" ht="15.75" customHeight="1">
      <c r="E894" s="293"/>
    </row>
    <row r="895" ht="15.75" customHeight="1">
      <c r="E895" s="293"/>
    </row>
    <row r="896" ht="15.75" customHeight="1">
      <c r="E896" s="293"/>
    </row>
    <row r="897" ht="15.75" customHeight="1">
      <c r="E897" s="293"/>
    </row>
    <row r="898" ht="15.75" customHeight="1">
      <c r="E898" s="293"/>
    </row>
    <row r="899" ht="15.75" customHeight="1">
      <c r="E899" s="293"/>
    </row>
    <row r="900" ht="15.75" customHeight="1">
      <c r="E900" s="293"/>
    </row>
    <row r="901" ht="15.75" customHeight="1">
      <c r="E901" s="293"/>
    </row>
    <row r="902" ht="15.75" customHeight="1">
      <c r="E902" s="293"/>
    </row>
    <row r="903" ht="15.75" customHeight="1">
      <c r="E903" s="293"/>
    </row>
    <row r="904" ht="15.75" customHeight="1">
      <c r="E904" s="293"/>
    </row>
    <row r="905" ht="15.75" customHeight="1">
      <c r="E905" s="293"/>
    </row>
    <row r="906" ht="15.75" customHeight="1">
      <c r="E906" s="293"/>
    </row>
    <row r="907" ht="15.75" customHeight="1">
      <c r="E907" s="293"/>
    </row>
    <row r="908" ht="15.75" customHeight="1">
      <c r="E908" s="293"/>
    </row>
    <row r="909" ht="15.75" customHeight="1">
      <c r="E909" s="293"/>
    </row>
    <row r="910" ht="15.75" customHeight="1">
      <c r="E910" s="293"/>
    </row>
    <row r="911" ht="15.75" customHeight="1">
      <c r="E911" s="293"/>
    </row>
    <row r="912" ht="15.75" customHeight="1">
      <c r="E912" s="293"/>
    </row>
    <row r="913" ht="15.75" customHeight="1">
      <c r="E913" s="293"/>
    </row>
    <row r="914" ht="15.75" customHeight="1">
      <c r="E914" s="293"/>
    </row>
    <row r="915" ht="15.75" customHeight="1">
      <c r="E915" s="293"/>
    </row>
    <row r="916" ht="15.75" customHeight="1">
      <c r="E916" s="293"/>
    </row>
    <row r="917" ht="15.75" customHeight="1">
      <c r="E917" s="293"/>
    </row>
    <row r="918" ht="15.75" customHeight="1">
      <c r="E918" s="293"/>
    </row>
    <row r="919" ht="15.75" customHeight="1">
      <c r="E919" s="293"/>
    </row>
    <row r="920" ht="15.75" customHeight="1">
      <c r="E920" s="293"/>
    </row>
    <row r="921" ht="15.75" customHeight="1">
      <c r="E921" s="293"/>
    </row>
    <row r="922" ht="15.75" customHeight="1">
      <c r="E922" s="293"/>
    </row>
    <row r="923" ht="15.75" customHeight="1">
      <c r="E923" s="293"/>
    </row>
    <row r="924" ht="15.75" customHeight="1">
      <c r="E924" s="293"/>
    </row>
    <row r="925" ht="15.75" customHeight="1">
      <c r="E925" s="293"/>
    </row>
    <row r="926" ht="15.75" customHeight="1">
      <c r="E926" s="293"/>
    </row>
    <row r="927" ht="15.75" customHeight="1">
      <c r="E927" s="293"/>
    </row>
    <row r="928" ht="15.75" customHeight="1">
      <c r="E928" s="293"/>
    </row>
    <row r="929" ht="15.75" customHeight="1">
      <c r="E929" s="293"/>
    </row>
    <row r="930" ht="15.75" customHeight="1">
      <c r="E930" s="293"/>
    </row>
    <row r="931" ht="15.75" customHeight="1">
      <c r="E931" s="293"/>
    </row>
    <row r="932" ht="15.75" customHeight="1">
      <c r="E932" s="293"/>
    </row>
    <row r="933" ht="15.75" customHeight="1">
      <c r="E933" s="293"/>
    </row>
    <row r="934" ht="15.75" customHeight="1">
      <c r="E934" s="293"/>
    </row>
    <row r="935" ht="15.75" customHeight="1">
      <c r="E935" s="293"/>
    </row>
    <row r="936" ht="15.75" customHeight="1">
      <c r="E936" s="293"/>
    </row>
    <row r="937" ht="15.75" customHeight="1">
      <c r="E937" s="293"/>
    </row>
    <row r="938" ht="15.75" customHeight="1">
      <c r="E938" s="293"/>
    </row>
    <row r="939" ht="15.75" customHeight="1">
      <c r="E939" s="293"/>
    </row>
    <row r="940" ht="15.75" customHeight="1">
      <c r="E940" s="293"/>
    </row>
    <row r="941" ht="15.75" customHeight="1">
      <c r="E941" s="293"/>
    </row>
    <row r="942" ht="15.75" customHeight="1">
      <c r="E942" s="293"/>
    </row>
    <row r="943" ht="15.75" customHeight="1">
      <c r="E943" s="293"/>
    </row>
    <row r="944" ht="15.75" customHeight="1">
      <c r="E944" s="293"/>
    </row>
    <row r="945" ht="15.75" customHeight="1">
      <c r="E945" s="293"/>
    </row>
    <row r="946" ht="15.75" customHeight="1">
      <c r="E946" s="293"/>
    </row>
    <row r="947" ht="15.75" customHeight="1">
      <c r="E947" s="293"/>
    </row>
    <row r="948" ht="15.75" customHeight="1">
      <c r="E948" s="293"/>
    </row>
    <row r="949" ht="15.75" customHeight="1">
      <c r="E949" s="293"/>
    </row>
    <row r="950" ht="15.75" customHeight="1">
      <c r="E950" s="293"/>
    </row>
    <row r="951" ht="15.75" customHeight="1">
      <c r="E951" s="293"/>
    </row>
    <row r="952" ht="15.75" customHeight="1">
      <c r="E952" s="293"/>
    </row>
    <row r="953" ht="15.75" customHeight="1">
      <c r="E953" s="293"/>
    </row>
    <row r="954" ht="15.75" customHeight="1">
      <c r="E954" s="293"/>
    </row>
    <row r="955" ht="15.75" customHeight="1">
      <c r="E955" s="293"/>
    </row>
    <row r="956" ht="15.75" customHeight="1">
      <c r="E956" s="293"/>
    </row>
    <row r="957" ht="15.75" customHeight="1">
      <c r="E957" s="293"/>
    </row>
    <row r="958" ht="15.75" customHeight="1">
      <c r="E958" s="293"/>
    </row>
    <row r="959" ht="15.75" customHeight="1">
      <c r="E959" s="293"/>
    </row>
    <row r="960" ht="15.75" customHeight="1">
      <c r="E960" s="293"/>
    </row>
    <row r="961" ht="15.75" customHeight="1">
      <c r="E961" s="293"/>
    </row>
    <row r="962" ht="15.75" customHeight="1">
      <c r="E962" s="293"/>
    </row>
    <row r="963" ht="15.75" customHeight="1">
      <c r="E963" s="293"/>
    </row>
    <row r="964" ht="15.75" customHeight="1">
      <c r="E964" s="293"/>
    </row>
    <row r="965" ht="15.75" customHeight="1">
      <c r="E965" s="293"/>
    </row>
    <row r="966" ht="15.75" customHeight="1">
      <c r="E966" s="293"/>
    </row>
    <row r="967" ht="15.75" customHeight="1">
      <c r="E967" s="293"/>
    </row>
    <row r="968" ht="15.75" customHeight="1">
      <c r="E968" s="293"/>
    </row>
    <row r="969" ht="15.75" customHeight="1">
      <c r="E969" s="293"/>
    </row>
    <row r="970" ht="15.75" customHeight="1">
      <c r="E970" s="293"/>
    </row>
    <row r="971" ht="15.75" customHeight="1">
      <c r="E971" s="293"/>
    </row>
    <row r="972" ht="15.75" customHeight="1">
      <c r="E972" s="293"/>
    </row>
    <row r="973" ht="15.75" customHeight="1">
      <c r="E973" s="293"/>
    </row>
    <row r="974" ht="15.75" customHeight="1">
      <c r="E974" s="293"/>
    </row>
    <row r="975" ht="15.75" customHeight="1">
      <c r="E975" s="293"/>
    </row>
    <row r="976" ht="15.75" customHeight="1">
      <c r="E976" s="293"/>
    </row>
    <row r="977" ht="15.75" customHeight="1">
      <c r="E977" s="293"/>
    </row>
    <row r="978" ht="15.75" customHeight="1">
      <c r="E978" s="293"/>
    </row>
    <row r="979" ht="15.75" customHeight="1">
      <c r="E979" s="293"/>
    </row>
    <row r="980" ht="15.75" customHeight="1">
      <c r="E980" s="293"/>
    </row>
    <row r="981" ht="15.75" customHeight="1">
      <c r="E981" s="293"/>
    </row>
    <row r="982" ht="15.75" customHeight="1">
      <c r="E982" s="293"/>
    </row>
    <row r="983" ht="15.75" customHeight="1">
      <c r="E983" s="293"/>
    </row>
    <row r="984" ht="15.75" customHeight="1">
      <c r="E984" s="293"/>
    </row>
    <row r="985" ht="15.75" customHeight="1">
      <c r="E985" s="293"/>
    </row>
    <row r="986" ht="15.75" customHeight="1">
      <c r="E986" s="293"/>
    </row>
    <row r="987" ht="15.75" customHeight="1">
      <c r="E987" s="293"/>
    </row>
    <row r="988" ht="15.75" customHeight="1">
      <c r="E988" s="293"/>
    </row>
    <row r="989" ht="15.75" customHeight="1">
      <c r="E989" s="293"/>
    </row>
    <row r="990" ht="15.75" customHeight="1">
      <c r="E990" s="293"/>
    </row>
    <row r="991" ht="15.75" customHeight="1">
      <c r="E991" s="293"/>
    </row>
    <row r="992" ht="15.75" customHeight="1">
      <c r="E992" s="293"/>
    </row>
    <row r="993" ht="15.75" customHeight="1">
      <c r="E993" s="293"/>
    </row>
    <row r="994" ht="15.75" customHeight="1">
      <c r="E994" s="293"/>
    </row>
    <row r="995" ht="15.75" customHeight="1">
      <c r="E995" s="293"/>
    </row>
    <row r="996" ht="15.75" customHeight="1">
      <c r="E996" s="293"/>
    </row>
    <row r="997" ht="15.75" customHeight="1">
      <c r="E997" s="293"/>
    </row>
    <row r="998" ht="15.75" customHeight="1">
      <c r="E998" s="293"/>
    </row>
    <row r="999" ht="15.75" customHeight="1">
      <c r="E999" s="293"/>
    </row>
    <row r="1000" ht="15.75" customHeight="1">
      <c r="E1000" s="293"/>
    </row>
  </sheetData>
  <mergeCells count="2">
    <mergeCell ref="A1:Y3"/>
    <mergeCell ref="A4:Z4"/>
  </mergeCells>
  <hyperlinks>
    <hyperlink r:id="rId1" ref="P9"/>
    <hyperlink r:id="rId2" ref="S46"/>
  </hyperlinks>
  <printOptions verticalCentered="1"/>
  <pageMargins bottom="0.75" footer="0.0" header="0.0" left="0.7" right="0.7" top="0.75"/>
  <pageSetup paperSize="9" scale="60"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19.25"/>
    <col customWidth="1" min="3" max="3" width="19.0"/>
    <col customWidth="1" min="4" max="4" width="13.5"/>
    <col customWidth="1" min="5" max="6" width="12.63"/>
    <col customWidth="1" min="7" max="7" width="16.0"/>
    <col customWidth="1" min="8" max="8" width="41.13"/>
    <col customWidth="1" min="9" max="9" width="22.25"/>
    <col customWidth="1" min="10" max="10" width="24.0"/>
    <col customWidth="1" min="11" max="11" width="27.25"/>
    <col customWidth="1" min="12" max="12" width="38.25"/>
    <col customWidth="1" min="13" max="13" width="20.88"/>
    <col customWidth="1" min="14" max="14" width="25.38"/>
    <col customWidth="1" min="15" max="15" width="21.38"/>
    <col customWidth="1" min="16" max="16" width="24.0"/>
    <col customWidth="1" min="17" max="18" width="21.63"/>
    <col customWidth="1" min="19" max="19" width="16.0"/>
    <col customWidth="1" min="20" max="20" width="13.38"/>
    <col customWidth="1" min="21" max="21" width="8.25"/>
    <col customWidth="1" min="22" max="22" width="7.38"/>
    <col customWidth="1" min="23" max="23" width="27.5"/>
    <col customWidth="1" min="24" max="24" width="10.5"/>
    <col customWidth="1" hidden="1" min="25" max="27" width="11.0"/>
  </cols>
  <sheetData>
    <row r="1" ht="15.0" customHeight="1">
      <c r="A1" s="277" t="s">
        <v>3328</v>
      </c>
      <c r="B1" s="6"/>
      <c r="C1" s="6"/>
      <c r="D1" s="6"/>
      <c r="E1" s="6"/>
      <c r="F1" s="6"/>
      <c r="G1" s="6"/>
      <c r="H1" s="6"/>
      <c r="I1" s="6"/>
      <c r="J1" s="6"/>
      <c r="K1" s="6"/>
      <c r="L1" s="6"/>
      <c r="M1" s="6"/>
      <c r="N1" s="6"/>
      <c r="O1" s="6"/>
      <c r="P1" s="6"/>
      <c r="Q1" s="6"/>
      <c r="R1" s="6"/>
      <c r="S1" s="6"/>
      <c r="T1" s="6"/>
      <c r="U1" s="6"/>
      <c r="V1" s="6"/>
      <c r="W1" s="8"/>
    </row>
    <row r="2">
      <c r="A2" s="13"/>
      <c r="W2" s="15"/>
    </row>
    <row r="3">
      <c r="A3" s="18"/>
      <c r="B3" s="20"/>
      <c r="C3" s="20"/>
      <c r="D3" s="20"/>
      <c r="E3" s="20"/>
      <c r="F3" s="20"/>
      <c r="G3" s="20"/>
      <c r="H3" s="20"/>
      <c r="I3" s="20"/>
      <c r="J3" s="20"/>
      <c r="K3" s="20"/>
      <c r="L3" s="20"/>
      <c r="M3" s="20"/>
      <c r="N3" s="20"/>
      <c r="O3" s="20"/>
      <c r="P3" s="20"/>
      <c r="Q3" s="20"/>
      <c r="R3" s="20"/>
      <c r="S3" s="20"/>
      <c r="T3" s="20"/>
      <c r="U3" s="20"/>
      <c r="V3" s="20"/>
      <c r="W3" s="23"/>
    </row>
    <row r="4" ht="15.0" customHeight="1">
      <c r="A4" s="278" t="s">
        <v>3339</v>
      </c>
      <c r="B4" s="32"/>
      <c r="C4" s="32"/>
      <c r="D4" s="32"/>
      <c r="E4" s="32"/>
      <c r="F4" s="32"/>
      <c r="G4" s="32"/>
      <c r="H4" s="32"/>
      <c r="I4" s="32"/>
      <c r="J4" s="32"/>
      <c r="K4" s="32"/>
      <c r="L4" s="32"/>
      <c r="M4" s="32"/>
      <c r="N4" s="32"/>
      <c r="O4" s="32"/>
      <c r="P4" s="32"/>
      <c r="Q4" s="32"/>
      <c r="R4" s="32"/>
      <c r="S4" s="32"/>
      <c r="T4" s="32"/>
      <c r="U4" s="32"/>
      <c r="V4" s="32"/>
      <c r="W4" s="37"/>
    </row>
    <row r="5" ht="28.5" customHeight="1">
      <c r="A5" s="52" t="s">
        <v>5</v>
      </c>
      <c r="B5" s="52" t="s">
        <v>6</v>
      </c>
      <c r="C5" s="52" t="s">
        <v>7</v>
      </c>
      <c r="D5" s="39" t="s">
        <v>8</v>
      </c>
      <c r="E5" s="52" t="s">
        <v>10</v>
      </c>
      <c r="F5" s="52" t="s">
        <v>3346</v>
      </c>
      <c r="G5" s="52" t="s">
        <v>13</v>
      </c>
      <c r="H5" s="279" t="s">
        <v>14</v>
      </c>
      <c r="I5" s="52" t="s">
        <v>15</v>
      </c>
      <c r="J5" s="52" t="s">
        <v>16</v>
      </c>
      <c r="K5" s="52" t="s">
        <v>17</v>
      </c>
      <c r="L5" s="52" t="s">
        <v>23</v>
      </c>
      <c r="M5" s="52" t="s">
        <v>25</v>
      </c>
      <c r="N5" s="52" t="s">
        <v>19</v>
      </c>
      <c r="O5" s="52" t="s">
        <v>20</v>
      </c>
      <c r="P5" s="52" t="s">
        <v>21</v>
      </c>
      <c r="Q5" s="52" t="s">
        <v>20</v>
      </c>
      <c r="R5" s="52" t="s">
        <v>22</v>
      </c>
      <c r="S5" s="52" t="s">
        <v>24</v>
      </c>
      <c r="T5" s="52" t="s">
        <v>3354</v>
      </c>
      <c r="U5" s="52" t="s">
        <v>27</v>
      </c>
      <c r="V5" s="52" t="s">
        <v>29</v>
      </c>
      <c r="W5" s="52" t="s">
        <v>31</v>
      </c>
      <c r="Y5" s="280" t="s">
        <v>32</v>
      </c>
      <c r="Z5" s="281">
        <f>COUNTIF(L6:L600,"PRIVADO")</f>
        <v>0</v>
      </c>
    </row>
    <row r="6">
      <c r="A6" s="14">
        <v>1.0</v>
      </c>
      <c r="B6" s="14"/>
      <c r="C6" s="14"/>
      <c r="D6" s="66"/>
      <c r="E6" s="66"/>
      <c r="F6" s="66"/>
      <c r="G6" s="66"/>
      <c r="H6" s="168"/>
      <c r="I6" s="14"/>
      <c r="J6" s="14"/>
      <c r="K6" s="14"/>
      <c r="L6" s="14"/>
      <c r="M6" s="14"/>
      <c r="N6" s="14"/>
      <c r="O6" s="14"/>
      <c r="P6" s="14"/>
      <c r="Q6" s="14"/>
      <c r="R6" s="14"/>
      <c r="S6" s="14"/>
      <c r="T6" s="14"/>
      <c r="U6" s="14"/>
      <c r="V6" s="14"/>
      <c r="W6" s="14"/>
      <c r="Y6" s="282" t="s">
        <v>50</v>
      </c>
      <c r="Z6" s="281">
        <f>COUNTIF(M6:M601,"MINSA")</f>
        <v>0</v>
      </c>
    </row>
    <row r="7">
      <c r="A7" s="14">
        <v>2.0</v>
      </c>
      <c r="B7" s="14"/>
      <c r="C7" s="14"/>
      <c r="D7" s="66"/>
      <c r="E7" s="66"/>
      <c r="F7" s="66"/>
      <c r="G7" s="66"/>
      <c r="H7" s="168"/>
      <c r="I7" s="14"/>
      <c r="J7" s="14"/>
      <c r="K7" s="14"/>
      <c r="L7" s="14"/>
      <c r="M7" s="14"/>
      <c r="N7" s="14"/>
      <c r="O7" s="14"/>
      <c r="P7" s="14"/>
      <c r="Q7" s="14"/>
      <c r="R7" s="14"/>
      <c r="S7" s="14"/>
      <c r="T7" s="14"/>
      <c r="U7" s="14"/>
      <c r="V7" s="14"/>
      <c r="W7" s="14"/>
      <c r="Y7" s="283" t="s">
        <v>69</v>
      </c>
      <c r="Z7" s="281">
        <f>COUNTIF(M6:M602,"ESSALUD")</f>
        <v>0</v>
      </c>
    </row>
    <row r="8">
      <c r="A8" s="14">
        <v>3.0</v>
      </c>
      <c r="B8" s="14"/>
      <c r="C8" s="14"/>
      <c r="D8" s="66"/>
      <c r="E8" s="66"/>
      <c r="F8" s="66"/>
      <c r="G8" s="66"/>
      <c r="H8" s="168"/>
      <c r="I8" s="14"/>
      <c r="J8" s="14"/>
      <c r="K8" s="14"/>
      <c r="L8" s="14"/>
      <c r="M8" s="14"/>
      <c r="N8" s="14"/>
      <c r="O8" s="14"/>
      <c r="P8" s="14"/>
      <c r="Q8" s="14"/>
      <c r="R8" s="14"/>
      <c r="S8" s="14"/>
      <c r="T8" s="14"/>
      <c r="U8" s="14"/>
      <c r="V8" s="14"/>
      <c r="W8" s="14"/>
      <c r="Y8" s="284" t="s">
        <v>146</v>
      </c>
      <c r="Z8" s="281">
        <f>COUNTIF(M6:M603,"FFAA")</f>
        <v>0</v>
      </c>
    </row>
    <row r="9">
      <c r="A9" s="14">
        <v>4.0</v>
      </c>
      <c r="B9" s="14"/>
      <c r="C9" s="14"/>
      <c r="D9" s="66"/>
      <c r="E9" s="66"/>
      <c r="F9" s="66"/>
      <c r="G9" s="66"/>
      <c r="H9" s="168"/>
      <c r="I9" s="14"/>
      <c r="J9" s="14"/>
      <c r="K9" s="14"/>
      <c r="L9" s="14"/>
      <c r="M9" s="14"/>
      <c r="N9" s="14"/>
      <c r="O9" s="14"/>
      <c r="P9" s="14"/>
      <c r="Q9" s="14"/>
      <c r="R9" s="14"/>
      <c r="S9" s="14"/>
      <c r="T9" s="14"/>
      <c r="U9" s="14"/>
      <c r="V9" s="14"/>
      <c r="W9" s="14"/>
      <c r="Y9" s="281" t="s">
        <v>221</v>
      </c>
      <c r="Z9" s="281">
        <f>COUNTIF(M6:M604,"PNP")</f>
        <v>0</v>
      </c>
    </row>
    <row r="10">
      <c r="A10" s="14">
        <v>5.0</v>
      </c>
      <c r="B10" s="14"/>
      <c r="C10" s="14"/>
      <c r="D10" s="66"/>
      <c r="E10" s="66"/>
      <c r="F10" s="66"/>
      <c r="G10" s="66"/>
      <c r="H10" s="168"/>
      <c r="I10" s="14"/>
      <c r="J10" s="14"/>
      <c r="K10" s="14"/>
      <c r="L10" s="14"/>
      <c r="M10" s="14"/>
      <c r="N10" s="14"/>
      <c r="O10" s="14"/>
      <c r="P10" s="14"/>
      <c r="Q10" s="14"/>
      <c r="R10" s="14"/>
      <c r="S10" s="14"/>
      <c r="T10" s="14"/>
      <c r="U10" s="14"/>
      <c r="V10" s="14"/>
      <c r="W10" s="14"/>
      <c r="Y10" s="217" t="s">
        <v>195</v>
      </c>
      <c r="Z10" s="281">
        <f>COUNTIF(M6:M605,"APP")</f>
        <v>0</v>
      </c>
    </row>
    <row r="11">
      <c r="A11" s="14">
        <v>6.0</v>
      </c>
      <c r="B11" s="14"/>
      <c r="C11" s="14"/>
      <c r="D11" s="66"/>
      <c r="E11" s="66"/>
      <c r="F11" s="66"/>
      <c r="G11" s="66"/>
      <c r="H11" s="168"/>
      <c r="I11" s="14"/>
      <c r="J11" s="14"/>
      <c r="K11" s="14"/>
      <c r="L11" s="14"/>
      <c r="M11" s="14"/>
      <c r="N11" s="14"/>
      <c r="O11" s="14"/>
      <c r="P11" s="14"/>
      <c r="Q11" s="14"/>
      <c r="R11" s="14"/>
      <c r="S11" s="14"/>
      <c r="T11" s="14"/>
      <c r="U11" s="14"/>
      <c r="V11" s="14"/>
      <c r="W11" s="14"/>
    </row>
    <row r="12">
      <c r="A12" s="14">
        <v>7.0</v>
      </c>
      <c r="B12" s="14"/>
      <c r="C12" s="14"/>
      <c r="D12" s="66"/>
      <c r="E12" s="66"/>
      <c r="F12" s="66"/>
      <c r="G12" s="66"/>
      <c r="H12" s="168"/>
      <c r="I12" s="14"/>
      <c r="J12" s="14"/>
      <c r="K12" s="14"/>
      <c r="L12" s="14"/>
      <c r="M12" s="14"/>
      <c r="N12" s="14"/>
      <c r="O12" s="14"/>
      <c r="P12" s="14"/>
      <c r="Q12" s="14"/>
      <c r="R12" s="14"/>
      <c r="S12" s="14"/>
      <c r="T12" s="14"/>
      <c r="U12" s="14"/>
      <c r="V12" s="14"/>
      <c r="W12" s="14"/>
    </row>
    <row r="13">
      <c r="A13" s="14">
        <v>8.0</v>
      </c>
      <c r="B13" s="14"/>
      <c r="C13" s="14"/>
      <c r="D13" s="66"/>
      <c r="E13" s="66"/>
      <c r="F13" s="66"/>
      <c r="G13" s="66"/>
      <c r="H13" s="168"/>
      <c r="I13" s="14"/>
      <c r="J13" s="14"/>
      <c r="K13" s="14"/>
      <c r="L13" s="14"/>
      <c r="M13" s="14"/>
      <c r="N13" s="14"/>
      <c r="O13" s="14"/>
      <c r="P13" s="14"/>
      <c r="Q13" s="14"/>
      <c r="R13" s="14"/>
      <c r="S13" s="14"/>
      <c r="T13" s="14"/>
      <c r="U13" s="14"/>
      <c r="V13" s="14"/>
      <c r="W13" s="14"/>
    </row>
    <row r="14">
      <c r="A14" s="14">
        <v>9.0</v>
      </c>
      <c r="B14" s="14"/>
      <c r="C14" s="14"/>
      <c r="D14" s="66"/>
      <c r="E14" s="66"/>
      <c r="F14" s="66"/>
      <c r="G14" s="66"/>
      <c r="H14" s="168"/>
      <c r="I14" s="14"/>
      <c r="J14" s="14"/>
      <c r="K14" s="14"/>
      <c r="L14" s="14"/>
      <c r="M14" s="14"/>
      <c r="N14" s="14"/>
      <c r="O14" s="14"/>
      <c r="P14" s="14"/>
      <c r="Q14" s="14"/>
      <c r="R14" s="14"/>
      <c r="S14" s="14"/>
      <c r="T14" s="14"/>
      <c r="U14" s="14"/>
      <c r="V14" s="14"/>
      <c r="W14" s="14"/>
    </row>
    <row r="15">
      <c r="A15" s="14">
        <v>10.0</v>
      </c>
      <c r="B15" s="14"/>
      <c r="C15" s="14"/>
      <c r="D15" s="66"/>
      <c r="E15" s="66"/>
      <c r="F15" s="66"/>
      <c r="G15" s="66"/>
      <c r="H15" s="168"/>
      <c r="I15" s="14"/>
      <c r="J15" s="14"/>
      <c r="K15" s="14"/>
      <c r="L15" s="14"/>
      <c r="M15" s="14"/>
      <c r="N15" s="14"/>
      <c r="O15" s="14"/>
      <c r="P15" s="14"/>
      <c r="Q15" s="14"/>
      <c r="R15" s="14"/>
      <c r="S15" s="14"/>
      <c r="T15" s="14"/>
      <c r="U15" s="14"/>
      <c r="V15" s="14"/>
      <c r="W15" s="14"/>
      <c r="Z15" s="148" t="s">
        <v>385</v>
      </c>
      <c r="AA15" s="148" t="s">
        <v>391</v>
      </c>
    </row>
    <row r="16">
      <c r="A16" s="14">
        <v>11.0</v>
      </c>
      <c r="B16" s="14"/>
      <c r="C16" s="14"/>
      <c r="D16" s="66"/>
      <c r="E16" s="66"/>
      <c r="F16" s="66"/>
      <c r="G16" s="66"/>
      <c r="H16" s="168"/>
      <c r="I16" s="14"/>
      <c r="J16" s="14"/>
      <c r="K16" s="14"/>
      <c r="L16" s="14"/>
      <c r="M16" s="14"/>
      <c r="N16" s="14"/>
      <c r="O16" s="14"/>
      <c r="P16" s="14"/>
      <c r="Q16" s="14"/>
      <c r="R16" s="14"/>
      <c r="S16" s="14"/>
      <c r="T16" s="14"/>
      <c r="U16" s="14"/>
      <c r="V16" s="14"/>
      <c r="W16" s="14"/>
      <c r="Z16" s="151" t="s">
        <v>142</v>
      </c>
      <c r="AA16" s="152">
        <f t="shared" ref="AA16:AA41" si="1">COUNTIF($K$6:$K$600,Z16)</f>
        <v>0</v>
      </c>
    </row>
    <row r="17">
      <c r="A17" s="14">
        <v>12.0</v>
      </c>
      <c r="B17" s="14"/>
      <c r="C17" s="14"/>
      <c r="D17" s="66"/>
      <c r="E17" s="66"/>
      <c r="F17" s="66"/>
      <c r="G17" s="66"/>
      <c r="H17" s="168"/>
      <c r="I17" s="14"/>
      <c r="J17" s="14"/>
      <c r="K17" s="14"/>
      <c r="L17" s="14"/>
      <c r="M17" s="14"/>
      <c r="N17" s="14"/>
      <c r="O17" s="14"/>
      <c r="P17" s="14"/>
      <c r="Q17" s="14"/>
      <c r="R17" s="14"/>
      <c r="S17" s="14"/>
      <c r="T17" s="14"/>
      <c r="U17" s="14"/>
      <c r="V17" s="14"/>
      <c r="W17" s="14"/>
      <c r="Z17" s="151" t="s">
        <v>496</v>
      </c>
      <c r="AA17" s="152">
        <f t="shared" si="1"/>
        <v>0</v>
      </c>
    </row>
    <row r="18">
      <c r="A18" s="14">
        <v>12.0</v>
      </c>
      <c r="B18" s="14"/>
      <c r="C18" s="14"/>
      <c r="D18" s="66"/>
      <c r="E18" s="66"/>
      <c r="F18" s="66"/>
      <c r="G18" s="66"/>
      <c r="H18" s="168"/>
      <c r="I18" s="14"/>
      <c r="J18" s="14"/>
      <c r="K18" s="14"/>
      <c r="L18" s="14"/>
      <c r="M18" s="14"/>
      <c r="N18" s="14"/>
      <c r="O18" s="14"/>
      <c r="P18" s="14"/>
      <c r="Q18" s="14"/>
      <c r="R18" s="14"/>
      <c r="S18" s="14"/>
      <c r="T18" s="14"/>
      <c r="U18" s="14"/>
      <c r="V18" s="14"/>
      <c r="W18" s="14"/>
      <c r="Z18" s="151" t="s">
        <v>240</v>
      </c>
      <c r="AA18" s="152">
        <f t="shared" si="1"/>
        <v>0</v>
      </c>
    </row>
    <row r="19">
      <c r="A19" s="14">
        <v>14.0</v>
      </c>
      <c r="B19" s="14"/>
      <c r="C19" s="14"/>
      <c r="D19" s="66"/>
      <c r="E19" s="66"/>
      <c r="F19" s="66"/>
      <c r="G19" s="66"/>
      <c r="H19" s="168"/>
      <c r="I19" s="14"/>
      <c r="J19" s="14"/>
      <c r="K19" s="14"/>
      <c r="L19" s="14"/>
      <c r="M19" s="14"/>
      <c r="N19" s="14"/>
      <c r="O19" s="14"/>
      <c r="P19" s="14"/>
      <c r="Q19" s="14"/>
      <c r="R19" s="14"/>
      <c r="S19" s="14"/>
      <c r="T19" s="14"/>
      <c r="U19" s="14"/>
      <c r="V19" s="14"/>
      <c r="W19" s="14"/>
      <c r="Z19" s="151" t="s">
        <v>586</v>
      </c>
      <c r="AA19" s="152">
        <f t="shared" si="1"/>
        <v>0</v>
      </c>
    </row>
    <row r="20">
      <c r="A20" s="14">
        <v>15.0</v>
      </c>
      <c r="B20" s="14"/>
      <c r="C20" s="14"/>
      <c r="D20" s="66"/>
      <c r="E20" s="66"/>
      <c r="F20" s="66"/>
      <c r="G20" s="66"/>
      <c r="H20" s="168"/>
      <c r="I20" s="14"/>
      <c r="J20" s="14"/>
      <c r="K20" s="14"/>
      <c r="L20" s="14"/>
      <c r="M20" s="14"/>
      <c r="N20" s="14"/>
      <c r="O20" s="14"/>
      <c r="P20" s="14"/>
      <c r="Q20" s="14"/>
      <c r="R20" s="14"/>
      <c r="S20" s="14"/>
      <c r="T20" s="14"/>
      <c r="U20" s="14"/>
      <c r="V20" s="14"/>
      <c r="W20" s="14"/>
      <c r="Z20" s="151" t="s">
        <v>634</v>
      </c>
      <c r="AA20" s="152">
        <f t="shared" si="1"/>
        <v>0</v>
      </c>
    </row>
    <row r="21" ht="15.75" customHeight="1">
      <c r="A21" s="14">
        <v>16.0</v>
      </c>
      <c r="B21" s="14"/>
      <c r="C21" s="14"/>
      <c r="D21" s="66"/>
      <c r="E21" s="66"/>
      <c r="F21" s="66"/>
      <c r="G21" s="66"/>
      <c r="H21" s="168"/>
      <c r="I21" s="14"/>
      <c r="J21" s="14"/>
      <c r="K21" s="14"/>
      <c r="L21" s="14"/>
      <c r="M21" s="14"/>
      <c r="N21" s="14"/>
      <c r="O21" s="14"/>
      <c r="P21" s="14"/>
      <c r="Q21" s="14"/>
      <c r="R21" s="14"/>
      <c r="S21" s="14"/>
      <c r="T21" s="14"/>
      <c r="U21" s="14"/>
      <c r="V21" s="14"/>
      <c r="W21" s="14"/>
      <c r="Z21" s="151" t="s">
        <v>419</v>
      </c>
      <c r="AA21" s="152">
        <f t="shared" si="1"/>
        <v>0</v>
      </c>
    </row>
    <row r="22" ht="15.75" customHeight="1">
      <c r="D22" s="286"/>
      <c r="E22" s="286"/>
      <c r="F22" s="286"/>
      <c r="G22" s="286"/>
      <c r="H22" s="287"/>
      <c r="Z22" s="151" t="s">
        <v>210</v>
      </c>
      <c r="AA22" s="152">
        <f t="shared" si="1"/>
        <v>0</v>
      </c>
    </row>
    <row r="23" ht="15.75" customHeight="1">
      <c r="D23" s="286"/>
      <c r="E23" s="286"/>
      <c r="F23" s="286"/>
      <c r="G23" s="286"/>
      <c r="H23" s="287"/>
      <c r="Z23" s="151" t="s">
        <v>179</v>
      </c>
      <c r="AA23" s="152">
        <f t="shared" si="1"/>
        <v>0</v>
      </c>
    </row>
    <row r="24" ht="15.75" customHeight="1">
      <c r="D24" s="286"/>
      <c r="E24" s="286"/>
      <c r="F24" s="286"/>
      <c r="G24" s="286"/>
      <c r="H24" s="287"/>
      <c r="Z24" s="151" t="s">
        <v>826</v>
      </c>
      <c r="AA24" s="152">
        <f t="shared" si="1"/>
        <v>0</v>
      </c>
    </row>
    <row r="25" ht="15.75" customHeight="1">
      <c r="D25" s="286"/>
      <c r="E25" s="286"/>
      <c r="F25" s="286"/>
      <c r="G25" s="286"/>
      <c r="H25" s="287"/>
      <c r="Z25" s="151" t="s">
        <v>88</v>
      </c>
      <c r="AA25" s="152">
        <f t="shared" si="1"/>
        <v>0</v>
      </c>
    </row>
    <row r="26" ht="15.75" customHeight="1">
      <c r="D26" s="286"/>
      <c r="E26" s="286"/>
      <c r="F26" s="286"/>
      <c r="G26" s="286"/>
      <c r="H26" s="287"/>
      <c r="Z26" s="151" t="s">
        <v>281</v>
      </c>
      <c r="AA26" s="152">
        <f t="shared" si="1"/>
        <v>0</v>
      </c>
    </row>
    <row r="27" ht="15.75" customHeight="1">
      <c r="D27" s="286"/>
      <c r="E27" s="286"/>
      <c r="F27" s="286"/>
      <c r="G27" s="286"/>
      <c r="H27" s="287"/>
      <c r="Z27" s="151" t="s">
        <v>47</v>
      </c>
      <c r="AA27" s="152">
        <f t="shared" si="1"/>
        <v>0</v>
      </c>
    </row>
    <row r="28" ht="15.75" customHeight="1">
      <c r="D28" s="286"/>
      <c r="E28" s="286"/>
      <c r="F28" s="286"/>
      <c r="G28" s="286"/>
      <c r="H28" s="287"/>
      <c r="Z28" s="151" t="s">
        <v>1003</v>
      </c>
      <c r="AA28" s="152">
        <f t="shared" si="1"/>
        <v>0</v>
      </c>
    </row>
    <row r="29" ht="15.75" customHeight="1">
      <c r="D29" s="286"/>
      <c r="E29" s="286"/>
      <c r="F29" s="286"/>
      <c r="G29" s="286"/>
      <c r="H29" s="287"/>
      <c r="Z29" s="151" t="s">
        <v>610</v>
      </c>
      <c r="AA29" s="152">
        <f t="shared" si="1"/>
        <v>0</v>
      </c>
    </row>
    <row r="30" ht="15.75" customHeight="1">
      <c r="D30" s="286"/>
      <c r="E30" s="286"/>
      <c r="F30" s="286"/>
      <c r="G30" s="286"/>
      <c r="H30" s="287"/>
      <c r="Z30" s="151" t="s">
        <v>322</v>
      </c>
      <c r="AA30" s="152">
        <f t="shared" si="1"/>
        <v>0</v>
      </c>
    </row>
    <row r="31" ht="15.75" customHeight="1">
      <c r="D31" s="286"/>
      <c r="E31" s="286"/>
      <c r="F31" s="286"/>
      <c r="G31" s="286"/>
      <c r="H31" s="287"/>
      <c r="Z31" s="151" t="s">
        <v>718</v>
      </c>
      <c r="AA31" s="152">
        <f t="shared" si="1"/>
        <v>0</v>
      </c>
    </row>
    <row r="32" ht="15.75" customHeight="1">
      <c r="D32" s="286"/>
      <c r="E32" s="286"/>
      <c r="F32" s="286"/>
      <c r="G32" s="286"/>
      <c r="H32" s="287"/>
      <c r="Z32" s="151" t="s">
        <v>1103</v>
      </c>
      <c r="AA32" s="152">
        <f t="shared" si="1"/>
        <v>0</v>
      </c>
    </row>
    <row r="33" ht="15.75" customHeight="1">
      <c r="D33" s="286"/>
      <c r="E33" s="286"/>
      <c r="F33" s="286"/>
      <c r="G33" s="286"/>
      <c r="H33" s="287"/>
      <c r="Z33" s="151" t="s">
        <v>469</v>
      </c>
      <c r="AA33" s="152">
        <f t="shared" si="1"/>
        <v>0</v>
      </c>
    </row>
    <row r="34" ht="15.75" customHeight="1">
      <c r="D34" s="286"/>
      <c r="E34" s="286"/>
      <c r="F34" s="286"/>
      <c r="G34" s="286"/>
      <c r="H34" s="287"/>
      <c r="Z34" s="151" t="s">
        <v>948</v>
      </c>
      <c r="AA34" s="152">
        <f t="shared" si="1"/>
        <v>0</v>
      </c>
    </row>
    <row r="35" ht="15.75" customHeight="1">
      <c r="D35" s="286"/>
      <c r="E35" s="286"/>
      <c r="F35" s="286"/>
      <c r="G35" s="286"/>
      <c r="H35" s="287"/>
      <c r="Z35" s="151" t="s">
        <v>663</v>
      </c>
      <c r="AA35" s="152">
        <f t="shared" si="1"/>
        <v>0</v>
      </c>
    </row>
    <row r="36" ht="15.75" customHeight="1">
      <c r="D36" s="286"/>
      <c r="E36" s="286"/>
      <c r="F36" s="286"/>
      <c r="G36" s="286"/>
      <c r="H36" s="287"/>
      <c r="Z36" s="151" t="s">
        <v>1191</v>
      </c>
      <c r="AA36" s="152">
        <f t="shared" si="1"/>
        <v>0</v>
      </c>
    </row>
    <row r="37" ht="15.75" customHeight="1">
      <c r="D37" s="286"/>
      <c r="E37" s="286"/>
      <c r="F37" s="286"/>
      <c r="G37" s="286"/>
      <c r="H37" s="287"/>
      <c r="Z37" s="151" t="s">
        <v>1222</v>
      </c>
      <c r="AA37" s="152">
        <f t="shared" si="1"/>
        <v>0</v>
      </c>
    </row>
    <row r="38" ht="15.75" customHeight="1">
      <c r="D38" s="286"/>
      <c r="E38" s="286"/>
      <c r="F38" s="286"/>
      <c r="G38" s="286"/>
      <c r="H38" s="287"/>
      <c r="Z38" s="151" t="s">
        <v>1252</v>
      </c>
      <c r="AA38" s="152">
        <f t="shared" si="1"/>
        <v>0</v>
      </c>
    </row>
    <row r="39" ht="15.75" customHeight="1">
      <c r="D39" s="286"/>
      <c r="E39" s="286"/>
      <c r="F39" s="286"/>
      <c r="G39" s="286"/>
      <c r="H39" s="287"/>
      <c r="Z39" s="151" t="s">
        <v>1024</v>
      </c>
      <c r="AA39" s="152">
        <f t="shared" si="1"/>
        <v>0</v>
      </c>
    </row>
    <row r="40" ht="15.75" customHeight="1">
      <c r="D40" s="286"/>
      <c r="E40" s="286"/>
      <c r="F40" s="286"/>
      <c r="G40" s="286"/>
      <c r="H40" s="287"/>
      <c r="Z40" s="151" t="s">
        <v>1293</v>
      </c>
      <c r="AA40" s="152">
        <f t="shared" si="1"/>
        <v>0</v>
      </c>
    </row>
    <row r="41" ht="15.75" customHeight="1">
      <c r="D41" s="286"/>
      <c r="E41" s="286"/>
      <c r="F41" s="286"/>
      <c r="G41" s="286"/>
      <c r="H41" s="287"/>
      <c r="Z41" s="151" t="s">
        <v>1319</v>
      </c>
      <c r="AA41" s="152">
        <f t="shared" si="1"/>
        <v>0</v>
      </c>
    </row>
    <row r="42" ht="15.75" customHeight="1">
      <c r="D42" s="286"/>
      <c r="E42" s="286"/>
      <c r="F42" s="286"/>
      <c r="G42" s="286"/>
      <c r="H42" s="287"/>
      <c r="Z42" s="16"/>
      <c r="AA42" s="16">
        <f>SUM(AA16:AA41)</f>
        <v>0</v>
      </c>
    </row>
    <row r="43" ht="15.75" customHeight="1">
      <c r="D43" s="286"/>
      <c r="E43" s="286"/>
      <c r="F43" s="286"/>
      <c r="G43" s="286"/>
      <c r="H43" s="287"/>
    </row>
    <row r="44" ht="15.75" customHeight="1">
      <c r="D44" s="286"/>
      <c r="E44" s="286"/>
      <c r="F44" s="286"/>
      <c r="G44" s="286"/>
      <c r="H44" s="287"/>
    </row>
    <row r="45" ht="15.75" customHeight="1">
      <c r="D45" s="286"/>
      <c r="E45" s="286"/>
      <c r="F45" s="286"/>
      <c r="G45" s="286"/>
      <c r="H45" s="287"/>
    </row>
    <row r="46" ht="15.75" customHeight="1">
      <c r="D46" s="286"/>
      <c r="E46" s="286"/>
      <c r="F46" s="286"/>
      <c r="G46" s="286"/>
      <c r="H46" s="287"/>
    </row>
    <row r="47" ht="15.75" customHeight="1">
      <c r="D47" s="286"/>
      <c r="E47" s="286"/>
      <c r="F47" s="286"/>
      <c r="G47" s="286"/>
      <c r="H47" s="287"/>
    </row>
    <row r="48" ht="15.75" customHeight="1">
      <c r="D48" s="286"/>
      <c r="E48" s="286"/>
      <c r="F48" s="286"/>
      <c r="G48" s="286"/>
      <c r="H48" s="287"/>
    </row>
    <row r="49" ht="15.75" customHeight="1">
      <c r="D49" s="286"/>
      <c r="E49" s="286"/>
      <c r="F49" s="286"/>
      <c r="G49" s="286"/>
      <c r="H49" s="287"/>
    </row>
    <row r="50" ht="15.75" customHeight="1">
      <c r="D50" s="286"/>
      <c r="E50" s="286"/>
      <c r="F50" s="286"/>
      <c r="G50" s="286"/>
      <c r="H50" s="287"/>
    </row>
    <row r="51" ht="15.75" customHeight="1">
      <c r="D51" s="286"/>
      <c r="E51" s="286"/>
      <c r="F51" s="286"/>
      <c r="G51" s="286"/>
      <c r="H51" s="287"/>
    </row>
    <row r="52" ht="15.75" customHeight="1">
      <c r="D52" s="286"/>
      <c r="E52" s="286"/>
      <c r="F52" s="286"/>
      <c r="G52" s="286"/>
      <c r="H52" s="287"/>
    </row>
    <row r="53" ht="15.75" customHeight="1">
      <c r="D53" s="286"/>
      <c r="E53" s="286"/>
      <c r="F53" s="286"/>
      <c r="G53" s="286"/>
      <c r="H53" s="287"/>
    </row>
    <row r="54" ht="15.75" customHeight="1">
      <c r="H54" s="287"/>
    </row>
    <row r="55" ht="15.75" customHeight="1">
      <c r="H55" s="287"/>
    </row>
    <row r="56" ht="15.75" customHeight="1">
      <c r="H56" s="287"/>
    </row>
    <row r="57" ht="15.75" customHeight="1">
      <c r="H57" s="287"/>
    </row>
    <row r="58" ht="15.75" customHeight="1">
      <c r="H58" s="287"/>
    </row>
    <row r="59" ht="15.75" customHeight="1">
      <c r="H59" s="287"/>
    </row>
    <row r="60" ht="15.75" customHeight="1">
      <c r="H60" s="287"/>
    </row>
    <row r="61" ht="15.75" customHeight="1">
      <c r="H61" s="287"/>
    </row>
    <row r="62" ht="15.75" customHeight="1">
      <c r="H62" s="287"/>
    </row>
    <row r="63" ht="15.75" customHeight="1">
      <c r="H63" s="287"/>
    </row>
    <row r="64" ht="15.75" customHeight="1">
      <c r="H64" s="287"/>
    </row>
    <row r="65" ht="15.75" customHeight="1">
      <c r="H65" s="287"/>
    </row>
    <row r="66" ht="15.75" customHeight="1">
      <c r="H66" s="287"/>
    </row>
    <row r="67" ht="15.75" customHeight="1">
      <c r="H67" s="287"/>
    </row>
    <row r="68" ht="15.75" customHeight="1">
      <c r="H68" s="287"/>
    </row>
    <row r="69" ht="15.75" customHeight="1">
      <c r="H69" s="287"/>
    </row>
    <row r="70" ht="15.75" customHeight="1">
      <c r="H70" s="287"/>
    </row>
    <row r="71" ht="15.75" customHeight="1">
      <c r="H71" s="287"/>
    </row>
    <row r="72" ht="15.75" customHeight="1">
      <c r="H72" s="287"/>
    </row>
    <row r="73" ht="15.75" customHeight="1">
      <c r="H73" s="287"/>
    </row>
    <row r="74" ht="15.75" customHeight="1">
      <c r="H74" s="287"/>
    </row>
    <row r="75" ht="15.75" customHeight="1">
      <c r="H75" s="287"/>
    </row>
    <row r="76" ht="15.75" customHeight="1">
      <c r="H76" s="287"/>
    </row>
    <row r="77" ht="15.75" customHeight="1">
      <c r="H77" s="287"/>
    </row>
    <row r="78" ht="15.75" customHeight="1">
      <c r="H78" s="287"/>
    </row>
    <row r="79" ht="15.75" customHeight="1">
      <c r="H79" s="287"/>
    </row>
    <row r="80" ht="15.75" customHeight="1">
      <c r="H80" s="287"/>
    </row>
    <row r="81" ht="15.75" customHeight="1">
      <c r="H81" s="287"/>
    </row>
    <row r="82" ht="15.75" customHeight="1">
      <c r="H82" s="287"/>
    </row>
    <row r="83" ht="15.75" customHeight="1">
      <c r="H83" s="287"/>
    </row>
    <row r="84" ht="15.75" customHeight="1">
      <c r="H84" s="287"/>
    </row>
    <row r="85" ht="15.75" customHeight="1">
      <c r="H85" s="287"/>
    </row>
    <row r="86" ht="15.75" customHeight="1">
      <c r="H86" s="287"/>
    </row>
    <row r="87" ht="15.75" customHeight="1">
      <c r="H87" s="287"/>
    </row>
    <row r="88" ht="15.75" customHeight="1">
      <c r="H88" s="287"/>
    </row>
    <row r="89" ht="15.75" customHeight="1">
      <c r="H89" s="287"/>
    </row>
    <row r="90" ht="15.75" customHeight="1">
      <c r="H90" s="287"/>
    </row>
    <row r="91" ht="15.75" customHeight="1">
      <c r="H91" s="287"/>
    </row>
    <row r="92" ht="15.75" customHeight="1">
      <c r="H92" s="287"/>
    </row>
    <row r="93" ht="15.75" customHeight="1">
      <c r="H93" s="287"/>
    </row>
    <row r="94" ht="15.75" customHeight="1">
      <c r="H94" s="287"/>
    </row>
    <row r="95" ht="15.75" customHeight="1">
      <c r="H95" s="287"/>
    </row>
    <row r="96" ht="15.75" customHeight="1">
      <c r="H96" s="287"/>
    </row>
    <row r="97" ht="15.75" customHeight="1">
      <c r="H97" s="287"/>
    </row>
    <row r="98" ht="15.75" customHeight="1">
      <c r="H98" s="287"/>
    </row>
    <row r="99" ht="15.75" customHeight="1">
      <c r="H99" s="287"/>
    </row>
    <row r="100" ht="15.75" customHeight="1">
      <c r="H100" s="287"/>
    </row>
    <row r="101" ht="15.75" customHeight="1">
      <c r="H101" s="287"/>
    </row>
    <row r="102" ht="15.75" customHeight="1">
      <c r="H102" s="287"/>
    </row>
    <row r="103" ht="15.75" customHeight="1">
      <c r="H103" s="287"/>
    </row>
    <row r="104" ht="15.75" customHeight="1">
      <c r="H104" s="287"/>
    </row>
    <row r="105" ht="15.75" customHeight="1">
      <c r="H105" s="287"/>
    </row>
    <row r="106" ht="15.75" customHeight="1">
      <c r="H106" s="287"/>
    </row>
    <row r="107" ht="15.75" customHeight="1">
      <c r="H107" s="287"/>
    </row>
    <row r="108" ht="15.75" customHeight="1">
      <c r="H108" s="287"/>
    </row>
    <row r="109" ht="15.75" customHeight="1">
      <c r="H109" s="287"/>
    </row>
    <row r="110" ht="15.75" customHeight="1">
      <c r="H110" s="287"/>
    </row>
    <row r="111" ht="15.75" customHeight="1">
      <c r="H111" s="287"/>
    </row>
    <row r="112" ht="15.75" customHeight="1">
      <c r="H112" s="287"/>
    </row>
    <row r="113" ht="15.75" customHeight="1">
      <c r="H113" s="287"/>
    </row>
    <row r="114" ht="15.75" customHeight="1">
      <c r="H114" s="287"/>
    </row>
    <row r="115" ht="15.75" customHeight="1">
      <c r="H115" s="287"/>
    </row>
    <row r="116" ht="15.75" customHeight="1">
      <c r="H116" s="287"/>
    </row>
    <row r="117" ht="15.75" customHeight="1">
      <c r="H117" s="287"/>
    </row>
    <row r="118" ht="15.75" customHeight="1">
      <c r="H118" s="287"/>
    </row>
    <row r="119" ht="15.75" customHeight="1">
      <c r="H119" s="287"/>
    </row>
    <row r="120" ht="15.75" customHeight="1">
      <c r="H120" s="287"/>
    </row>
    <row r="121" ht="15.75" customHeight="1">
      <c r="H121" s="287"/>
    </row>
    <row r="122" ht="15.75" customHeight="1">
      <c r="H122" s="287"/>
    </row>
    <row r="123" ht="15.75" customHeight="1">
      <c r="H123" s="287"/>
    </row>
    <row r="124" ht="15.75" customHeight="1">
      <c r="H124" s="287"/>
    </row>
    <row r="125" ht="15.75" customHeight="1">
      <c r="H125" s="287"/>
    </row>
    <row r="126" ht="15.75" customHeight="1">
      <c r="H126" s="287"/>
    </row>
    <row r="127" ht="15.75" customHeight="1">
      <c r="H127" s="287"/>
    </row>
    <row r="128" ht="15.75" customHeight="1">
      <c r="H128" s="287"/>
    </row>
    <row r="129" ht="15.75" customHeight="1">
      <c r="H129" s="287"/>
    </row>
    <row r="130" ht="15.75" customHeight="1">
      <c r="H130" s="287"/>
    </row>
    <row r="131" ht="15.75" customHeight="1">
      <c r="H131" s="287"/>
    </row>
    <row r="132" ht="15.75" customHeight="1">
      <c r="H132" s="287"/>
    </row>
    <row r="133" ht="15.75" customHeight="1">
      <c r="H133" s="287"/>
    </row>
    <row r="134" ht="15.75" customHeight="1">
      <c r="H134" s="287"/>
    </row>
    <row r="135" ht="15.75" customHeight="1">
      <c r="H135" s="287"/>
    </row>
    <row r="136" ht="15.75" customHeight="1">
      <c r="H136" s="287"/>
    </row>
    <row r="137" ht="15.75" customHeight="1">
      <c r="H137" s="287"/>
    </row>
    <row r="138" ht="15.75" customHeight="1">
      <c r="H138" s="287"/>
    </row>
    <row r="139" ht="15.75" customHeight="1">
      <c r="H139" s="287"/>
    </row>
    <row r="140" ht="15.75" customHeight="1">
      <c r="H140" s="287"/>
    </row>
    <row r="141" ht="15.75" customHeight="1">
      <c r="H141" s="287"/>
    </row>
    <row r="142" ht="15.75" customHeight="1">
      <c r="H142" s="287"/>
    </row>
    <row r="143" ht="15.75" customHeight="1">
      <c r="H143" s="287"/>
    </row>
    <row r="144" ht="15.75" customHeight="1">
      <c r="H144" s="287"/>
    </row>
    <row r="145" ht="15.75" customHeight="1">
      <c r="H145" s="287"/>
    </row>
    <row r="146" ht="15.75" customHeight="1">
      <c r="H146" s="287"/>
    </row>
    <row r="147" ht="15.75" customHeight="1">
      <c r="H147" s="287"/>
    </row>
    <row r="148" ht="15.75" customHeight="1">
      <c r="H148" s="287"/>
    </row>
    <row r="149" ht="15.75" customHeight="1">
      <c r="H149" s="287"/>
    </row>
    <row r="150" ht="15.75" customHeight="1">
      <c r="H150" s="287"/>
    </row>
    <row r="151" ht="15.75" customHeight="1">
      <c r="H151" s="287"/>
    </row>
    <row r="152" ht="15.75" customHeight="1">
      <c r="H152" s="287"/>
    </row>
    <row r="153" ht="15.75" customHeight="1">
      <c r="H153" s="287"/>
    </row>
    <row r="154" ht="15.75" customHeight="1">
      <c r="H154" s="287"/>
    </row>
    <row r="155" ht="15.75" customHeight="1">
      <c r="H155" s="287"/>
    </row>
    <row r="156" ht="15.75" customHeight="1">
      <c r="H156" s="287"/>
    </row>
    <row r="157" ht="15.75" customHeight="1">
      <c r="H157" s="287"/>
    </row>
    <row r="158" ht="15.75" customHeight="1">
      <c r="H158" s="287"/>
    </row>
    <row r="159" ht="15.75" customHeight="1">
      <c r="H159" s="287"/>
    </row>
    <row r="160" ht="15.75" customHeight="1">
      <c r="H160" s="287"/>
    </row>
    <row r="161" ht="15.75" customHeight="1">
      <c r="H161" s="287"/>
    </row>
    <row r="162" ht="15.75" customHeight="1">
      <c r="H162" s="287"/>
    </row>
    <row r="163" ht="15.75" customHeight="1">
      <c r="H163" s="287"/>
    </row>
    <row r="164" ht="15.75" customHeight="1">
      <c r="H164" s="287"/>
    </row>
    <row r="165" ht="15.75" customHeight="1">
      <c r="H165" s="287"/>
    </row>
    <row r="166" ht="15.75" customHeight="1">
      <c r="H166" s="287"/>
    </row>
    <row r="167" ht="15.75" customHeight="1">
      <c r="H167" s="287"/>
    </row>
    <row r="168" ht="15.75" customHeight="1">
      <c r="H168" s="287"/>
    </row>
    <row r="169" ht="15.75" customHeight="1">
      <c r="H169" s="287"/>
    </row>
    <row r="170" ht="15.75" customHeight="1">
      <c r="H170" s="287"/>
    </row>
    <row r="171" ht="15.75" customHeight="1">
      <c r="H171" s="287"/>
    </row>
    <row r="172" ht="15.75" customHeight="1">
      <c r="H172" s="287"/>
    </row>
    <row r="173" ht="15.75" customHeight="1">
      <c r="H173" s="287"/>
    </row>
    <row r="174" ht="15.75" customHeight="1">
      <c r="H174" s="287"/>
    </row>
    <row r="175" ht="15.75" customHeight="1">
      <c r="H175" s="287"/>
    </row>
    <row r="176" ht="15.75" customHeight="1">
      <c r="H176" s="287"/>
    </row>
    <row r="177" ht="15.75" customHeight="1">
      <c r="H177" s="287"/>
    </row>
    <row r="178" ht="15.75" customHeight="1">
      <c r="H178" s="287"/>
    </row>
    <row r="179" ht="15.75" customHeight="1">
      <c r="H179" s="287"/>
    </row>
    <row r="180" ht="15.75" customHeight="1">
      <c r="H180" s="287"/>
    </row>
    <row r="181" ht="15.75" customHeight="1">
      <c r="H181" s="287"/>
    </row>
    <row r="182" ht="15.75" customHeight="1">
      <c r="H182" s="287"/>
    </row>
    <row r="183" ht="15.75" customHeight="1">
      <c r="H183" s="287"/>
    </row>
    <row r="184" ht="15.75" customHeight="1">
      <c r="H184" s="287"/>
    </row>
    <row r="185" ht="15.75" customHeight="1">
      <c r="H185" s="287"/>
    </row>
    <row r="186" ht="15.75" customHeight="1">
      <c r="H186" s="287"/>
    </row>
    <row r="187" ht="15.75" customHeight="1">
      <c r="H187" s="287"/>
    </row>
    <row r="188" ht="15.75" customHeight="1">
      <c r="H188" s="287"/>
    </row>
    <row r="189" ht="15.75" customHeight="1">
      <c r="H189" s="287"/>
    </row>
    <row r="190" ht="15.75" customHeight="1">
      <c r="H190" s="287"/>
    </row>
    <row r="191" ht="15.75" customHeight="1">
      <c r="H191" s="287"/>
    </row>
    <row r="192" ht="15.75" customHeight="1">
      <c r="H192" s="287"/>
    </row>
    <row r="193" ht="15.75" customHeight="1">
      <c r="H193" s="287"/>
    </row>
    <row r="194" ht="15.75" customHeight="1">
      <c r="H194" s="287"/>
    </row>
    <row r="195" ht="15.75" customHeight="1">
      <c r="H195" s="287"/>
    </row>
    <row r="196" ht="15.75" customHeight="1">
      <c r="H196" s="287"/>
    </row>
    <row r="197" ht="15.75" customHeight="1">
      <c r="H197" s="287"/>
    </row>
    <row r="198" ht="15.75" customHeight="1">
      <c r="H198" s="287"/>
    </row>
    <row r="199" ht="15.75" customHeight="1">
      <c r="H199" s="287"/>
    </row>
    <row r="200" ht="15.75" customHeight="1">
      <c r="H200" s="287"/>
    </row>
    <row r="201" ht="15.75" customHeight="1">
      <c r="H201" s="287"/>
    </row>
    <row r="202" ht="15.75" customHeight="1">
      <c r="H202" s="287"/>
    </row>
    <row r="203" ht="15.75" customHeight="1">
      <c r="H203" s="287"/>
    </row>
    <row r="204" ht="15.75" customHeight="1">
      <c r="H204" s="287"/>
    </row>
    <row r="205" ht="15.75" customHeight="1">
      <c r="H205" s="287"/>
    </row>
    <row r="206" ht="15.75" customHeight="1">
      <c r="H206" s="287"/>
    </row>
    <row r="207" ht="15.75" customHeight="1">
      <c r="H207" s="287"/>
    </row>
    <row r="208" ht="15.75" customHeight="1">
      <c r="H208" s="287"/>
    </row>
    <row r="209" ht="15.75" customHeight="1">
      <c r="H209" s="287"/>
    </row>
    <row r="210" ht="15.75" customHeight="1">
      <c r="H210" s="287"/>
    </row>
    <row r="211" ht="15.75" customHeight="1">
      <c r="H211" s="287"/>
    </row>
    <row r="212" ht="15.75" customHeight="1">
      <c r="H212" s="287"/>
    </row>
    <row r="213" ht="15.75" customHeight="1">
      <c r="H213" s="287"/>
    </row>
    <row r="214" ht="15.75" customHeight="1">
      <c r="H214" s="287"/>
    </row>
    <row r="215" ht="15.75" customHeight="1">
      <c r="H215" s="287"/>
    </row>
    <row r="216" ht="15.75" customHeight="1">
      <c r="H216" s="287"/>
    </row>
    <row r="217" ht="15.75" customHeight="1">
      <c r="H217" s="287"/>
    </row>
    <row r="218" ht="15.75" customHeight="1">
      <c r="H218" s="287"/>
    </row>
    <row r="219" ht="15.75" customHeight="1">
      <c r="H219" s="287"/>
    </row>
    <row r="220" ht="15.75" customHeight="1">
      <c r="H220" s="287"/>
    </row>
    <row r="221" ht="15.75" customHeight="1">
      <c r="H221" s="287"/>
    </row>
    <row r="222" ht="15.75" customHeight="1">
      <c r="H222" s="287"/>
    </row>
    <row r="223" ht="15.75" customHeight="1">
      <c r="H223" s="287"/>
    </row>
    <row r="224" ht="15.75" customHeight="1">
      <c r="H224" s="287"/>
    </row>
    <row r="225" ht="15.75" customHeight="1">
      <c r="H225" s="287"/>
    </row>
    <row r="226" ht="15.75" customHeight="1">
      <c r="H226" s="287"/>
    </row>
    <row r="227" ht="15.75" customHeight="1">
      <c r="H227" s="287"/>
    </row>
    <row r="228" ht="15.75" customHeight="1">
      <c r="H228" s="287"/>
    </row>
    <row r="229" ht="15.75" customHeight="1">
      <c r="H229" s="287"/>
    </row>
    <row r="230" ht="15.75" customHeight="1">
      <c r="H230" s="287"/>
    </row>
    <row r="231" ht="15.75" customHeight="1">
      <c r="H231" s="287"/>
    </row>
    <row r="232" ht="15.75" customHeight="1">
      <c r="H232" s="287"/>
    </row>
    <row r="233" ht="15.75" customHeight="1">
      <c r="H233" s="287"/>
    </row>
    <row r="234" ht="15.75" customHeight="1">
      <c r="H234" s="287"/>
    </row>
    <row r="235" ht="15.75" customHeight="1">
      <c r="H235" s="287"/>
    </row>
    <row r="236" ht="15.75" customHeight="1">
      <c r="H236" s="287"/>
    </row>
    <row r="237" ht="15.75" customHeight="1">
      <c r="H237" s="287"/>
    </row>
    <row r="238" ht="15.75" customHeight="1">
      <c r="H238" s="287"/>
    </row>
    <row r="239" ht="15.75" customHeight="1">
      <c r="H239" s="287"/>
    </row>
    <row r="240" ht="15.75" customHeight="1">
      <c r="H240" s="287"/>
    </row>
    <row r="241" ht="15.75" customHeight="1">
      <c r="H241" s="287"/>
    </row>
    <row r="242" ht="15.75" customHeight="1">
      <c r="H242" s="287"/>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W3"/>
    <mergeCell ref="A4:W4"/>
  </mergeCell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18.38"/>
    <col customWidth="1" min="3" max="3" width="5.38"/>
    <col customWidth="1" min="4" max="4" width="28.38"/>
    <col customWidth="1" min="5" max="5" width="11.0"/>
    <col customWidth="1" min="6" max="6" width="8.63"/>
    <col customWidth="1" min="7" max="7" width="12.75"/>
    <col customWidth="1" min="8" max="8" width="19.88"/>
    <col customWidth="1" min="9" max="9" width="13.38"/>
    <col customWidth="1" min="10" max="10" width="36.13"/>
    <col customWidth="1" min="11" max="11" width="12.63"/>
    <col customWidth="1" min="12" max="12" width="27.13"/>
    <col customWidth="1" min="13" max="13" width="12.13"/>
    <col customWidth="1" min="14" max="26" width="10.5"/>
  </cols>
  <sheetData>
    <row r="1" ht="70.5" customHeight="1">
      <c r="A1" s="295" t="s">
        <v>3710</v>
      </c>
      <c r="B1" s="34"/>
      <c r="C1" s="34"/>
      <c r="D1" s="34"/>
      <c r="E1" s="34"/>
      <c r="F1" s="34"/>
      <c r="G1" s="34"/>
      <c r="H1" s="34"/>
      <c r="I1" s="34"/>
      <c r="J1" s="34"/>
      <c r="K1" s="34"/>
      <c r="L1" s="34"/>
      <c r="M1" s="36"/>
    </row>
    <row r="2">
      <c r="B2" s="217"/>
      <c r="C2" s="217"/>
      <c r="E2" s="296"/>
      <c r="H2" s="297"/>
      <c r="I2" s="298"/>
      <c r="J2" s="299"/>
      <c r="K2" s="298"/>
      <c r="L2" s="298"/>
      <c r="M2" s="298"/>
    </row>
    <row r="3" ht="29.25" customHeight="1">
      <c r="A3" s="300" t="s">
        <v>3725</v>
      </c>
      <c r="B3" s="301" t="s">
        <v>3728</v>
      </c>
      <c r="C3" s="302" t="s">
        <v>3730</v>
      </c>
      <c r="D3" s="302" t="s">
        <v>3732</v>
      </c>
      <c r="E3" s="303" t="s">
        <v>3734</v>
      </c>
      <c r="F3" s="304" t="s">
        <v>3738</v>
      </c>
      <c r="G3" s="302" t="s">
        <v>10</v>
      </c>
      <c r="H3" s="304" t="s">
        <v>12</v>
      </c>
      <c r="I3" s="304" t="s">
        <v>3742</v>
      </c>
      <c r="J3" s="305" t="s">
        <v>14</v>
      </c>
      <c r="K3" s="304" t="s">
        <v>3745</v>
      </c>
      <c r="L3" s="304" t="s">
        <v>3746</v>
      </c>
      <c r="M3" s="306" t="s">
        <v>3748</v>
      </c>
    </row>
    <row r="4" hidden="1">
      <c r="A4" s="173">
        <v>1.0</v>
      </c>
      <c r="B4" s="307" t="s">
        <v>65</v>
      </c>
      <c r="C4" s="307" t="s">
        <v>3754</v>
      </c>
      <c r="D4" s="307" t="s">
        <v>66</v>
      </c>
      <c r="E4" s="308">
        <v>44874.0</v>
      </c>
      <c r="F4" s="307"/>
      <c r="G4" s="307">
        <v>22113.0</v>
      </c>
      <c r="H4" s="309" t="s">
        <v>170</v>
      </c>
      <c r="I4" s="310" t="s">
        <v>76</v>
      </c>
      <c r="J4" s="312" t="s">
        <v>77</v>
      </c>
      <c r="K4" s="313" t="s">
        <v>47</v>
      </c>
      <c r="L4" s="314" t="s">
        <v>3768</v>
      </c>
      <c r="M4" s="315"/>
    </row>
    <row r="5" hidden="1">
      <c r="A5" s="316">
        <v>2.0</v>
      </c>
      <c r="B5" s="307" t="s">
        <v>198</v>
      </c>
      <c r="C5" s="307" t="s">
        <v>3754</v>
      </c>
      <c r="D5" s="307" t="s">
        <v>3776</v>
      </c>
      <c r="E5" s="308">
        <v>44874.0</v>
      </c>
      <c r="F5" s="317">
        <v>45712.0</v>
      </c>
      <c r="G5" s="307">
        <v>33189.0</v>
      </c>
      <c r="H5" s="318" t="s">
        <v>3778</v>
      </c>
      <c r="I5" s="310" t="s">
        <v>43</v>
      </c>
      <c r="J5" s="312" t="s">
        <v>3782</v>
      </c>
      <c r="K5" s="313" t="s">
        <v>47</v>
      </c>
      <c r="L5" s="320" t="s">
        <v>3784</v>
      </c>
      <c r="M5" s="321" t="s">
        <v>3792</v>
      </c>
    </row>
    <row r="6" hidden="1">
      <c r="A6" s="316">
        <v>3.0</v>
      </c>
      <c r="B6" s="307" t="s">
        <v>3532</v>
      </c>
      <c r="C6" s="307" t="s">
        <v>3754</v>
      </c>
      <c r="D6" s="310" t="s">
        <v>3533</v>
      </c>
      <c r="E6" s="323">
        <v>44939.0</v>
      </c>
      <c r="F6" s="317">
        <v>45029.0</v>
      </c>
      <c r="G6" s="307">
        <v>13386.0</v>
      </c>
      <c r="H6" s="161" t="s">
        <v>84</v>
      </c>
      <c r="I6" s="310" t="s">
        <v>205</v>
      </c>
      <c r="J6" s="312" t="s">
        <v>3803</v>
      </c>
      <c r="K6" s="313" t="s">
        <v>210</v>
      </c>
      <c r="L6" s="320"/>
      <c r="M6" s="321"/>
    </row>
    <row r="7" hidden="1">
      <c r="A7" s="316">
        <v>4.0</v>
      </c>
      <c r="B7" s="307" t="s">
        <v>1388</v>
      </c>
      <c r="C7" s="307" t="s">
        <v>3754</v>
      </c>
      <c r="D7" s="310" t="s">
        <v>3806</v>
      </c>
      <c r="E7" s="326" t="s">
        <v>3807</v>
      </c>
      <c r="F7" s="317"/>
      <c r="G7" s="307">
        <v>16411.0</v>
      </c>
      <c r="H7" s="318" t="s">
        <v>3778</v>
      </c>
      <c r="I7" s="310" t="s">
        <v>315</v>
      </c>
      <c r="J7" s="312" t="s">
        <v>3810</v>
      </c>
      <c r="K7" s="327"/>
      <c r="L7" s="328" t="s">
        <v>3806</v>
      </c>
      <c r="M7" s="321" t="s">
        <v>3815</v>
      </c>
    </row>
    <row r="8" hidden="1">
      <c r="A8" s="316">
        <v>5.0</v>
      </c>
      <c r="B8" s="307" t="s">
        <v>1827</v>
      </c>
      <c r="C8" s="307" t="s">
        <v>3754</v>
      </c>
      <c r="D8" s="310" t="s">
        <v>3817</v>
      </c>
      <c r="E8" s="326" t="s">
        <v>3818</v>
      </c>
      <c r="F8" s="307"/>
      <c r="G8" s="307">
        <v>12572.0</v>
      </c>
      <c r="H8" s="318" t="s">
        <v>3778</v>
      </c>
      <c r="I8" s="310" t="s">
        <v>172</v>
      </c>
      <c r="J8" s="312" t="s">
        <v>3822</v>
      </c>
      <c r="K8" s="327"/>
      <c r="L8" s="330" t="s">
        <v>3817</v>
      </c>
      <c r="M8" s="321"/>
    </row>
    <row r="9" hidden="1">
      <c r="A9" s="316">
        <v>6.0</v>
      </c>
      <c r="B9" s="307" t="s">
        <v>1992</v>
      </c>
      <c r="C9" s="307" t="s">
        <v>3754</v>
      </c>
      <c r="D9" s="307" t="s">
        <v>1994</v>
      </c>
      <c r="E9" s="323">
        <v>44980.0</v>
      </c>
      <c r="F9" s="332"/>
      <c r="G9" s="333">
        <v>20334.0</v>
      </c>
      <c r="H9" s="334" t="s">
        <v>3831</v>
      </c>
      <c r="I9" s="310" t="s">
        <v>85</v>
      </c>
      <c r="J9" s="312" t="s">
        <v>2004</v>
      </c>
      <c r="K9" s="313" t="s">
        <v>88</v>
      </c>
      <c r="L9" s="335"/>
      <c r="M9" s="321"/>
    </row>
    <row r="10" hidden="1">
      <c r="A10" s="316">
        <v>7.0</v>
      </c>
      <c r="B10" s="307" t="s">
        <v>2132</v>
      </c>
      <c r="C10" s="307" t="s">
        <v>3754</v>
      </c>
      <c r="D10" s="307" t="s">
        <v>2135</v>
      </c>
      <c r="E10" s="323">
        <v>44992.0</v>
      </c>
      <c r="F10" s="317">
        <v>45084.0</v>
      </c>
      <c r="G10" s="307">
        <v>24608.0</v>
      </c>
      <c r="H10" s="340" t="s">
        <v>2525</v>
      </c>
      <c r="I10" s="310" t="s">
        <v>1234</v>
      </c>
      <c r="J10" s="312" t="s">
        <v>2139</v>
      </c>
      <c r="K10" s="313" t="s">
        <v>1103</v>
      </c>
      <c r="L10" s="342"/>
      <c r="M10" s="321"/>
    </row>
    <row r="11" hidden="1">
      <c r="A11" s="316">
        <v>8.0</v>
      </c>
      <c r="B11" s="307" t="s">
        <v>2162</v>
      </c>
      <c r="C11" s="307" t="s">
        <v>3754</v>
      </c>
      <c r="D11" s="310" t="s">
        <v>3849</v>
      </c>
      <c r="E11" s="326" t="s">
        <v>3851</v>
      </c>
      <c r="F11" s="307"/>
      <c r="G11" s="307">
        <v>13395.0</v>
      </c>
      <c r="H11" s="318" t="s">
        <v>3778</v>
      </c>
      <c r="I11" s="310" t="s">
        <v>85</v>
      </c>
      <c r="J11" s="312" t="s">
        <v>3855</v>
      </c>
      <c r="K11" s="327"/>
      <c r="L11" s="330" t="s">
        <v>3849</v>
      </c>
      <c r="M11" s="321"/>
    </row>
    <row r="12" hidden="1">
      <c r="A12" s="316">
        <v>9.0</v>
      </c>
      <c r="B12" s="347" t="s">
        <v>2193</v>
      </c>
      <c r="C12" s="307" t="s">
        <v>3754</v>
      </c>
      <c r="D12" s="347" t="s">
        <v>2194</v>
      </c>
      <c r="E12" s="348">
        <v>44992.0</v>
      </c>
      <c r="F12" s="349">
        <v>45084.0</v>
      </c>
      <c r="G12" s="347">
        <v>30412.0</v>
      </c>
      <c r="H12" s="350" t="s">
        <v>2203</v>
      </c>
      <c r="I12" s="351" t="s">
        <v>697</v>
      </c>
      <c r="J12" s="353" t="s">
        <v>2209</v>
      </c>
      <c r="K12" s="313" t="s">
        <v>718</v>
      </c>
      <c r="L12" s="356"/>
      <c r="M12" s="321"/>
    </row>
    <row r="13" hidden="1">
      <c r="A13" s="316">
        <v>10.0</v>
      </c>
      <c r="B13" s="358" t="s">
        <v>2515</v>
      </c>
      <c r="C13" s="307" t="s">
        <v>3754</v>
      </c>
      <c r="D13" s="358" t="s">
        <v>2517</v>
      </c>
      <c r="E13" s="361">
        <v>45012.0</v>
      </c>
      <c r="F13" s="364">
        <v>45104.0</v>
      </c>
      <c r="G13" s="358">
        <v>11466.0</v>
      </c>
      <c r="H13" s="366" t="s">
        <v>2525</v>
      </c>
      <c r="I13" s="367" t="s">
        <v>697</v>
      </c>
      <c r="J13" s="368" t="s">
        <v>2527</v>
      </c>
      <c r="K13" s="218" t="s">
        <v>718</v>
      </c>
      <c r="L13" s="370"/>
      <c r="M13" s="372"/>
    </row>
    <row r="14" hidden="1">
      <c r="A14" s="316">
        <v>11.0</v>
      </c>
      <c r="B14" s="374" t="s">
        <v>2549</v>
      </c>
      <c r="C14" s="307" t="s">
        <v>3754</v>
      </c>
      <c r="D14" s="374" t="s">
        <v>2552</v>
      </c>
      <c r="E14" s="375">
        <v>45015.0</v>
      </c>
      <c r="F14" s="376">
        <v>45107.0</v>
      </c>
      <c r="G14" s="374">
        <v>12446.0</v>
      </c>
      <c r="H14" s="340" t="s">
        <v>2525</v>
      </c>
      <c r="I14" s="309" t="s">
        <v>43</v>
      </c>
      <c r="J14" s="312" t="s">
        <v>2556</v>
      </c>
      <c r="K14" s="218" t="s">
        <v>47</v>
      </c>
      <c r="L14" s="377"/>
      <c r="M14" s="372"/>
    </row>
    <row r="15" hidden="1">
      <c r="A15" s="316">
        <v>12.0</v>
      </c>
      <c r="B15" s="307" t="s">
        <v>2642</v>
      </c>
      <c r="C15" s="307" t="s">
        <v>3754</v>
      </c>
      <c r="D15" s="310" t="s">
        <v>3926</v>
      </c>
      <c r="E15" s="326" t="s">
        <v>3927</v>
      </c>
      <c r="F15" s="307"/>
      <c r="G15" s="307">
        <v>28860.0</v>
      </c>
      <c r="H15" s="318" t="s">
        <v>3778</v>
      </c>
      <c r="I15" s="310" t="s">
        <v>773</v>
      </c>
      <c r="J15" s="312" t="s">
        <v>3931</v>
      </c>
      <c r="K15" s="313" t="s">
        <v>419</v>
      </c>
      <c r="L15" s="378" t="s">
        <v>3932</v>
      </c>
      <c r="M15" s="372"/>
    </row>
    <row r="16" hidden="1">
      <c r="A16" s="316">
        <v>13.0</v>
      </c>
      <c r="B16" s="307" t="s">
        <v>2722</v>
      </c>
      <c r="C16" s="307" t="s">
        <v>3754</v>
      </c>
      <c r="D16" s="310" t="s">
        <v>2723</v>
      </c>
      <c r="E16" s="323">
        <v>45020.0</v>
      </c>
      <c r="F16" s="317">
        <v>45111.0</v>
      </c>
      <c r="G16" s="307">
        <v>18592.0</v>
      </c>
      <c r="H16" s="340" t="s">
        <v>2525</v>
      </c>
      <c r="I16" s="310" t="s">
        <v>315</v>
      </c>
      <c r="J16" s="312" t="s">
        <v>2726</v>
      </c>
      <c r="K16" s="313" t="s">
        <v>322</v>
      </c>
      <c r="L16" s="383"/>
      <c r="M16" s="372"/>
    </row>
    <row r="17">
      <c r="A17" s="316">
        <v>14.0</v>
      </c>
      <c r="B17" s="307" t="s">
        <v>3953</v>
      </c>
      <c r="C17" s="307" t="s">
        <v>3754</v>
      </c>
      <c r="D17" s="310" t="s">
        <v>2746</v>
      </c>
      <c r="E17" s="323">
        <v>45029.0</v>
      </c>
      <c r="F17" s="307"/>
      <c r="G17" s="307">
        <v>2378.0</v>
      </c>
      <c r="H17" s="318" t="s">
        <v>3956</v>
      </c>
      <c r="I17" s="310" t="s">
        <v>1299</v>
      </c>
      <c r="J17" s="312" t="s">
        <v>3958</v>
      </c>
      <c r="K17" s="313" t="s">
        <v>2589</v>
      </c>
      <c r="L17" s="385" t="s">
        <v>3962</v>
      </c>
      <c r="M17" s="372" t="s">
        <v>3966</v>
      </c>
    </row>
    <row r="18" hidden="1">
      <c r="A18" s="316">
        <v>15.0</v>
      </c>
      <c r="B18" s="374" t="s">
        <v>2831</v>
      </c>
      <c r="C18" s="307" t="s">
        <v>3754</v>
      </c>
      <c r="D18" s="307" t="s">
        <v>2832</v>
      </c>
      <c r="E18" s="375">
        <v>45042.0</v>
      </c>
      <c r="F18" s="376">
        <v>45133.0</v>
      </c>
      <c r="G18" s="374">
        <v>6529.0</v>
      </c>
      <c r="H18" s="340" t="s">
        <v>2525</v>
      </c>
      <c r="I18" s="309" t="s">
        <v>315</v>
      </c>
      <c r="J18" s="312" t="s">
        <v>2833</v>
      </c>
      <c r="K18" s="218" t="s">
        <v>322</v>
      </c>
      <c r="L18" s="377"/>
      <c r="M18" s="372"/>
    </row>
    <row r="19" hidden="1">
      <c r="A19" s="316">
        <v>16.0</v>
      </c>
      <c r="B19" s="374" t="s">
        <v>3651</v>
      </c>
      <c r="C19" s="307" t="s">
        <v>3754</v>
      </c>
      <c r="D19" s="374" t="s">
        <v>3652</v>
      </c>
      <c r="E19" s="375">
        <v>45056.0</v>
      </c>
      <c r="F19" s="376">
        <v>45148.0</v>
      </c>
      <c r="G19" s="374">
        <v>28248.0</v>
      </c>
      <c r="H19" s="340" t="s">
        <v>2525</v>
      </c>
      <c r="I19" s="309" t="s">
        <v>205</v>
      </c>
      <c r="J19" s="387" t="s">
        <v>3653</v>
      </c>
      <c r="K19" s="218" t="s">
        <v>210</v>
      </c>
      <c r="L19" s="377"/>
      <c r="M19" s="372"/>
    </row>
    <row r="20" hidden="1">
      <c r="A20" s="316">
        <v>17.0</v>
      </c>
      <c r="B20" s="374" t="s">
        <v>3018</v>
      </c>
      <c r="C20" s="307" t="s">
        <v>3754</v>
      </c>
      <c r="D20" s="374" t="s">
        <v>3019</v>
      </c>
      <c r="E20" s="375">
        <v>45078.0</v>
      </c>
      <c r="F20" s="376">
        <v>45170.0</v>
      </c>
      <c r="G20" s="374">
        <v>6152.0</v>
      </c>
      <c r="H20" s="340" t="s">
        <v>2525</v>
      </c>
      <c r="I20" s="309" t="s">
        <v>172</v>
      </c>
      <c r="J20" s="312" t="s">
        <v>3982</v>
      </c>
      <c r="K20" s="218" t="s">
        <v>47</v>
      </c>
      <c r="L20" s="377"/>
      <c r="M20" s="372"/>
    </row>
    <row r="21" ht="15.75" hidden="1" customHeight="1">
      <c r="A21" s="316">
        <v>18.0</v>
      </c>
      <c r="B21" s="374" t="s">
        <v>3060</v>
      </c>
      <c r="C21" s="307" t="s">
        <v>3754</v>
      </c>
      <c r="D21" s="374" t="s">
        <v>3061</v>
      </c>
      <c r="E21" s="375">
        <v>45104.0</v>
      </c>
      <c r="F21" s="376">
        <v>45196.0</v>
      </c>
      <c r="G21" s="374">
        <v>11009.0</v>
      </c>
      <c r="H21" s="340" t="s">
        <v>2525</v>
      </c>
      <c r="I21" s="309" t="s">
        <v>140</v>
      </c>
      <c r="J21" s="312" t="s">
        <v>3989</v>
      </c>
      <c r="K21" s="309" t="s">
        <v>3064</v>
      </c>
      <c r="L21" s="377"/>
      <c r="M21" s="372"/>
    </row>
    <row r="22" ht="15.75" hidden="1" customHeight="1">
      <c r="A22" s="316">
        <v>19.0</v>
      </c>
      <c r="B22" s="374" t="s">
        <v>3166</v>
      </c>
      <c r="C22" s="307" t="s">
        <v>3754</v>
      </c>
      <c r="D22" s="374" t="s">
        <v>3167</v>
      </c>
      <c r="E22" s="375">
        <v>45159.0</v>
      </c>
      <c r="F22" s="374"/>
      <c r="G22" s="307">
        <v>19980.0</v>
      </c>
      <c r="H22" s="340" t="s">
        <v>2525</v>
      </c>
      <c r="I22" s="309" t="s">
        <v>172</v>
      </c>
      <c r="J22" s="312" t="s">
        <v>3168</v>
      </c>
      <c r="K22" s="309" t="s">
        <v>47</v>
      </c>
      <c r="L22" s="377"/>
      <c r="M22" s="372"/>
    </row>
    <row r="23" ht="15.75" hidden="1" customHeight="1">
      <c r="A23" s="316">
        <v>20.0</v>
      </c>
      <c r="B23" s="374" t="s">
        <v>3592</v>
      </c>
      <c r="C23" s="307" t="s">
        <v>3754</v>
      </c>
      <c r="D23" s="307" t="s">
        <v>3593</v>
      </c>
      <c r="E23" s="323">
        <v>45310.0</v>
      </c>
      <c r="F23" s="317">
        <v>45370.0</v>
      </c>
      <c r="G23" s="374" t="s">
        <v>3997</v>
      </c>
      <c r="H23" s="393" t="s">
        <v>3999</v>
      </c>
      <c r="I23" s="309" t="s">
        <v>773</v>
      </c>
      <c r="J23" s="387" t="s">
        <v>3594</v>
      </c>
      <c r="K23" s="309" t="s">
        <v>3596</v>
      </c>
      <c r="L23" s="377"/>
      <c r="M23" s="372"/>
    </row>
    <row r="24" ht="15.75" hidden="1" customHeight="1">
      <c r="A24" s="316">
        <v>21.0</v>
      </c>
      <c r="B24" s="374" t="s">
        <v>3704</v>
      </c>
      <c r="C24" s="307" t="s">
        <v>3754</v>
      </c>
      <c r="D24" s="307" t="s">
        <v>4004</v>
      </c>
      <c r="E24" s="323">
        <v>45366.0</v>
      </c>
      <c r="F24" s="307"/>
      <c r="G24" s="307"/>
      <c r="H24" s="318" t="s">
        <v>3778</v>
      </c>
      <c r="I24" s="309" t="s">
        <v>267</v>
      </c>
      <c r="J24" s="312" t="s">
        <v>4007</v>
      </c>
      <c r="K24" s="309" t="s">
        <v>47</v>
      </c>
      <c r="L24" s="330" t="s">
        <v>4008</v>
      </c>
      <c r="M24" s="372" t="s">
        <v>4010</v>
      </c>
    </row>
    <row r="25" ht="15.75" hidden="1" customHeight="1">
      <c r="A25" s="316">
        <v>22.0</v>
      </c>
      <c r="B25" s="307" t="s">
        <v>3832</v>
      </c>
      <c r="C25" s="307" t="s">
        <v>3754</v>
      </c>
      <c r="D25" s="307" t="s">
        <v>3833</v>
      </c>
      <c r="E25" s="323">
        <v>45448.0</v>
      </c>
      <c r="F25" s="395"/>
      <c r="G25" s="173">
        <v>9132.0</v>
      </c>
      <c r="H25" s="396" t="s">
        <v>3876</v>
      </c>
      <c r="I25" s="310" t="s">
        <v>921</v>
      </c>
      <c r="J25" s="312" t="s">
        <v>4017</v>
      </c>
      <c r="K25" s="310" t="s">
        <v>634</v>
      </c>
      <c r="L25" s="383" t="s">
        <v>4018</v>
      </c>
      <c r="M25" s="372" t="s">
        <v>3792</v>
      </c>
    </row>
    <row r="26" ht="15.75" hidden="1" customHeight="1">
      <c r="A26" s="316">
        <v>24.0</v>
      </c>
      <c r="B26" s="374" t="s">
        <v>4021</v>
      </c>
      <c r="C26" s="307" t="s">
        <v>3754</v>
      </c>
      <c r="D26" s="307" t="s">
        <v>4022</v>
      </c>
      <c r="E26" s="323">
        <v>45554.0</v>
      </c>
      <c r="F26" s="397">
        <v>45645.0</v>
      </c>
      <c r="G26" s="307">
        <v>35766.0</v>
      </c>
      <c r="H26" s="398" t="s">
        <v>84</v>
      </c>
      <c r="I26" s="309" t="s">
        <v>205</v>
      </c>
      <c r="J26" s="387" t="s">
        <v>4036</v>
      </c>
      <c r="K26" s="309" t="s">
        <v>210</v>
      </c>
      <c r="L26" s="377"/>
      <c r="M26" s="372"/>
    </row>
    <row r="27" ht="15.75" hidden="1" customHeight="1">
      <c r="A27" s="316"/>
      <c r="B27" s="307" t="s">
        <v>3832</v>
      </c>
      <c r="C27" s="307" t="s">
        <v>3754</v>
      </c>
      <c r="D27" s="307" t="s">
        <v>3833</v>
      </c>
      <c r="E27" s="323">
        <v>45448.0</v>
      </c>
      <c r="F27" s="399"/>
      <c r="G27" s="307">
        <v>9132.0</v>
      </c>
      <c r="H27" s="396" t="s">
        <v>4041</v>
      </c>
      <c r="I27" s="310" t="s">
        <v>921</v>
      </c>
      <c r="J27" s="312" t="s">
        <v>4017</v>
      </c>
      <c r="K27" s="310" t="s">
        <v>634</v>
      </c>
      <c r="L27" s="383" t="s">
        <v>4042</v>
      </c>
      <c r="M27" s="372" t="s">
        <v>3792</v>
      </c>
    </row>
    <row r="28" ht="15.75" hidden="1" customHeight="1">
      <c r="A28" s="316">
        <v>25.0</v>
      </c>
      <c r="B28" s="374" t="s">
        <v>4019</v>
      </c>
      <c r="C28" s="307" t="s">
        <v>3754</v>
      </c>
      <c r="D28" s="307" t="s">
        <v>4020</v>
      </c>
      <c r="E28" s="323">
        <v>45558.0</v>
      </c>
      <c r="F28" s="397">
        <v>45649.0</v>
      </c>
      <c r="G28" s="374">
        <v>23733.0</v>
      </c>
      <c r="H28" s="340" t="s">
        <v>2203</v>
      </c>
      <c r="I28" s="309" t="s">
        <v>315</v>
      </c>
      <c r="J28" s="387" t="s">
        <v>4024</v>
      </c>
      <c r="K28" s="309" t="s">
        <v>319</v>
      </c>
      <c r="L28" s="377"/>
      <c r="M28" s="372" t="s">
        <v>4010</v>
      </c>
    </row>
    <row r="29" ht="15.75" hidden="1" customHeight="1">
      <c r="A29" s="316">
        <v>26.0</v>
      </c>
      <c r="B29" s="374" t="s">
        <v>4049</v>
      </c>
      <c r="C29" s="307" t="s">
        <v>3754</v>
      </c>
      <c r="D29" s="374" t="s">
        <v>4050</v>
      </c>
      <c r="E29" s="308">
        <v>45574.0</v>
      </c>
      <c r="F29" s="317">
        <v>45666.0</v>
      </c>
      <c r="G29" s="333" t="s">
        <v>3706</v>
      </c>
      <c r="H29" s="401"/>
      <c r="I29" s="309" t="s">
        <v>43</v>
      </c>
      <c r="J29" s="387" t="s">
        <v>4056</v>
      </c>
      <c r="K29" s="309" t="s">
        <v>47</v>
      </c>
      <c r="L29" s="377"/>
      <c r="M29" s="372"/>
    </row>
    <row r="30" ht="15.75" hidden="1" customHeight="1">
      <c r="A30" s="316">
        <v>27.0</v>
      </c>
      <c r="B30" s="374" t="s">
        <v>4059</v>
      </c>
      <c r="C30" s="307" t="s">
        <v>3754</v>
      </c>
      <c r="D30" s="374" t="s">
        <v>4060</v>
      </c>
      <c r="E30" s="308">
        <v>45604.0</v>
      </c>
      <c r="F30" s="317">
        <v>45696.0</v>
      </c>
      <c r="G30" s="333" t="s">
        <v>3706</v>
      </c>
      <c r="H30" s="401"/>
      <c r="I30" s="309" t="s">
        <v>43</v>
      </c>
      <c r="J30" s="387" t="s">
        <v>4063</v>
      </c>
      <c r="K30" s="309" t="s">
        <v>47</v>
      </c>
      <c r="L30" s="377"/>
      <c r="M30" s="372"/>
    </row>
    <row r="31" ht="15.75" hidden="1" customHeight="1">
      <c r="A31" s="316">
        <v>28.0</v>
      </c>
      <c r="B31" s="374" t="s">
        <v>4067</v>
      </c>
      <c r="C31" s="307" t="s">
        <v>3754</v>
      </c>
      <c r="D31" s="374" t="s">
        <v>4069</v>
      </c>
      <c r="E31" s="308">
        <v>45604.0</v>
      </c>
      <c r="F31" s="317">
        <v>45696.0</v>
      </c>
      <c r="G31" s="374">
        <v>28029.0</v>
      </c>
      <c r="H31" s="340" t="s">
        <v>2203</v>
      </c>
      <c r="I31" s="309" t="s">
        <v>315</v>
      </c>
      <c r="J31" s="387" t="s">
        <v>4071</v>
      </c>
      <c r="K31" s="309" t="s">
        <v>1581</v>
      </c>
      <c r="L31" s="377"/>
      <c r="M31" s="372"/>
    </row>
    <row r="32" ht="15.75" hidden="1" customHeight="1">
      <c r="A32" s="316">
        <v>29.0</v>
      </c>
      <c r="B32" s="374" t="s">
        <v>4072</v>
      </c>
      <c r="C32" s="307" t="s">
        <v>3754</v>
      </c>
      <c r="D32" s="374" t="s">
        <v>4075</v>
      </c>
      <c r="E32" s="308">
        <v>45609.0</v>
      </c>
      <c r="F32" s="317">
        <v>45701.0</v>
      </c>
      <c r="G32" s="333" t="s">
        <v>3706</v>
      </c>
      <c r="H32" s="401"/>
      <c r="I32" s="309" t="s">
        <v>43</v>
      </c>
      <c r="J32" s="387" t="s">
        <v>4078</v>
      </c>
      <c r="K32" s="309" t="s">
        <v>47</v>
      </c>
      <c r="L32" s="377"/>
      <c r="M32" s="372"/>
    </row>
    <row r="33" ht="15.75" hidden="1" customHeight="1">
      <c r="A33" s="316">
        <v>30.0</v>
      </c>
      <c r="B33" s="374" t="s">
        <v>4082</v>
      </c>
      <c r="C33" s="307" t="s">
        <v>3754</v>
      </c>
      <c r="D33" s="307" t="s">
        <v>4086</v>
      </c>
      <c r="E33" s="308">
        <v>45617.0</v>
      </c>
      <c r="F33" s="317">
        <v>45709.0</v>
      </c>
      <c r="G33" s="333" t="s">
        <v>3706</v>
      </c>
      <c r="H33" s="401"/>
      <c r="I33" s="309" t="s">
        <v>1234</v>
      </c>
      <c r="J33" s="387" t="s">
        <v>4089</v>
      </c>
      <c r="K33" s="309" t="s">
        <v>4091</v>
      </c>
      <c r="L33" s="377"/>
      <c r="M33" s="372"/>
    </row>
    <row r="34" ht="15.75" hidden="1" customHeight="1">
      <c r="A34" s="316">
        <v>31.0</v>
      </c>
      <c r="B34" s="404" t="s">
        <v>4095</v>
      </c>
      <c r="C34" s="307" t="s">
        <v>3754</v>
      </c>
      <c r="D34" s="307" t="s">
        <v>4097</v>
      </c>
      <c r="E34" s="308">
        <v>45631.0</v>
      </c>
      <c r="F34" s="317">
        <v>45721.0</v>
      </c>
      <c r="G34" s="333" t="s">
        <v>3706</v>
      </c>
      <c r="H34" s="401"/>
      <c r="I34" s="309" t="s">
        <v>603</v>
      </c>
      <c r="J34" s="387" t="s">
        <v>4098</v>
      </c>
      <c r="K34" s="309" t="s">
        <v>610</v>
      </c>
      <c r="L34" s="377"/>
      <c r="M34" s="372"/>
    </row>
    <row r="35" ht="15.75" hidden="1" customHeight="1">
      <c r="A35" s="316">
        <v>32.0</v>
      </c>
      <c r="B35" s="374" t="s">
        <v>4099</v>
      </c>
      <c r="C35" s="307" t="s">
        <v>3754</v>
      </c>
      <c r="D35" s="307" t="s">
        <v>4100</v>
      </c>
      <c r="E35" s="308">
        <v>45631.0</v>
      </c>
      <c r="F35" s="317">
        <v>45721.0</v>
      </c>
      <c r="G35" s="374">
        <v>6457.0</v>
      </c>
      <c r="H35" s="340" t="s">
        <v>2525</v>
      </c>
      <c r="I35" s="309" t="s">
        <v>315</v>
      </c>
      <c r="J35" s="387" t="s">
        <v>4101</v>
      </c>
      <c r="K35" s="309" t="s">
        <v>4102</v>
      </c>
      <c r="L35" s="377"/>
      <c r="M35" s="372" t="s">
        <v>4010</v>
      </c>
    </row>
    <row r="36" ht="15.75" hidden="1" customHeight="1">
      <c r="A36" s="316">
        <v>33.0</v>
      </c>
      <c r="B36" s="374" t="s">
        <v>4104</v>
      </c>
      <c r="C36" s="307" t="s">
        <v>3754</v>
      </c>
      <c r="D36" s="374" t="s">
        <v>4107</v>
      </c>
      <c r="E36" s="323">
        <v>45698.0</v>
      </c>
      <c r="F36" s="317">
        <v>45787.0</v>
      </c>
      <c r="G36" s="374">
        <v>29564.0</v>
      </c>
      <c r="H36" s="340" t="s">
        <v>2525</v>
      </c>
      <c r="I36" s="309" t="s">
        <v>273</v>
      </c>
      <c r="J36" s="387" t="s">
        <v>4112</v>
      </c>
      <c r="K36" s="309" t="s">
        <v>277</v>
      </c>
      <c r="L36" s="377"/>
      <c r="M36" s="372"/>
    </row>
    <row r="37" ht="15.75" hidden="1" customHeight="1">
      <c r="A37" s="316">
        <v>34.0</v>
      </c>
      <c r="B37" s="374" t="s">
        <v>4114</v>
      </c>
      <c r="C37" s="307" t="s">
        <v>3754</v>
      </c>
      <c r="D37" s="307" t="s">
        <v>4116</v>
      </c>
      <c r="E37" s="323">
        <v>45714.0</v>
      </c>
      <c r="F37" s="317">
        <v>45803.0</v>
      </c>
      <c r="G37" s="333" t="s">
        <v>3706</v>
      </c>
      <c r="H37" s="401"/>
      <c r="I37" s="309" t="s">
        <v>43</v>
      </c>
      <c r="J37" s="387" t="s">
        <v>4119</v>
      </c>
      <c r="K37" s="309" t="s">
        <v>47</v>
      </c>
      <c r="L37" s="377"/>
      <c r="M37" s="407" t="s">
        <v>4121</v>
      </c>
    </row>
    <row r="38" ht="15.75" hidden="1" customHeight="1">
      <c r="A38" s="316">
        <v>35.0</v>
      </c>
      <c r="B38" s="374" t="s">
        <v>4124</v>
      </c>
      <c r="C38" s="307" t="s">
        <v>3754</v>
      </c>
      <c r="D38" s="307" t="s">
        <v>4125</v>
      </c>
      <c r="E38" s="323">
        <v>45726.0</v>
      </c>
      <c r="F38" s="317">
        <v>45818.0</v>
      </c>
      <c r="G38" s="374">
        <v>36405.0</v>
      </c>
      <c r="H38" s="340" t="s">
        <v>2525</v>
      </c>
      <c r="I38" s="309" t="s">
        <v>603</v>
      </c>
      <c r="J38" s="387" t="s">
        <v>4130</v>
      </c>
      <c r="K38" s="309" t="s">
        <v>610</v>
      </c>
      <c r="L38" s="377"/>
      <c r="M38" s="372" t="s">
        <v>4131</v>
      </c>
    </row>
    <row r="39" ht="15.75" hidden="1" customHeight="1">
      <c r="A39" s="316">
        <v>37.0</v>
      </c>
      <c r="B39" s="374" t="s">
        <v>4133</v>
      </c>
      <c r="C39" s="307" t="s">
        <v>3754</v>
      </c>
      <c r="D39" s="374" t="s">
        <v>4135</v>
      </c>
      <c r="E39" s="323">
        <v>45772.0</v>
      </c>
      <c r="F39" s="317">
        <v>45863.0</v>
      </c>
      <c r="G39" s="374">
        <v>33334.0</v>
      </c>
      <c r="H39" s="340" t="s">
        <v>2525</v>
      </c>
      <c r="I39" s="309" t="s">
        <v>656</v>
      </c>
      <c r="J39" s="387" t="s">
        <v>4137</v>
      </c>
      <c r="K39" s="309" t="s">
        <v>659</v>
      </c>
      <c r="L39" s="377"/>
      <c r="M39" s="372" t="s">
        <v>4139</v>
      </c>
    </row>
    <row r="40" ht="15.75" hidden="1" customHeight="1">
      <c r="A40" s="316">
        <v>38.0</v>
      </c>
      <c r="B40" s="374" t="s">
        <v>4141</v>
      </c>
      <c r="C40" s="307" t="s">
        <v>3754</v>
      </c>
      <c r="D40" s="374" t="s">
        <v>4142</v>
      </c>
      <c r="E40" s="323">
        <v>45776.0</v>
      </c>
      <c r="F40" s="317">
        <v>45867.0</v>
      </c>
      <c r="G40" s="333" t="s">
        <v>3706</v>
      </c>
      <c r="H40" s="401"/>
      <c r="I40" s="309" t="s">
        <v>43</v>
      </c>
      <c r="J40" s="387" t="s">
        <v>4144</v>
      </c>
      <c r="K40" s="309" t="s">
        <v>47</v>
      </c>
      <c r="L40" s="377"/>
      <c r="M40" s="372" t="s">
        <v>4146</v>
      </c>
    </row>
    <row r="41" ht="15.75" hidden="1" customHeight="1">
      <c r="A41" s="316">
        <v>39.0</v>
      </c>
      <c r="B41" s="374" t="s">
        <v>4147</v>
      </c>
      <c r="C41" s="307" t="s">
        <v>3754</v>
      </c>
      <c r="D41" s="14" t="s">
        <v>4150</v>
      </c>
      <c r="E41" s="323">
        <v>45810.0</v>
      </c>
      <c r="F41" s="307"/>
      <c r="G41" s="374">
        <v>33456.0</v>
      </c>
      <c r="H41" s="340" t="s">
        <v>2525</v>
      </c>
      <c r="I41" s="309" t="s">
        <v>506</v>
      </c>
      <c r="J41" s="387" t="s">
        <v>4153</v>
      </c>
      <c r="K41" s="309" t="s">
        <v>839</v>
      </c>
      <c r="L41" s="377"/>
      <c r="M41" s="372" t="s">
        <v>4146</v>
      </c>
    </row>
    <row r="42" ht="15.75" hidden="1" customHeight="1">
      <c r="A42" s="316">
        <v>40.0</v>
      </c>
      <c r="B42" s="374" t="s">
        <v>4155</v>
      </c>
      <c r="C42" s="307" t="s">
        <v>3754</v>
      </c>
      <c r="D42" s="14" t="s">
        <v>4156</v>
      </c>
      <c r="E42" s="323">
        <v>45811.0</v>
      </c>
      <c r="F42" s="307"/>
      <c r="G42" s="413">
        <v>34894.0</v>
      </c>
      <c r="H42" s="340" t="s">
        <v>2525</v>
      </c>
      <c r="I42" s="309" t="s">
        <v>85</v>
      </c>
      <c r="J42" s="387" t="s">
        <v>4167</v>
      </c>
      <c r="K42" s="309" t="s">
        <v>4168</v>
      </c>
      <c r="L42" s="414"/>
      <c r="M42" s="372" t="s">
        <v>4139</v>
      </c>
    </row>
    <row r="43" ht="15.75" hidden="1" customHeight="1">
      <c r="A43" s="307">
        <v>41.0</v>
      </c>
      <c r="B43" s="307" t="s">
        <v>159</v>
      </c>
      <c r="C43" s="307" t="s">
        <v>4171</v>
      </c>
      <c r="D43" s="307" t="s">
        <v>161</v>
      </c>
      <c r="E43" s="323">
        <v>44995.0</v>
      </c>
      <c r="F43" s="415"/>
      <c r="G43" s="307">
        <v>17634.0</v>
      </c>
      <c r="H43" s="396" t="s">
        <v>3956</v>
      </c>
      <c r="I43" s="310" t="s">
        <v>43</v>
      </c>
      <c r="J43" s="312" t="s">
        <v>4175</v>
      </c>
      <c r="K43" s="383" t="s">
        <v>47</v>
      </c>
      <c r="L43" s="416" t="s">
        <v>4178</v>
      </c>
      <c r="M43" s="417" t="s">
        <v>4180</v>
      </c>
    </row>
    <row r="44" ht="15.75" hidden="1" customHeight="1">
      <c r="A44" s="316">
        <v>42.0</v>
      </c>
      <c r="B44" s="307" t="s">
        <v>263</v>
      </c>
      <c r="C44" s="307" t="s">
        <v>4171</v>
      </c>
      <c r="D44" s="307" t="s">
        <v>264</v>
      </c>
      <c r="E44" s="323">
        <v>45159.0</v>
      </c>
      <c r="F44" s="418"/>
      <c r="G44" s="307">
        <v>7277.0</v>
      </c>
      <c r="H44" s="396" t="s">
        <v>4192</v>
      </c>
      <c r="I44" s="310" t="s">
        <v>267</v>
      </c>
      <c r="J44" s="312" t="s">
        <v>268</v>
      </c>
      <c r="K44" s="383" t="s">
        <v>125</v>
      </c>
      <c r="L44" s="416" t="s">
        <v>4178</v>
      </c>
      <c r="M44" s="417"/>
    </row>
    <row r="45" ht="15.75" hidden="1" customHeight="1">
      <c r="A45" s="316">
        <v>43.0</v>
      </c>
      <c r="B45" s="307" t="s">
        <v>1620</v>
      </c>
      <c r="C45" s="307" t="s">
        <v>4197</v>
      </c>
      <c r="D45" s="307" t="s">
        <v>1623</v>
      </c>
      <c r="E45" s="323">
        <v>45440.0</v>
      </c>
      <c r="F45" s="307"/>
      <c r="G45" s="307">
        <v>27733.0</v>
      </c>
      <c r="H45" s="396" t="s">
        <v>3876</v>
      </c>
      <c r="I45" s="419" t="s">
        <v>315</v>
      </c>
      <c r="J45" s="312" t="s">
        <v>4201</v>
      </c>
      <c r="K45" s="351" t="s">
        <v>322</v>
      </c>
      <c r="L45" s="420" t="s">
        <v>4202</v>
      </c>
      <c r="M45" s="313" t="s">
        <v>4204</v>
      </c>
    </row>
    <row r="46" ht="15.75" hidden="1" customHeight="1">
      <c r="A46" s="316">
        <v>44.0</v>
      </c>
      <c r="B46" s="307" t="s">
        <v>224</v>
      </c>
      <c r="C46" s="307" t="s">
        <v>4208</v>
      </c>
      <c r="D46" s="307" t="s">
        <v>226</v>
      </c>
      <c r="E46" s="323">
        <v>44938.0</v>
      </c>
      <c r="F46" s="307"/>
      <c r="G46" s="307">
        <v>28025.0</v>
      </c>
      <c r="H46" s="318" t="s">
        <v>3778</v>
      </c>
      <c r="I46" s="310" t="s">
        <v>76</v>
      </c>
      <c r="J46" s="421" t="s">
        <v>4212</v>
      </c>
      <c r="K46" s="422" t="s">
        <v>1200</v>
      </c>
      <c r="L46" s="424" t="s">
        <v>4218</v>
      </c>
      <c r="M46" s="425" t="s">
        <v>4010</v>
      </c>
    </row>
    <row r="47" ht="29.25" hidden="1" customHeight="1">
      <c r="A47" s="224">
        <v>45.0</v>
      </c>
      <c r="B47" s="197" t="s">
        <v>3889</v>
      </c>
      <c r="C47" s="197" t="s">
        <v>3754</v>
      </c>
      <c r="D47" s="176" t="s">
        <v>4222</v>
      </c>
      <c r="E47" s="427">
        <v>45469.0</v>
      </c>
      <c r="F47" s="176"/>
      <c r="G47" s="171">
        <v>11737.0</v>
      </c>
      <c r="H47" s="416" t="s">
        <v>3876</v>
      </c>
      <c r="I47" s="429" t="s">
        <v>2273</v>
      </c>
      <c r="J47" s="198" t="s">
        <v>4233</v>
      </c>
      <c r="K47" s="429" t="s">
        <v>2854</v>
      </c>
      <c r="L47" s="420" t="s">
        <v>4235</v>
      </c>
      <c r="M47" s="429" t="s">
        <v>4236</v>
      </c>
    </row>
    <row r="48" ht="15.75" hidden="1" customHeight="1">
      <c r="A48" s="176">
        <v>46.0</v>
      </c>
      <c r="B48" s="197" t="s">
        <v>1797</v>
      </c>
      <c r="C48" s="197" t="s">
        <v>4239</v>
      </c>
      <c r="D48" s="176" t="s">
        <v>1798</v>
      </c>
      <c r="E48" s="427">
        <v>44977.0</v>
      </c>
      <c r="F48" s="176"/>
      <c r="G48" s="197">
        <v>32741.0</v>
      </c>
      <c r="H48" s="416" t="s">
        <v>3876</v>
      </c>
      <c r="I48" s="358" t="s">
        <v>205</v>
      </c>
      <c r="J48" s="432" t="s">
        <v>1802</v>
      </c>
      <c r="K48" s="429" t="s">
        <v>4245</v>
      </c>
      <c r="L48" s="420" t="s">
        <v>4246</v>
      </c>
      <c r="M48" s="429" t="s">
        <v>4247</v>
      </c>
      <c r="N48" s="198"/>
      <c r="O48" s="198"/>
      <c r="P48" s="198"/>
      <c r="Q48" s="198"/>
      <c r="R48" s="198"/>
      <c r="S48" s="198"/>
      <c r="T48" s="198"/>
      <c r="U48" s="198"/>
      <c r="V48" s="198"/>
      <c r="W48" s="198"/>
      <c r="X48" s="198"/>
      <c r="Y48" s="198"/>
      <c r="Z48" s="198"/>
    </row>
    <row r="49" ht="15.75" hidden="1" customHeight="1">
      <c r="A49" s="176">
        <v>47.0</v>
      </c>
      <c r="B49" s="358" t="s">
        <v>2956</v>
      </c>
      <c r="C49" s="197" t="s">
        <v>4259</v>
      </c>
      <c r="D49" s="176" t="s">
        <v>2957</v>
      </c>
      <c r="E49" s="427">
        <v>45191.0</v>
      </c>
      <c r="F49" s="176"/>
      <c r="G49" s="197">
        <v>17493.0</v>
      </c>
      <c r="H49" s="416" t="s">
        <v>3876</v>
      </c>
      <c r="I49" s="358" t="s">
        <v>205</v>
      </c>
      <c r="J49" s="432" t="s">
        <v>4260</v>
      </c>
      <c r="K49" s="429" t="s">
        <v>4245</v>
      </c>
      <c r="L49" s="437" t="s">
        <v>4218</v>
      </c>
      <c r="M49" s="429" t="s">
        <v>4247</v>
      </c>
      <c r="N49" s="198"/>
      <c r="O49" s="198"/>
      <c r="P49" s="198"/>
      <c r="Q49" s="198"/>
      <c r="R49" s="198"/>
      <c r="S49" s="198"/>
      <c r="T49" s="198"/>
      <c r="U49" s="198"/>
      <c r="V49" s="198"/>
      <c r="W49" s="198"/>
      <c r="X49" s="198"/>
      <c r="Y49" s="198"/>
      <c r="Z49" s="198"/>
    </row>
    <row r="50" ht="15.75" hidden="1" customHeight="1">
      <c r="A50" s="224">
        <v>48.0</v>
      </c>
      <c r="B50" s="358" t="s">
        <v>3300</v>
      </c>
      <c r="C50" s="158" t="s">
        <v>3754</v>
      </c>
      <c r="D50" s="176" t="s">
        <v>4266</v>
      </c>
      <c r="E50" s="439">
        <v>45329.0</v>
      </c>
      <c r="F50" s="224"/>
      <c r="G50" s="440">
        <v>20979.0</v>
      </c>
      <c r="H50" s="416" t="s">
        <v>3876</v>
      </c>
      <c r="I50" s="358" t="s">
        <v>205</v>
      </c>
      <c r="J50" s="441" t="s">
        <v>4272</v>
      </c>
      <c r="K50" s="429" t="s">
        <v>4245</v>
      </c>
      <c r="L50" s="437" t="s">
        <v>4218</v>
      </c>
      <c r="M50" s="442" t="s">
        <v>4275</v>
      </c>
    </row>
    <row r="51" ht="15.75" hidden="1" customHeight="1">
      <c r="A51" s="224">
        <v>49.0</v>
      </c>
      <c r="B51" s="75" t="s">
        <v>3523</v>
      </c>
      <c r="C51" s="75" t="s">
        <v>3754</v>
      </c>
      <c r="D51" s="238" t="s">
        <v>3524</v>
      </c>
      <c r="E51" s="444">
        <v>45279.0</v>
      </c>
      <c r="F51" s="445"/>
      <c r="G51" s="75">
        <v>12292.0</v>
      </c>
      <c r="H51" s="446" t="s">
        <v>3778</v>
      </c>
      <c r="I51" s="449" t="s">
        <v>85</v>
      </c>
      <c r="J51" s="441" t="s">
        <v>4281</v>
      </c>
      <c r="K51" s="442" t="s">
        <v>551</v>
      </c>
      <c r="L51" s="437" t="s">
        <v>4218</v>
      </c>
      <c r="M51" s="226"/>
    </row>
    <row r="52" ht="15.75" hidden="1" customHeight="1">
      <c r="A52" s="224">
        <v>50.0</v>
      </c>
      <c r="B52" s="14" t="s">
        <v>4284</v>
      </c>
      <c r="C52" s="440" t="s">
        <v>3754</v>
      </c>
      <c r="D52" s="224"/>
      <c r="E52" s="451"/>
      <c r="F52" s="224"/>
      <c r="G52" s="198">
        <v>13516.0</v>
      </c>
      <c r="H52" s="340" t="s">
        <v>2203</v>
      </c>
      <c r="I52" s="50" t="s">
        <v>43</v>
      </c>
      <c r="J52" s="452" t="s">
        <v>4293</v>
      </c>
      <c r="K52" s="226" t="s">
        <v>47</v>
      </c>
      <c r="L52" s="226"/>
      <c r="M52" s="226" t="s">
        <v>4295</v>
      </c>
    </row>
    <row r="53" ht="15.75" hidden="1" customHeight="1">
      <c r="A53" s="224">
        <v>51.0</v>
      </c>
      <c r="B53" s="14" t="s">
        <v>4296</v>
      </c>
      <c r="C53" s="440" t="s">
        <v>3754</v>
      </c>
      <c r="D53" s="224"/>
      <c r="E53" s="451"/>
      <c r="F53" s="224"/>
      <c r="G53" s="14">
        <v>23731.0</v>
      </c>
      <c r="H53" s="340" t="s">
        <v>2525</v>
      </c>
      <c r="I53" s="50" t="s">
        <v>4297</v>
      </c>
      <c r="J53" s="80" t="s">
        <v>4298</v>
      </c>
      <c r="K53" s="442" t="s">
        <v>496</v>
      </c>
      <c r="L53" s="437" t="s">
        <v>4218</v>
      </c>
      <c r="M53" s="453" t="s">
        <v>4300</v>
      </c>
    </row>
    <row r="54" ht="15.75" hidden="1" customHeight="1">
      <c r="A54" s="224">
        <v>52.0</v>
      </c>
      <c r="B54" s="14" t="s">
        <v>4304</v>
      </c>
      <c r="C54" s="440" t="s">
        <v>3754</v>
      </c>
      <c r="D54" s="440" t="s">
        <v>3706</v>
      </c>
      <c r="E54" s="451"/>
      <c r="F54" s="224"/>
      <c r="G54" s="14">
        <v>10267.0</v>
      </c>
      <c r="H54" s="243" t="s">
        <v>4307</v>
      </c>
      <c r="I54" s="14" t="s">
        <v>603</v>
      </c>
      <c r="J54" s="80" t="s">
        <v>4309</v>
      </c>
      <c r="K54" s="441" t="s">
        <v>4312</v>
      </c>
      <c r="L54" s="226"/>
      <c r="M54" s="441" t="s">
        <v>4247</v>
      </c>
    </row>
    <row r="55" ht="15.75" hidden="1" customHeight="1">
      <c r="A55" s="224">
        <v>53.0</v>
      </c>
      <c r="B55" s="455" t="s">
        <v>4315</v>
      </c>
      <c r="C55" s="440" t="s">
        <v>3754</v>
      </c>
      <c r="D55" s="440" t="s">
        <v>3706</v>
      </c>
      <c r="E55" s="456">
        <v>45789.0</v>
      </c>
      <c r="F55" s="440"/>
      <c r="G55" s="440">
        <v>34785.0</v>
      </c>
      <c r="H55" s="457" t="s">
        <v>3778</v>
      </c>
      <c r="I55" s="458" t="s">
        <v>1566</v>
      </c>
      <c r="J55" s="458" t="s">
        <v>4323</v>
      </c>
      <c r="K55" s="458"/>
      <c r="L55" s="459" t="s">
        <v>4325</v>
      </c>
      <c r="M55" s="460" t="s">
        <v>4327</v>
      </c>
    </row>
    <row r="56" ht="15.75" hidden="1" customHeight="1">
      <c r="A56" s="224">
        <v>54.0</v>
      </c>
      <c r="B56" s="197" t="s">
        <v>3889</v>
      </c>
      <c r="C56" s="197" t="s">
        <v>3754</v>
      </c>
      <c r="D56" s="197" t="s">
        <v>3706</v>
      </c>
      <c r="E56" s="50"/>
      <c r="F56" s="197"/>
      <c r="G56" s="197">
        <v>11737.0</v>
      </c>
      <c r="H56" s="416" t="s">
        <v>3778</v>
      </c>
      <c r="I56" s="218" t="s">
        <v>2273</v>
      </c>
      <c r="J56" s="461" t="s">
        <v>4330</v>
      </c>
      <c r="K56" s="218" t="s">
        <v>2854</v>
      </c>
      <c r="L56" s="462" t="s">
        <v>4325</v>
      </c>
      <c r="M56" s="218" t="s">
        <v>4334</v>
      </c>
    </row>
    <row r="57" ht="15.75" hidden="1" customHeight="1">
      <c r="A57" s="224">
        <v>55.0</v>
      </c>
      <c r="B57" s="197" t="s">
        <v>1773</v>
      </c>
      <c r="C57" s="197" t="s">
        <v>4197</v>
      </c>
      <c r="D57" s="197" t="s">
        <v>3706</v>
      </c>
      <c r="E57" s="50"/>
      <c r="F57" s="197"/>
      <c r="G57" s="197">
        <v>8741.0</v>
      </c>
      <c r="H57" s="416" t="s">
        <v>3876</v>
      </c>
      <c r="I57" s="218" t="s">
        <v>172</v>
      </c>
      <c r="J57" s="461" t="s">
        <v>1777</v>
      </c>
      <c r="K57" s="218" t="s">
        <v>316</v>
      </c>
      <c r="L57" s="462" t="s">
        <v>4325</v>
      </c>
      <c r="M57" s="218" t="s">
        <v>4129</v>
      </c>
    </row>
    <row r="58" ht="15.75" hidden="1" customHeight="1">
      <c r="A58" s="224">
        <v>56.0</v>
      </c>
      <c r="B58" s="197" t="s">
        <v>1831</v>
      </c>
      <c r="C58" s="197" t="s">
        <v>4197</v>
      </c>
      <c r="D58" s="197" t="s">
        <v>3706</v>
      </c>
      <c r="E58" s="464">
        <v>45917.0</v>
      </c>
      <c r="F58" s="176"/>
      <c r="G58" s="176">
        <v>9188.0</v>
      </c>
      <c r="H58" s="416" t="s">
        <v>3876</v>
      </c>
      <c r="I58" s="429" t="s">
        <v>43</v>
      </c>
      <c r="J58" s="465" t="s">
        <v>1836</v>
      </c>
      <c r="K58" s="429" t="s">
        <v>1838</v>
      </c>
      <c r="L58" s="462" t="s">
        <v>4325</v>
      </c>
      <c r="M58" s="429" t="s">
        <v>4334</v>
      </c>
    </row>
    <row r="59" ht="15.75" hidden="1" customHeight="1">
      <c r="A59" s="224">
        <v>57.0</v>
      </c>
      <c r="B59" s="158"/>
      <c r="C59" s="158"/>
      <c r="D59" s="224"/>
      <c r="E59" s="451"/>
      <c r="F59" s="224"/>
      <c r="G59" s="224"/>
      <c r="H59" s="468"/>
      <c r="I59" s="226"/>
      <c r="J59" s="469"/>
      <c r="K59" s="226"/>
      <c r="L59" s="226"/>
      <c r="M59" s="226"/>
    </row>
    <row r="60" ht="15.75" customHeight="1">
      <c r="A60" s="224"/>
      <c r="B60" s="158"/>
      <c r="C60" s="158"/>
      <c r="D60" s="224"/>
      <c r="E60" s="451"/>
      <c r="F60" s="224"/>
      <c r="G60" s="224"/>
      <c r="H60" s="468"/>
      <c r="I60" s="226"/>
      <c r="J60" s="469"/>
      <c r="K60" s="226"/>
      <c r="L60" s="226"/>
      <c r="M60" s="226"/>
    </row>
    <row r="61" ht="15.75" customHeight="1">
      <c r="A61" s="224"/>
      <c r="B61" s="158"/>
      <c r="C61" s="158"/>
      <c r="D61" s="224"/>
      <c r="E61" s="451"/>
      <c r="F61" s="224"/>
      <c r="G61" s="224"/>
      <c r="H61" s="468"/>
      <c r="I61" s="226"/>
      <c r="J61" s="469"/>
      <c r="K61" s="226"/>
      <c r="L61" s="226"/>
      <c r="M61" s="226"/>
    </row>
    <row r="62" ht="15.75" customHeight="1">
      <c r="A62" s="224"/>
      <c r="B62" s="158"/>
      <c r="C62" s="158"/>
      <c r="D62" s="224"/>
      <c r="E62" s="451"/>
      <c r="F62" s="224"/>
      <c r="G62" s="224"/>
      <c r="H62" s="468"/>
      <c r="I62" s="226"/>
      <c r="J62" s="469"/>
      <c r="K62" s="226"/>
      <c r="L62" s="226"/>
      <c r="M62" s="226"/>
    </row>
    <row r="63" ht="15.75" customHeight="1">
      <c r="A63" s="224"/>
      <c r="B63" s="158"/>
      <c r="C63" s="158"/>
      <c r="D63" s="224"/>
      <c r="E63" s="451"/>
      <c r="F63" s="224"/>
      <c r="G63" s="224"/>
      <c r="H63" s="468"/>
      <c r="I63" s="226"/>
      <c r="J63" s="469"/>
      <c r="K63" s="226"/>
      <c r="L63" s="226"/>
      <c r="M63" s="226"/>
    </row>
    <row r="64" ht="15.75" customHeight="1">
      <c r="A64" s="224"/>
      <c r="B64" s="158"/>
      <c r="C64" s="158"/>
      <c r="D64" s="224"/>
      <c r="E64" s="451"/>
      <c r="F64" s="224"/>
      <c r="G64" s="224"/>
      <c r="H64" s="468"/>
      <c r="I64" s="226"/>
      <c r="J64" s="469"/>
      <c r="K64" s="226"/>
      <c r="L64" s="226"/>
      <c r="M64" s="226"/>
    </row>
    <row r="65" ht="15.75" customHeight="1">
      <c r="B65" s="217"/>
      <c r="C65" s="217"/>
      <c r="E65" s="296"/>
      <c r="H65" s="297"/>
      <c r="I65" s="298"/>
      <c r="J65" s="299"/>
      <c r="K65" s="298"/>
      <c r="L65" s="298"/>
      <c r="M65" s="298"/>
    </row>
    <row r="66" ht="15.75" customHeight="1">
      <c r="B66" s="217"/>
      <c r="C66" s="217"/>
      <c r="E66" s="296"/>
      <c r="H66" s="297"/>
      <c r="I66" s="298"/>
      <c r="J66" s="299"/>
      <c r="K66" s="298"/>
      <c r="L66" s="298"/>
      <c r="M66" s="298"/>
    </row>
    <row r="67" ht="15.75" customHeight="1">
      <c r="B67" s="217"/>
      <c r="C67" s="217"/>
      <c r="E67" s="296"/>
      <c r="H67" s="297"/>
      <c r="I67" s="298"/>
      <c r="J67" s="299"/>
      <c r="K67" s="298"/>
      <c r="L67" s="298"/>
      <c r="M67" s="298"/>
    </row>
    <row r="68" ht="15.75" customHeight="1">
      <c r="B68" s="217"/>
      <c r="C68" s="217"/>
      <c r="E68" s="296"/>
      <c r="H68" s="297"/>
      <c r="I68" s="298"/>
      <c r="J68" s="299"/>
      <c r="K68" s="298"/>
      <c r="L68" s="298"/>
      <c r="M68" s="298"/>
    </row>
    <row r="69" ht="15.75" customHeight="1">
      <c r="B69" s="217"/>
      <c r="C69" s="217"/>
      <c r="E69" s="296"/>
      <c r="H69" s="297"/>
      <c r="I69" s="298"/>
      <c r="J69" s="299"/>
      <c r="K69" s="298"/>
      <c r="L69" s="298"/>
      <c r="M69" s="298"/>
    </row>
    <row r="70" ht="15.75" customHeight="1">
      <c r="B70" s="217"/>
      <c r="C70" s="217"/>
      <c r="E70" s="296"/>
      <c r="H70" s="297"/>
      <c r="I70" s="298"/>
      <c r="J70" s="299"/>
      <c r="K70" s="298"/>
      <c r="L70" s="298"/>
      <c r="M70" s="298"/>
    </row>
    <row r="71" ht="15.75" customHeight="1">
      <c r="B71" s="217"/>
      <c r="C71" s="217"/>
      <c r="E71" s="296"/>
      <c r="H71" s="297"/>
      <c r="I71" s="298"/>
      <c r="J71" s="299"/>
      <c r="K71" s="298"/>
      <c r="L71" s="298"/>
      <c r="M71" s="298"/>
    </row>
    <row r="72" ht="15.75" customHeight="1">
      <c r="B72" s="217"/>
      <c r="C72" s="217"/>
      <c r="E72" s="296"/>
      <c r="H72" s="297"/>
      <c r="I72" s="298"/>
      <c r="J72" s="299"/>
      <c r="K72" s="298"/>
      <c r="L72" s="298"/>
      <c r="M72" s="298"/>
    </row>
    <row r="73" ht="15.75" customHeight="1">
      <c r="B73" s="217"/>
      <c r="C73" s="217"/>
      <c r="E73" s="296"/>
      <c r="H73" s="297"/>
      <c r="I73" s="298"/>
      <c r="J73" s="299"/>
      <c r="K73" s="298"/>
      <c r="L73" s="298"/>
      <c r="M73" s="298"/>
    </row>
    <row r="74" ht="15.75" customHeight="1">
      <c r="B74" s="217"/>
      <c r="C74" s="217"/>
      <c r="E74" s="296"/>
      <c r="H74" s="297"/>
      <c r="I74" s="298"/>
      <c r="J74" s="299"/>
      <c r="K74" s="298"/>
      <c r="L74" s="298"/>
      <c r="M74" s="298"/>
    </row>
    <row r="75" ht="15.75" customHeight="1">
      <c r="B75" s="217"/>
      <c r="C75" s="217"/>
      <c r="E75" s="296"/>
      <c r="H75" s="297"/>
      <c r="I75" s="298"/>
      <c r="J75" s="299"/>
      <c r="K75" s="298"/>
      <c r="L75" s="298"/>
      <c r="M75" s="298"/>
    </row>
    <row r="76" ht="15.75" customHeight="1">
      <c r="B76" s="217"/>
      <c r="C76" s="217"/>
      <c r="E76" s="296"/>
      <c r="H76" s="297"/>
      <c r="I76" s="298"/>
      <c r="J76" s="299"/>
      <c r="K76" s="298"/>
      <c r="L76" s="298"/>
      <c r="M76" s="298"/>
    </row>
    <row r="77" ht="15.75" customHeight="1">
      <c r="B77" s="217"/>
      <c r="C77" s="217"/>
      <c r="E77" s="296"/>
      <c r="H77" s="297"/>
      <c r="I77" s="298"/>
      <c r="J77" s="299"/>
      <c r="K77" s="298"/>
      <c r="L77" s="298"/>
      <c r="M77" s="298"/>
    </row>
    <row r="78" ht="15.75" customHeight="1">
      <c r="B78" s="217"/>
      <c r="C78" s="217"/>
      <c r="E78" s="296"/>
      <c r="H78" s="297"/>
      <c r="I78" s="298"/>
      <c r="J78" s="299"/>
      <c r="K78" s="298"/>
      <c r="L78" s="298"/>
      <c r="M78" s="298"/>
    </row>
    <row r="79" ht="15.75" customHeight="1">
      <c r="B79" s="217"/>
      <c r="C79" s="217"/>
      <c r="E79" s="296"/>
      <c r="H79" s="297"/>
      <c r="I79" s="298"/>
      <c r="J79" s="299"/>
      <c r="K79" s="298"/>
      <c r="L79" s="298"/>
      <c r="M79" s="298"/>
    </row>
    <row r="80" ht="15.75" customHeight="1">
      <c r="B80" s="217"/>
      <c r="C80" s="217"/>
      <c r="E80" s="296"/>
      <c r="H80" s="297"/>
      <c r="I80" s="298"/>
      <c r="J80" s="299"/>
      <c r="K80" s="298"/>
      <c r="L80" s="298"/>
      <c r="M80" s="298"/>
    </row>
    <row r="81" ht="15.75" customHeight="1">
      <c r="B81" s="217"/>
      <c r="C81" s="217"/>
      <c r="E81" s="296"/>
      <c r="H81" s="297"/>
      <c r="I81" s="298"/>
      <c r="J81" s="299"/>
      <c r="K81" s="298"/>
      <c r="L81" s="298"/>
      <c r="M81" s="298"/>
    </row>
    <row r="82" ht="15.75" customHeight="1">
      <c r="B82" s="217"/>
      <c r="C82" s="217"/>
      <c r="E82" s="296"/>
      <c r="H82" s="297"/>
      <c r="I82" s="298"/>
      <c r="J82" s="299"/>
      <c r="K82" s="298"/>
      <c r="L82" s="298"/>
      <c r="M82" s="298"/>
    </row>
    <row r="83" ht="15.75" customHeight="1">
      <c r="B83" s="217"/>
      <c r="C83" s="217"/>
      <c r="E83" s="296"/>
      <c r="H83" s="297"/>
      <c r="I83" s="298"/>
      <c r="J83" s="299"/>
      <c r="K83" s="298"/>
      <c r="L83" s="298"/>
      <c r="M83" s="298"/>
    </row>
    <row r="84" ht="15.75" customHeight="1">
      <c r="B84" s="217"/>
      <c r="C84" s="217"/>
      <c r="E84" s="296"/>
      <c r="H84" s="297"/>
      <c r="I84" s="298"/>
      <c r="J84" s="299"/>
      <c r="K84" s="298"/>
      <c r="L84" s="298"/>
      <c r="M84" s="298"/>
    </row>
    <row r="85" ht="15.75" customHeight="1">
      <c r="B85" s="217"/>
      <c r="C85" s="217"/>
      <c r="E85" s="296"/>
      <c r="H85" s="297"/>
      <c r="I85" s="298"/>
      <c r="J85" s="299"/>
      <c r="K85" s="298"/>
      <c r="L85" s="298"/>
      <c r="M85" s="298"/>
    </row>
    <row r="86" ht="15.75" customHeight="1">
      <c r="B86" s="217"/>
      <c r="C86" s="217"/>
      <c r="E86" s="296"/>
      <c r="H86" s="297"/>
      <c r="I86" s="298"/>
      <c r="J86" s="299"/>
      <c r="K86" s="298"/>
      <c r="L86" s="298"/>
      <c r="M86" s="298"/>
    </row>
    <row r="87" ht="15.75" customHeight="1">
      <c r="B87" s="217"/>
      <c r="C87" s="217"/>
      <c r="E87" s="296"/>
      <c r="H87" s="297"/>
      <c r="I87" s="298"/>
      <c r="J87" s="299"/>
      <c r="K87" s="298"/>
      <c r="L87" s="298"/>
      <c r="M87" s="298"/>
    </row>
    <row r="88" ht="15.75" customHeight="1">
      <c r="B88" s="217"/>
      <c r="C88" s="217"/>
      <c r="E88" s="296"/>
      <c r="H88" s="297"/>
      <c r="I88" s="298"/>
      <c r="J88" s="299"/>
      <c r="K88" s="298"/>
      <c r="L88" s="298"/>
      <c r="M88" s="298"/>
    </row>
    <row r="89" ht="15.75" customHeight="1">
      <c r="B89" s="217"/>
      <c r="C89" s="217"/>
      <c r="E89" s="296"/>
      <c r="H89" s="297"/>
      <c r="I89" s="298"/>
      <c r="J89" s="299"/>
      <c r="K89" s="298"/>
      <c r="L89" s="298"/>
      <c r="M89" s="298"/>
    </row>
    <row r="90" ht="15.75" customHeight="1">
      <c r="B90" s="217"/>
      <c r="C90" s="217"/>
      <c r="E90" s="296"/>
      <c r="H90" s="297"/>
      <c r="I90" s="298"/>
      <c r="J90" s="299"/>
      <c r="K90" s="298"/>
      <c r="L90" s="298"/>
      <c r="M90" s="298"/>
    </row>
    <row r="91" ht="15.75" customHeight="1">
      <c r="B91" s="217"/>
      <c r="C91" s="217"/>
      <c r="E91" s="296"/>
      <c r="H91" s="297"/>
      <c r="I91" s="298"/>
      <c r="J91" s="299"/>
      <c r="K91" s="298"/>
      <c r="L91" s="298"/>
      <c r="M91" s="298"/>
    </row>
    <row r="92" ht="15.75" customHeight="1">
      <c r="B92" s="217"/>
      <c r="C92" s="217"/>
      <c r="E92" s="296"/>
      <c r="H92" s="297"/>
      <c r="I92" s="298"/>
      <c r="J92" s="299"/>
      <c r="K92" s="298"/>
      <c r="L92" s="298"/>
      <c r="M92" s="298"/>
    </row>
    <row r="93" ht="15.75" customHeight="1">
      <c r="B93" s="217"/>
      <c r="C93" s="217"/>
      <c r="E93" s="296"/>
      <c r="H93" s="297"/>
      <c r="I93" s="298"/>
      <c r="J93" s="299"/>
      <c r="K93" s="298"/>
      <c r="L93" s="298"/>
      <c r="M93" s="298"/>
    </row>
    <row r="94" ht="15.75" customHeight="1">
      <c r="B94" s="217"/>
      <c r="C94" s="217"/>
      <c r="E94" s="296"/>
      <c r="H94" s="297"/>
      <c r="I94" s="298"/>
      <c r="J94" s="299"/>
      <c r="K94" s="298"/>
      <c r="L94" s="298"/>
      <c r="M94" s="298"/>
    </row>
    <row r="95" ht="15.75" customHeight="1">
      <c r="B95" s="217"/>
      <c r="C95" s="217"/>
      <c r="E95" s="296"/>
      <c r="H95" s="297"/>
      <c r="I95" s="298"/>
      <c r="J95" s="299"/>
      <c r="K95" s="298"/>
      <c r="L95" s="298"/>
      <c r="M95" s="298"/>
    </row>
    <row r="96" ht="15.75" customHeight="1">
      <c r="B96" s="217"/>
      <c r="C96" s="217"/>
      <c r="E96" s="296"/>
      <c r="H96" s="297"/>
      <c r="I96" s="298"/>
      <c r="J96" s="299"/>
      <c r="K96" s="298"/>
      <c r="L96" s="298"/>
      <c r="M96" s="298"/>
    </row>
    <row r="97" ht="15.75" customHeight="1">
      <c r="B97" s="217"/>
      <c r="C97" s="217"/>
      <c r="E97" s="296"/>
      <c r="H97" s="297"/>
      <c r="I97" s="298"/>
      <c r="J97" s="299"/>
      <c r="K97" s="298"/>
      <c r="L97" s="298"/>
      <c r="M97" s="298"/>
    </row>
    <row r="98" ht="15.75" customHeight="1">
      <c r="B98" s="217"/>
      <c r="C98" s="217"/>
      <c r="E98" s="296"/>
      <c r="H98" s="297"/>
      <c r="I98" s="298"/>
      <c r="J98" s="299"/>
      <c r="K98" s="298"/>
      <c r="L98" s="298"/>
      <c r="M98" s="298"/>
    </row>
    <row r="99" ht="15.75" customHeight="1">
      <c r="B99" s="217"/>
      <c r="C99" s="217"/>
      <c r="E99" s="296"/>
      <c r="H99" s="297"/>
      <c r="I99" s="298"/>
      <c r="J99" s="299"/>
      <c r="K99" s="298"/>
      <c r="L99" s="298"/>
      <c r="M99" s="298"/>
    </row>
    <row r="100" ht="15.75" customHeight="1">
      <c r="B100" s="217"/>
      <c r="C100" s="217"/>
      <c r="E100" s="296"/>
      <c r="H100" s="297"/>
      <c r="I100" s="298"/>
      <c r="J100" s="299"/>
      <c r="K100" s="298"/>
      <c r="L100" s="298"/>
      <c r="M100" s="298"/>
    </row>
    <row r="101" ht="15.75" customHeight="1">
      <c r="B101" s="217"/>
      <c r="C101" s="217"/>
      <c r="E101" s="296"/>
      <c r="H101" s="297"/>
      <c r="I101" s="298"/>
      <c r="J101" s="299"/>
      <c r="K101" s="298"/>
      <c r="L101" s="298"/>
      <c r="M101" s="298"/>
    </row>
    <row r="102" ht="15.75" customHeight="1">
      <c r="B102" s="217"/>
      <c r="C102" s="217"/>
      <c r="E102" s="296"/>
      <c r="H102" s="297"/>
      <c r="I102" s="298"/>
      <c r="J102" s="299"/>
      <c r="K102" s="298"/>
      <c r="L102" s="298"/>
      <c r="M102" s="298"/>
    </row>
    <row r="103" ht="15.75" customHeight="1">
      <c r="B103" s="217"/>
      <c r="C103" s="217"/>
      <c r="E103" s="296"/>
      <c r="H103" s="297"/>
      <c r="I103" s="298"/>
      <c r="J103" s="299"/>
      <c r="K103" s="298"/>
      <c r="L103" s="298"/>
      <c r="M103" s="298"/>
    </row>
    <row r="104" ht="15.75" customHeight="1">
      <c r="B104" s="217"/>
      <c r="C104" s="217"/>
      <c r="E104" s="296"/>
      <c r="H104" s="297"/>
      <c r="I104" s="298"/>
      <c r="J104" s="299"/>
      <c r="K104" s="298"/>
      <c r="L104" s="298"/>
      <c r="M104" s="298"/>
    </row>
    <row r="105" ht="15.75" customHeight="1">
      <c r="B105" s="217"/>
      <c r="C105" s="217"/>
      <c r="E105" s="296"/>
      <c r="H105" s="297"/>
      <c r="I105" s="298"/>
      <c r="J105" s="299"/>
      <c r="K105" s="298"/>
      <c r="L105" s="298"/>
      <c r="M105" s="298"/>
    </row>
    <row r="106" ht="15.75" customHeight="1">
      <c r="B106" s="217"/>
      <c r="C106" s="217"/>
      <c r="E106" s="296"/>
      <c r="H106" s="297"/>
      <c r="I106" s="298"/>
      <c r="J106" s="299"/>
      <c r="K106" s="298"/>
      <c r="L106" s="298"/>
      <c r="M106" s="298"/>
    </row>
    <row r="107" ht="15.75" customHeight="1">
      <c r="B107" s="217"/>
      <c r="C107" s="217"/>
      <c r="E107" s="296"/>
      <c r="H107" s="297"/>
      <c r="I107" s="298"/>
      <c r="J107" s="299"/>
      <c r="K107" s="298"/>
      <c r="L107" s="298"/>
      <c r="M107" s="298"/>
    </row>
    <row r="108" ht="15.75" customHeight="1">
      <c r="B108" s="217"/>
      <c r="C108" s="217"/>
      <c r="E108" s="296"/>
      <c r="H108" s="297"/>
      <c r="I108" s="298"/>
      <c r="J108" s="299"/>
      <c r="K108" s="298"/>
      <c r="L108" s="298"/>
      <c r="M108" s="298"/>
    </row>
    <row r="109" ht="15.75" customHeight="1">
      <c r="B109" s="217"/>
      <c r="C109" s="217"/>
      <c r="E109" s="296"/>
      <c r="H109" s="297"/>
      <c r="I109" s="298"/>
      <c r="J109" s="299"/>
      <c r="K109" s="298"/>
      <c r="L109" s="298"/>
      <c r="M109" s="298"/>
    </row>
    <row r="110" ht="15.75" customHeight="1">
      <c r="B110" s="217"/>
      <c r="C110" s="217"/>
      <c r="E110" s="296"/>
      <c r="H110" s="297"/>
      <c r="I110" s="298"/>
      <c r="J110" s="299"/>
      <c r="K110" s="298"/>
      <c r="L110" s="298"/>
      <c r="M110" s="298"/>
    </row>
    <row r="111" ht="15.75" customHeight="1">
      <c r="B111" s="217"/>
      <c r="C111" s="217"/>
      <c r="E111" s="296"/>
      <c r="H111" s="297"/>
      <c r="I111" s="298"/>
      <c r="J111" s="299"/>
      <c r="K111" s="298"/>
      <c r="L111" s="298"/>
      <c r="M111" s="298"/>
    </row>
    <row r="112" ht="15.75" customHeight="1">
      <c r="B112" s="217"/>
      <c r="C112" s="217"/>
      <c r="E112" s="296"/>
      <c r="H112" s="297"/>
      <c r="I112" s="298"/>
      <c r="J112" s="299"/>
      <c r="K112" s="298"/>
      <c r="L112" s="298"/>
      <c r="M112" s="298"/>
    </row>
    <row r="113" ht="15.75" customHeight="1">
      <c r="B113" s="217"/>
      <c r="C113" s="217"/>
      <c r="E113" s="296"/>
      <c r="H113" s="297"/>
      <c r="I113" s="298"/>
      <c r="J113" s="299"/>
      <c r="K113" s="298"/>
      <c r="L113" s="298"/>
      <c r="M113" s="298"/>
    </row>
    <row r="114" ht="15.75" customHeight="1">
      <c r="B114" s="217"/>
      <c r="C114" s="217"/>
      <c r="E114" s="296"/>
      <c r="H114" s="297"/>
      <c r="I114" s="298"/>
      <c r="J114" s="299"/>
      <c r="K114" s="298"/>
      <c r="L114" s="298"/>
      <c r="M114" s="298"/>
    </row>
    <row r="115" ht="15.75" customHeight="1">
      <c r="B115" s="217"/>
      <c r="C115" s="217"/>
      <c r="E115" s="296"/>
      <c r="H115" s="297"/>
      <c r="I115" s="298"/>
      <c r="J115" s="299"/>
      <c r="K115" s="298"/>
      <c r="L115" s="298"/>
      <c r="M115" s="298"/>
    </row>
    <row r="116" ht="15.75" customHeight="1">
      <c r="B116" s="217"/>
      <c r="C116" s="217"/>
      <c r="E116" s="296"/>
      <c r="H116" s="297"/>
      <c r="I116" s="298"/>
      <c r="J116" s="299"/>
      <c r="K116" s="298"/>
      <c r="L116" s="298"/>
      <c r="M116" s="298"/>
    </row>
    <row r="117" ht="15.75" customHeight="1">
      <c r="B117" s="217"/>
      <c r="C117" s="217"/>
      <c r="E117" s="296"/>
      <c r="H117" s="297"/>
      <c r="I117" s="298"/>
      <c r="J117" s="299"/>
      <c r="K117" s="298"/>
      <c r="L117" s="298"/>
      <c r="M117" s="298"/>
    </row>
    <row r="118" ht="15.75" customHeight="1">
      <c r="B118" s="217"/>
      <c r="C118" s="217"/>
      <c r="E118" s="296"/>
      <c r="H118" s="297"/>
      <c r="I118" s="298"/>
      <c r="J118" s="299"/>
      <c r="K118" s="298"/>
      <c r="L118" s="298"/>
      <c r="M118" s="298"/>
    </row>
    <row r="119" ht="15.75" customHeight="1">
      <c r="B119" s="217"/>
      <c r="C119" s="217"/>
      <c r="E119" s="296"/>
      <c r="H119" s="297"/>
      <c r="I119" s="298"/>
      <c r="J119" s="299"/>
      <c r="K119" s="298"/>
      <c r="L119" s="298"/>
      <c r="M119" s="298"/>
    </row>
    <row r="120" ht="15.75" customHeight="1">
      <c r="B120" s="217"/>
      <c r="C120" s="217"/>
      <c r="E120" s="296"/>
      <c r="H120" s="297"/>
      <c r="I120" s="298"/>
      <c r="J120" s="299"/>
      <c r="K120" s="298"/>
      <c r="L120" s="298"/>
      <c r="M120" s="298"/>
    </row>
    <row r="121" ht="15.75" customHeight="1">
      <c r="B121" s="217"/>
      <c r="C121" s="217"/>
      <c r="E121" s="296"/>
      <c r="H121" s="297"/>
      <c r="I121" s="298"/>
      <c r="J121" s="299"/>
      <c r="K121" s="298"/>
      <c r="L121" s="298"/>
      <c r="M121" s="298"/>
    </row>
    <row r="122" ht="15.75" customHeight="1">
      <c r="B122" s="217"/>
      <c r="C122" s="217"/>
      <c r="E122" s="296"/>
      <c r="H122" s="297"/>
      <c r="I122" s="298"/>
      <c r="J122" s="299"/>
      <c r="K122" s="298"/>
      <c r="L122" s="298"/>
      <c r="M122" s="298"/>
    </row>
    <row r="123" ht="15.75" customHeight="1">
      <c r="B123" s="217"/>
      <c r="C123" s="217"/>
      <c r="E123" s="296"/>
      <c r="H123" s="297"/>
      <c r="I123" s="298"/>
      <c r="J123" s="299"/>
      <c r="K123" s="298"/>
      <c r="L123" s="298"/>
      <c r="M123" s="298"/>
    </row>
    <row r="124" ht="15.75" customHeight="1">
      <c r="B124" s="217"/>
      <c r="C124" s="217"/>
      <c r="E124" s="296"/>
      <c r="H124" s="297"/>
      <c r="I124" s="298"/>
      <c r="J124" s="299"/>
      <c r="K124" s="298"/>
      <c r="L124" s="298"/>
      <c r="M124" s="298"/>
    </row>
    <row r="125" ht="15.75" customHeight="1">
      <c r="B125" s="217"/>
      <c r="C125" s="217"/>
      <c r="E125" s="296"/>
      <c r="H125" s="297"/>
      <c r="I125" s="298"/>
      <c r="J125" s="299"/>
      <c r="K125" s="298"/>
      <c r="L125" s="298"/>
      <c r="M125" s="298"/>
    </row>
    <row r="126" ht="15.75" customHeight="1">
      <c r="B126" s="217"/>
      <c r="C126" s="217"/>
      <c r="E126" s="296"/>
      <c r="H126" s="297"/>
      <c r="I126" s="298"/>
      <c r="J126" s="299"/>
      <c r="K126" s="298"/>
      <c r="L126" s="298"/>
      <c r="M126" s="298"/>
    </row>
    <row r="127" ht="15.75" customHeight="1">
      <c r="B127" s="217"/>
      <c r="C127" s="217"/>
      <c r="E127" s="296"/>
      <c r="H127" s="297"/>
      <c r="I127" s="298"/>
      <c r="J127" s="299"/>
      <c r="K127" s="298"/>
      <c r="L127" s="298"/>
      <c r="M127" s="298"/>
    </row>
    <row r="128" ht="15.75" customHeight="1">
      <c r="B128" s="217"/>
      <c r="C128" s="217"/>
      <c r="E128" s="296"/>
      <c r="H128" s="297"/>
      <c r="I128" s="298"/>
      <c r="J128" s="299"/>
      <c r="K128" s="298"/>
      <c r="L128" s="298"/>
      <c r="M128" s="298"/>
    </row>
    <row r="129" ht="15.75" customHeight="1">
      <c r="B129" s="217"/>
      <c r="C129" s="217"/>
      <c r="E129" s="296"/>
      <c r="H129" s="297"/>
      <c r="I129" s="298"/>
      <c r="J129" s="299"/>
      <c r="K129" s="298"/>
      <c r="L129" s="298"/>
      <c r="M129" s="298"/>
    </row>
    <row r="130" ht="15.75" customHeight="1">
      <c r="B130" s="217"/>
      <c r="C130" s="217"/>
      <c r="E130" s="296"/>
      <c r="H130" s="297"/>
      <c r="I130" s="298"/>
      <c r="J130" s="299"/>
      <c r="K130" s="298"/>
      <c r="L130" s="298"/>
      <c r="M130" s="298"/>
    </row>
    <row r="131" ht="15.75" customHeight="1">
      <c r="B131" s="217"/>
      <c r="C131" s="217"/>
      <c r="E131" s="296"/>
      <c r="H131" s="297"/>
      <c r="I131" s="298"/>
      <c r="J131" s="299"/>
      <c r="K131" s="298"/>
      <c r="L131" s="298"/>
      <c r="M131" s="298"/>
    </row>
    <row r="132" ht="15.75" customHeight="1">
      <c r="B132" s="217"/>
      <c r="C132" s="217"/>
      <c r="E132" s="296"/>
      <c r="H132" s="297"/>
      <c r="I132" s="298"/>
      <c r="J132" s="299"/>
      <c r="K132" s="298"/>
      <c r="L132" s="298"/>
      <c r="M132" s="298"/>
    </row>
    <row r="133" ht="15.75" customHeight="1">
      <c r="B133" s="217"/>
      <c r="C133" s="217"/>
      <c r="E133" s="296"/>
      <c r="H133" s="297"/>
      <c r="I133" s="298"/>
      <c r="J133" s="299"/>
      <c r="K133" s="298"/>
      <c r="L133" s="298"/>
      <c r="M133" s="298"/>
    </row>
    <row r="134" ht="15.75" customHeight="1">
      <c r="B134" s="217"/>
      <c r="C134" s="217"/>
      <c r="E134" s="296"/>
      <c r="H134" s="297"/>
      <c r="I134" s="298"/>
      <c r="J134" s="299"/>
      <c r="K134" s="298"/>
      <c r="L134" s="298"/>
      <c r="M134" s="298"/>
    </row>
    <row r="135" ht="15.75" customHeight="1">
      <c r="B135" s="217"/>
      <c r="C135" s="217"/>
      <c r="E135" s="296"/>
      <c r="H135" s="297"/>
      <c r="I135" s="298"/>
      <c r="J135" s="299"/>
      <c r="K135" s="298"/>
      <c r="L135" s="298"/>
      <c r="M135" s="298"/>
    </row>
    <row r="136" ht="15.75" customHeight="1">
      <c r="B136" s="217"/>
      <c r="C136" s="217"/>
      <c r="E136" s="296"/>
      <c r="H136" s="297"/>
      <c r="I136" s="298"/>
      <c r="J136" s="299"/>
      <c r="K136" s="298"/>
      <c r="L136" s="298"/>
      <c r="M136" s="298"/>
    </row>
    <row r="137" ht="15.75" customHeight="1">
      <c r="B137" s="217"/>
      <c r="C137" s="217"/>
      <c r="E137" s="296"/>
      <c r="H137" s="297"/>
      <c r="I137" s="298"/>
      <c r="J137" s="299"/>
      <c r="K137" s="298"/>
      <c r="L137" s="298"/>
      <c r="M137" s="298"/>
    </row>
    <row r="138" ht="15.75" customHeight="1">
      <c r="B138" s="217"/>
      <c r="C138" s="217"/>
      <c r="E138" s="296"/>
      <c r="H138" s="297"/>
      <c r="I138" s="298"/>
      <c r="J138" s="299"/>
      <c r="K138" s="298"/>
      <c r="L138" s="298"/>
      <c r="M138" s="298"/>
    </row>
    <row r="139" ht="15.75" customHeight="1">
      <c r="B139" s="217"/>
      <c r="C139" s="217"/>
      <c r="E139" s="296"/>
      <c r="H139" s="297"/>
      <c r="I139" s="298"/>
      <c r="J139" s="299"/>
      <c r="K139" s="298"/>
      <c r="L139" s="298"/>
      <c r="M139" s="298"/>
    </row>
    <row r="140" ht="15.75" customHeight="1">
      <c r="B140" s="217"/>
      <c r="C140" s="217"/>
      <c r="E140" s="296"/>
      <c r="H140" s="297"/>
      <c r="I140" s="298"/>
      <c r="J140" s="299"/>
      <c r="K140" s="298"/>
      <c r="L140" s="298"/>
      <c r="M140" s="298"/>
    </row>
    <row r="141" ht="15.75" customHeight="1">
      <c r="B141" s="217"/>
      <c r="C141" s="217"/>
      <c r="E141" s="296"/>
      <c r="H141" s="297"/>
      <c r="I141" s="298"/>
      <c r="J141" s="299"/>
      <c r="K141" s="298"/>
      <c r="L141" s="298"/>
      <c r="M141" s="298"/>
    </row>
    <row r="142" ht="15.75" customHeight="1">
      <c r="B142" s="217"/>
      <c r="C142" s="217"/>
      <c r="E142" s="296"/>
      <c r="H142" s="297"/>
      <c r="I142" s="298"/>
      <c r="J142" s="299"/>
      <c r="K142" s="298"/>
      <c r="L142" s="298"/>
      <c r="M142" s="298"/>
    </row>
    <row r="143" ht="15.75" customHeight="1">
      <c r="B143" s="217"/>
      <c r="C143" s="217"/>
      <c r="E143" s="296"/>
      <c r="H143" s="297"/>
      <c r="I143" s="298"/>
      <c r="J143" s="299"/>
      <c r="K143" s="298"/>
      <c r="L143" s="298"/>
      <c r="M143" s="298"/>
    </row>
    <row r="144" ht="15.75" customHeight="1">
      <c r="B144" s="217"/>
      <c r="C144" s="217"/>
      <c r="E144" s="296"/>
      <c r="H144" s="297"/>
      <c r="I144" s="298"/>
      <c r="J144" s="299"/>
      <c r="K144" s="298"/>
      <c r="L144" s="298"/>
      <c r="M144" s="298"/>
    </row>
    <row r="145" ht="15.75" customHeight="1">
      <c r="B145" s="217"/>
      <c r="C145" s="217"/>
      <c r="E145" s="296"/>
      <c r="H145" s="297"/>
      <c r="I145" s="298"/>
      <c r="J145" s="299"/>
      <c r="K145" s="298"/>
      <c r="L145" s="298"/>
      <c r="M145" s="298"/>
    </row>
    <row r="146" ht="15.75" customHeight="1">
      <c r="B146" s="217"/>
      <c r="C146" s="217"/>
      <c r="E146" s="296"/>
      <c r="H146" s="297"/>
      <c r="I146" s="298"/>
      <c r="J146" s="299"/>
      <c r="K146" s="298"/>
      <c r="L146" s="298"/>
      <c r="M146" s="298"/>
    </row>
    <row r="147" ht="15.75" customHeight="1">
      <c r="B147" s="217"/>
      <c r="C147" s="217"/>
      <c r="E147" s="296"/>
      <c r="H147" s="297"/>
      <c r="I147" s="298"/>
      <c r="J147" s="299"/>
      <c r="K147" s="298"/>
      <c r="L147" s="298"/>
      <c r="M147" s="298"/>
    </row>
    <row r="148" ht="15.75" customHeight="1">
      <c r="B148" s="217"/>
      <c r="C148" s="217"/>
      <c r="E148" s="296"/>
      <c r="H148" s="297"/>
      <c r="I148" s="298"/>
      <c r="J148" s="299"/>
      <c r="K148" s="298"/>
      <c r="L148" s="298"/>
      <c r="M148" s="298"/>
    </row>
    <row r="149" ht="15.75" customHeight="1">
      <c r="B149" s="217"/>
      <c r="C149" s="217"/>
      <c r="E149" s="296"/>
      <c r="H149" s="297"/>
      <c r="I149" s="298"/>
      <c r="J149" s="299"/>
      <c r="K149" s="298"/>
      <c r="L149" s="298"/>
      <c r="M149" s="298"/>
    </row>
    <row r="150" ht="15.75" customHeight="1">
      <c r="B150" s="217"/>
      <c r="C150" s="217"/>
      <c r="E150" s="296"/>
      <c r="H150" s="297"/>
      <c r="I150" s="298"/>
      <c r="J150" s="299"/>
      <c r="K150" s="298"/>
      <c r="L150" s="298"/>
      <c r="M150" s="298"/>
    </row>
    <row r="151" ht="15.75" customHeight="1">
      <c r="B151" s="217"/>
      <c r="C151" s="217"/>
      <c r="E151" s="296"/>
      <c r="H151" s="297"/>
      <c r="I151" s="298"/>
      <c r="J151" s="299"/>
      <c r="K151" s="298"/>
      <c r="L151" s="298"/>
      <c r="M151" s="298"/>
    </row>
    <row r="152" ht="15.75" customHeight="1">
      <c r="B152" s="217"/>
      <c r="C152" s="217"/>
      <c r="E152" s="296"/>
      <c r="H152" s="297"/>
      <c r="I152" s="298"/>
      <c r="J152" s="299"/>
      <c r="K152" s="298"/>
      <c r="L152" s="298"/>
      <c r="M152" s="298"/>
    </row>
    <row r="153" ht="15.75" customHeight="1">
      <c r="B153" s="217"/>
      <c r="C153" s="217"/>
      <c r="E153" s="296"/>
      <c r="H153" s="297"/>
      <c r="I153" s="298"/>
      <c r="J153" s="299"/>
      <c r="K153" s="298"/>
      <c r="L153" s="298"/>
      <c r="M153" s="298"/>
    </row>
    <row r="154" ht="15.75" customHeight="1">
      <c r="B154" s="217"/>
      <c r="C154" s="217"/>
      <c r="E154" s="296"/>
      <c r="H154" s="297"/>
      <c r="I154" s="298"/>
      <c r="J154" s="299"/>
      <c r="K154" s="298"/>
      <c r="L154" s="298"/>
      <c r="M154" s="298"/>
    </row>
    <row r="155" ht="15.75" customHeight="1">
      <c r="B155" s="217"/>
      <c r="C155" s="217"/>
      <c r="E155" s="296"/>
      <c r="H155" s="297"/>
      <c r="I155" s="298"/>
      <c r="J155" s="299"/>
      <c r="K155" s="298"/>
      <c r="L155" s="298"/>
      <c r="M155" s="298"/>
    </row>
    <row r="156" ht="15.75" customHeight="1">
      <c r="B156" s="217"/>
      <c r="C156" s="217"/>
      <c r="E156" s="296"/>
      <c r="H156" s="297"/>
      <c r="I156" s="298"/>
      <c r="J156" s="299"/>
      <c r="K156" s="298"/>
      <c r="L156" s="298"/>
      <c r="M156" s="298"/>
    </row>
    <row r="157" ht="15.75" customHeight="1">
      <c r="B157" s="217"/>
      <c r="C157" s="217"/>
      <c r="E157" s="296"/>
      <c r="H157" s="297"/>
      <c r="I157" s="298"/>
      <c r="J157" s="299"/>
      <c r="K157" s="298"/>
      <c r="L157" s="298"/>
      <c r="M157" s="298"/>
    </row>
    <row r="158" ht="15.75" customHeight="1">
      <c r="B158" s="217"/>
      <c r="C158" s="217"/>
      <c r="E158" s="296"/>
      <c r="H158" s="297"/>
      <c r="I158" s="298"/>
      <c r="J158" s="299"/>
      <c r="K158" s="298"/>
      <c r="L158" s="298"/>
      <c r="M158" s="298"/>
    </row>
    <row r="159" ht="15.75" customHeight="1">
      <c r="B159" s="217"/>
      <c r="C159" s="217"/>
      <c r="E159" s="296"/>
      <c r="H159" s="297"/>
      <c r="I159" s="298"/>
      <c r="J159" s="299"/>
      <c r="K159" s="298"/>
      <c r="L159" s="298"/>
      <c r="M159" s="298"/>
    </row>
    <row r="160" ht="15.75" customHeight="1">
      <c r="B160" s="217"/>
      <c r="C160" s="217"/>
      <c r="E160" s="296"/>
      <c r="H160" s="297"/>
      <c r="I160" s="298"/>
      <c r="J160" s="299"/>
      <c r="K160" s="298"/>
      <c r="L160" s="298"/>
      <c r="M160" s="298"/>
    </row>
    <row r="161" ht="15.75" customHeight="1">
      <c r="B161" s="217"/>
      <c r="C161" s="217"/>
      <c r="E161" s="296"/>
      <c r="H161" s="297"/>
      <c r="I161" s="298"/>
      <c r="J161" s="299"/>
      <c r="K161" s="298"/>
      <c r="L161" s="298"/>
      <c r="M161" s="298"/>
    </row>
    <row r="162" ht="15.75" customHeight="1">
      <c r="B162" s="217"/>
      <c r="C162" s="217"/>
      <c r="E162" s="296"/>
      <c r="H162" s="297"/>
      <c r="I162" s="298"/>
      <c r="J162" s="299"/>
      <c r="K162" s="298"/>
      <c r="L162" s="298"/>
      <c r="M162" s="298"/>
    </row>
    <row r="163" ht="15.75" customHeight="1">
      <c r="B163" s="217"/>
      <c r="C163" s="217"/>
      <c r="E163" s="296"/>
      <c r="H163" s="297"/>
      <c r="I163" s="298"/>
      <c r="J163" s="299"/>
      <c r="K163" s="298"/>
      <c r="L163" s="298"/>
      <c r="M163" s="298"/>
    </row>
    <row r="164" ht="15.75" customHeight="1">
      <c r="B164" s="217"/>
      <c r="C164" s="217"/>
      <c r="E164" s="296"/>
      <c r="H164" s="297"/>
      <c r="I164" s="298"/>
      <c r="J164" s="299"/>
      <c r="K164" s="298"/>
      <c r="L164" s="298"/>
      <c r="M164" s="298"/>
    </row>
    <row r="165" ht="15.75" customHeight="1">
      <c r="B165" s="217"/>
      <c r="C165" s="217"/>
      <c r="E165" s="296"/>
      <c r="H165" s="297"/>
      <c r="I165" s="298"/>
      <c r="J165" s="299"/>
      <c r="K165" s="298"/>
      <c r="L165" s="298"/>
      <c r="M165" s="298"/>
    </row>
    <row r="166" ht="15.75" customHeight="1">
      <c r="B166" s="217"/>
      <c r="C166" s="217"/>
      <c r="E166" s="296"/>
      <c r="H166" s="297"/>
      <c r="I166" s="298"/>
      <c r="J166" s="299"/>
      <c r="K166" s="298"/>
      <c r="L166" s="298"/>
      <c r="M166" s="298"/>
    </row>
    <row r="167" ht="15.75" customHeight="1">
      <c r="B167" s="217"/>
      <c r="C167" s="217"/>
      <c r="E167" s="296"/>
      <c r="H167" s="297"/>
      <c r="I167" s="298"/>
      <c r="J167" s="299"/>
      <c r="K167" s="298"/>
      <c r="L167" s="298"/>
      <c r="M167" s="298"/>
    </row>
    <row r="168" ht="15.75" customHeight="1">
      <c r="B168" s="217"/>
      <c r="C168" s="217"/>
      <c r="E168" s="296"/>
      <c r="H168" s="297"/>
      <c r="I168" s="298"/>
      <c r="J168" s="299"/>
      <c r="K168" s="298"/>
      <c r="L168" s="298"/>
      <c r="M168" s="298"/>
    </row>
    <row r="169" ht="15.75" customHeight="1">
      <c r="B169" s="217"/>
      <c r="C169" s="217"/>
      <c r="E169" s="296"/>
      <c r="H169" s="297"/>
      <c r="I169" s="298"/>
      <c r="J169" s="299"/>
      <c r="K169" s="298"/>
      <c r="L169" s="298"/>
      <c r="M169" s="298"/>
    </row>
    <row r="170" ht="15.75" customHeight="1">
      <c r="B170" s="217"/>
      <c r="C170" s="217"/>
      <c r="E170" s="296"/>
      <c r="H170" s="297"/>
      <c r="I170" s="298"/>
      <c r="J170" s="299"/>
      <c r="K170" s="298"/>
      <c r="L170" s="298"/>
      <c r="M170" s="298"/>
    </row>
    <row r="171" ht="15.75" customHeight="1">
      <c r="B171" s="217"/>
      <c r="C171" s="217"/>
      <c r="E171" s="296"/>
      <c r="H171" s="297"/>
      <c r="I171" s="298"/>
      <c r="J171" s="299"/>
      <c r="K171" s="298"/>
      <c r="L171" s="298"/>
      <c r="M171" s="298"/>
    </row>
    <row r="172" ht="15.75" customHeight="1">
      <c r="B172" s="217"/>
      <c r="C172" s="217"/>
      <c r="E172" s="296"/>
      <c r="H172" s="297"/>
      <c r="I172" s="298"/>
      <c r="J172" s="299"/>
      <c r="K172" s="298"/>
      <c r="L172" s="298"/>
      <c r="M172" s="298"/>
    </row>
    <row r="173" ht="15.75" customHeight="1">
      <c r="B173" s="217"/>
      <c r="C173" s="217"/>
      <c r="E173" s="296"/>
      <c r="H173" s="297"/>
      <c r="I173" s="298"/>
      <c r="J173" s="299"/>
      <c r="K173" s="298"/>
      <c r="L173" s="298"/>
      <c r="M173" s="298"/>
    </row>
    <row r="174" ht="15.75" customHeight="1">
      <c r="B174" s="217"/>
      <c r="C174" s="217"/>
      <c r="E174" s="296"/>
      <c r="H174" s="297"/>
      <c r="I174" s="298"/>
      <c r="J174" s="299"/>
      <c r="K174" s="298"/>
      <c r="L174" s="298"/>
      <c r="M174" s="298"/>
    </row>
    <row r="175" ht="15.75" customHeight="1">
      <c r="B175" s="217"/>
      <c r="C175" s="217"/>
      <c r="E175" s="296"/>
      <c r="H175" s="297"/>
      <c r="I175" s="298"/>
      <c r="J175" s="299"/>
      <c r="K175" s="298"/>
      <c r="L175" s="298"/>
      <c r="M175" s="298"/>
    </row>
    <row r="176" ht="15.75" customHeight="1">
      <c r="B176" s="217"/>
      <c r="C176" s="217"/>
      <c r="E176" s="296"/>
      <c r="H176" s="297"/>
      <c r="I176" s="298"/>
      <c r="J176" s="299"/>
      <c r="K176" s="298"/>
      <c r="L176" s="298"/>
      <c r="M176" s="298"/>
    </row>
    <row r="177" ht="15.75" customHeight="1">
      <c r="B177" s="217"/>
      <c r="C177" s="217"/>
      <c r="E177" s="296"/>
      <c r="H177" s="297"/>
      <c r="I177" s="298"/>
      <c r="J177" s="299"/>
      <c r="K177" s="298"/>
      <c r="L177" s="298"/>
      <c r="M177" s="298"/>
    </row>
    <row r="178" ht="15.75" customHeight="1">
      <c r="B178" s="217"/>
      <c r="C178" s="217"/>
      <c r="E178" s="296"/>
      <c r="H178" s="297"/>
      <c r="I178" s="298"/>
      <c r="J178" s="299"/>
      <c r="K178" s="298"/>
      <c r="L178" s="298"/>
      <c r="M178" s="298"/>
    </row>
    <row r="179" ht="15.75" customHeight="1">
      <c r="B179" s="217"/>
      <c r="C179" s="217"/>
      <c r="E179" s="296"/>
      <c r="H179" s="297"/>
      <c r="I179" s="298"/>
      <c r="J179" s="299"/>
      <c r="K179" s="298"/>
      <c r="L179" s="298"/>
      <c r="M179" s="298"/>
    </row>
    <row r="180" ht="15.75" customHeight="1">
      <c r="B180" s="217"/>
      <c r="C180" s="217"/>
      <c r="E180" s="296"/>
      <c r="H180" s="297"/>
      <c r="I180" s="298"/>
      <c r="J180" s="299"/>
      <c r="K180" s="298"/>
      <c r="L180" s="298"/>
      <c r="M180" s="298"/>
    </row>
    <row r="181" ht="15.75" customHeight="1">
      <c r="B181" s="217"/>
      <c r="C181" s="217"/>
      <c r="E181" s="296"/>
      <c r="H181" s="297"/>
      <c r="I181" s="298"/>
      <c r="J181" s="299"/>
      <c r="K181" s="298"/>
      <c r="L181" s="298"/>
      <c r="M181" s="298"/>
    </row>
    <row r="182" ht="15.75" customHeight="1">
      <c r="B182" s="217"/>
      <c r="C182" s="217"/>
      <c r="E182" s="296"/>
      <c r="H182" s="297"/>
      <c r="I182" s="298"/>
      <c r="J182" s="299"/>
      <c r="K182" s="298"/>
      <c r="L182" s="298"/>
      <c r="M182" s="298"/>
    </row>
    <row r="183" ht="15.75" customHeight="1">
      <c r="B183" s="217"/>
      <c r="C183" s="217"/>
      <c r="E183" s="296"/>
      <c r="H183" s="297"/>
      <c r="I183" s="298"/>
      <c r="J183" s="299"/>
      <c r="K183" s="298"/>
      <c r="L183" s="298"/>
      <c r="M183" s="298"/>
    </row>
    <row r="184" ht="15.75" customHeight="1">
      <c r="B184" s="217"/>
      <c r="C184" s="217"/>
      <c r="E184" s="296"/>
      <c r="H184" s="297"/>
      <c r="I184" s="298"/>
      <c r="J184" s="299"/>
      <c r="K184" s="298"/>
      <c r="L184" s="298"/>
      <c r="M184" s="298"/>
    </row>
    <row r="185" ht="15.75" customHeight="1">
      <c r="B185" s="217"/>
      <c r="C185" s="217"/>
      <c r="E185" s="296"/>
      <c r="H185" s="297"/>
      <c r="I185" s="298"/>
      <c r="J185" s="299"/>
      <c r="K185" s="298"/>
      <c r="L185" s="298"/>
      <c r="M185" s="298"/>
    </row>
    <row r="186" ht="15.75" customHeight="1">
      <c r="B186" s="217"/>
      <c r="C186" s="217"/>
      <c r="E186" s="296"/>
      <c r="H186" s="297"/>
      <c r="I186" s="298"/>
      <c r="J186" s="299"/>
      <c r="K186" s="298"/>
      <c r="L186" s="298"/>
      <c r="M186" s="298"/>
    </row>
    <row r="187" ht="15.75" customHeight="1">
      <c r="B187" s="217"/>
      <c r="C187" s="217"/>
      <c r="E187" s="296"/>
      <c r="H187" s="297"/>
      <c r="I187" s="298"/>
      <c r="J187" s="299"/>
      <c r="K187" s="298"/>
      <c r="L187" s="298"/>
      <c r="M187" s="298"/>
    </row>
    <row r="188" ht="15.75" customHeight="1">
      <c r="B188" s="217"/>
      <c r="C188" s="217"/>
      <c r="E188" s="296"/>
      <c r="H188" s="297"/>
      <c r="I188" s="298"/>
      <c r="J188" s="299"/>
      <c r="K188" s="298"/>
      <c r="L188" s="298"/>
      <c r="M188" s="298"/>
    </row>
    <row r="189" ht="15.75" customHeight="1">
      <c r="B189" s="217"/>
      <c r="C189" s="217"/>
      <c r="E189" s="296"/>
      <c r="H189" s="297"/>
      <c r="I189" s="298"/>
      <c r="J189" s="299"/>
      <c r="K189" s="298"/>
      <c r="L189" s="298"/>
      <c r="M189" s="298"/>
    </row>
    <row r="190" ht="15.75" customHeight="1">
      <c r="B190" s="217"/>
      <c r="C190" s="217"/>
      <c r="E190" s="296"/>
      <c r="H190" s="297"/>
      <c r="I190" s="298"/>
      <c r="J190" s="299"/>
      <c r="K190" s="298"/>
      <c r="L190" s="298"/>
      <c r="M190" s="298"/>
    </row>
    <row r="191" ht="15.75" customHeight="1">
      <c r="B191" s="217"/>
      <c r="C191" s="217"/>
      <c r="E191" s="296"/>
      <c r="H191" s="297"/>
      <c r="I191" s="298"/>
      <c r="J191" s="299"/>
      <c r="K191" s="298"/>
      <c r="L191" s="298"/>
      <c r="M191" s="298"/>
    </row>
    <row r="192" ht="15.75" customHeight="1">
      <c r="B192" s="217"/>
      <c r="C192" s="217"/>
      <c r="E192" s="296"/>
      <c r="H192" s="297"/>
      <c r="I192" s="298"/>
      <c r="J192" s="299"/>
      <c r="K192" s="298"/>
      <c r="L192" s="298"/>
      <c r="M192" s="298"/>
    </row>
    <row r="193" ht="15.75" customHeight="1">
      <c r="B193" s="217"/>
      <c r="C193" s="217"/>
      <c r="E193" s="296"/>
      <c r="H193" s="297"/>
      <c r="I193" s="298"/>
      <c r="J193" s="299"/>
      <c r="K193" s="298"/>
      <c r="L193" s="298"/>
      <c r="M193" s="298"/>
    </row>
    <row r="194" ht="15.75" customHeight="1">
      <c r="B194" s="217"/>
      <c r="C194" s="217"/>
      <c r="E194" s="296"/>
      <c r="H194" s="297"/>
      <c r="I194" s="298"/>
      <c r="J194" s="299"/>
      <c r="K194" s="298"/>
      <c r="L194" s="298"/>
      <c r="M194" s="298"/>
    </row>
    <row r="195" ht="15.75" customHeight="1">
      <c r="B195" s="217"/>
      <c r="C195" s="217"/>
      <c r="E195" s="296"/>
      <c r="H195" s="297"/>
      <c r="I195" s="298"/>
      <c r="J195" s="299"/>
      <c r="K195" s="298"/>
      <c r="L195" s="298"/>
      <c r="M195" s="298"/>
    </row>
    <row r="196" ht="15.75" customHeight="1">
      <c r="B196" s="217"/>
      <c r="C196" s="217"/>
      <c r="E196" s="296"/>
      <c r="H196" s="297"/>
      <c r="I196" s="298"/>
      <c r="J196" s="299"/>
      <c r="K196" s="298"/>
      <c r="L196" s="298"/>
      <c r="M196" s="298"/>
    </row>
    <row r="197" ht="15.75" customHeight="1">
      <c r="B197" s="217"/>
      <c r="C197" s="217"/>
      <c r="E197" s="296"/>
      <c r="H197" s="297"/>
      <c r="I197" s="298"/>
      <c r="J197" s="299"/>
      <c r="K197" s="298"/>
      <c r="L197" s="298"/>
      <c r="M197" s="298"/>
    </row>
    <row r="198" ht="15.75" customHeight="1">
      <c r="B198" s="217"/>
      <c r="C198" s="217"/>
      <c r="E198" s="296"/>
      <c r="H198" s="297"/>
      <c r="I198" s="298"/>
      <c r="J198" s="299"/>
      <c r="K198" s="298"/>
      <c r="L198" s="298"/>
      <c r="M198" s="298"/>
    </row>
    <row r="199" ht="15.75" customHeight="1">
      <c r="B199" s="217"/>
      <c r="C199" s="217"/>
      <c r="E199" s="296"/>
      <c r="H199" s="297"/>
      <c r="I199" s="298"/>
      <c r="J199" s="299"/>
      <c r="K199" s="298"/>
      <c r="L199" s="298"/>
      <c r="M199" s="298"/>
    </row>
    <row r="200" ht="15.75" customHeight="1">
      <c r="B200" s="217"/>
      <c r="C200" s="217"/>
      <c r="E200" s="296"/>
      <c r="H200" s="297"/>
      <c r="I200" s="298"/>
      <c r="J200" s="299"/>
      <c r="K200" s="298"/>
      <c r="L200" s="298"/>
      <c r="M200" s="298"/>
    </row>
    <row r="201" ht="15.75" customHeight="1">
      <c r="B201" s="217"/>
      <c r="C201" s="217"/>
      <c r="E201" s="296"/>
      <c r="H201" s="297"/>
      <c r="I201" s="298"/>
      <c r="J201" s="299"/>
      <c r="K201" s="298"/>
      <c r="L201" s="298"/>
      <c r="M201" s="298"/>
    </row>
    <row r="202" ht="15.75" customHeight="1">
      <c r="B202" s="217"/>
      <c r="C202" s="217"/>
      <c r="E202" s="296"/>
      <c r="H202" s="297"/>
      <c r="I202" s="298"/>
      <c r="J202" s="299"/>
      <c r="K202" s="298"/>
      <c r="L202" s="298"/>
      <c r="M202" s="298"/>
    </row>
    <row r="203" ht="15.75" customHeight="1">
      <c r="B203" s="217"/>
      <c r="C203" s="217"/>
      <c r="E203" s="296"/>
      <c r="H203" s="297"/>
      <c r="I203" s="298"/>
      <c r="J203" s="299"/>
      <c r="K203" s="298"/>
      <c r="L203" s="298"/>
      <c r="M203" s="298"/>
    </row>
    <row r="204" ht="15.75" customHeight="1">
      <c r="B204" s="217"/>
      <c r="C204" s="217"/>
      <c r="E204" s="296"/>
      <c r="H204" s="297"/>
      <c r="I204" s="298"/>
      <c r="J204" s="299"/>
      <c r="K204" s="298"/>
      <c r="L204" s="298"/>
      <c r="M204" s="298"/>
    </row>
    <row r="205" ht="15.75" customHeight="1">
      <c r="B205" s="217"/>
      <c r="C205" s="217"/>
      <c r="E205" s="296"/>
      <c r="H205" s="297"/>
      <c r="I205" s="298"/>
      <c r="J205" s="299"/>
      <c r="K205" s="298"/>
      <c r="L205" s="298"/>
      <c r="M205" s="298"/>
    </row>
    <row r="206" ht="15.75" customHeight="1">
      <c r="B206" s="217"/>
      <c r="C206" s="217"/>
      <c r="E206" s="296"/>
      <c r="H206" s="297"/>
      <c r="I206" s="298"/>
      <c r="J206" s="299"/>
      <c r="K206" s="298"/>
      <c r="L206" s="298"/>
      <c r="M206" s="298"/>
    </row>
    <row r="207" ht="15.75" customHeight="1">
      <c r="B207" s="217"/>
      <c r="C207" s="217"/>
      <c r="E207" s="296"/>
      <c r="H207" s="297"/>
      <c r="I207" s="298"/>
      <c r="J207" s="299"/>
      <c r="K207" s="298"/>
      <c r="L207" s="298"/>
      <c r="M207" s="298"/>
    </row>
    <row r="208" ht="15.75" customHeight="1">
      <c r="B208" s="217"/>
      <c r="C208" s="217"/>
      <c r="E208" s="296"/>
      <c r="H208" s="297"/>
      <c r="I208" s="298"/>
      <c r="J208" s="299"/>
      <c r="K208" s="298"/>
      <c r="L208" s="298"/>
      <c r="M208" s="298"/>
    </row>
    <row r="209" ht="15.75" customHeight="1">
      <c r="B209" s="217"/>
      <c r="C209" s="217"/>
      <c r="E209" s="296"/>
      <c r="H209" s="297"/>
      <c r="I209" s="298"/>
      <c r="J209" s="299"/>
      <c r="K209" s="298"/>
      <c r="L209" s="298"/>
      <c r="M209" s="298"/>
    </row>
    <row r="210" ht="15.75" customHeight="1">
      <c r="B210" s="217"/>
      <c r="C210" s="217"/>
      <c r="E210" s="296"/>
      <c r="H210" s="297"/>
      <c r="I210" s="298"/>
      <c r="J210" s="299"/>
      <c r="K210" s="298"/>
      <c r="L210" s="298"/>
      <c r="M210" s="298"/>
    </row>
    <row r="211" ht="15.75" customHeight="1">
      <c r="B211" s="217"/>
      <c r="C211" s="217"/>
      <c r="E211" s="296"/>
      <c r="H211" s="297"/>
      <c r="I211" s="298"/>
      <c r="J211" s="299"/>
      <c r="K211" s="298"/>
      <c r="L211" s="298"/>
      <c r="M211" s="298"/>
    </row>
    <row r="212" ht="15.75" customHeight="1">
      <c r="B212" s="217"/>
      <c r="C212" s="217"/>
      <c r="E212" s="296"/>
      <c r="H212" s="297"/>
      <c r="I212" s="298"/>
      <c r="J212" s="299"/>
      <c r="K212" s="298"/>
      <c r="L212" s="298"/>
      <c r="M212" s="298"/>
    </row>
    <row r="213" ht="15.75" customHeight="1">
      <c r="B213" s="217"/>
      <c r="C213" s="217"/>
      <c r="E213" s="296"/>
      <c r="H213" s="297"/>
      <c r="I213" s="298"/>
      <c r="J213" s="299"/>
      <c r="K213" s="298"/>
      <c r="L213" s="298"/>
      <c r="M213" s="298"/>
    </row>
    <row r="214" ht="15.75" customHeight="1">
      <c r="B214" s="217"/>
      <c r="C214" s="217"/>
      <c r="E214" s="296"/>
      <c r="H214" s="297"/>
      <c r="I214" s="298"/>
      <c r="J214" s="299"/>
      <c r="K214" s="298"/>
      <c r="L214" s="298"/>
      <c r="M214" s="298"/>
    </row>
    <row r="215" ht="15.75" customHeight="1">
      <c r="B215" s="217"/>
      <c r="C215" s="217"/>
      <c r="E215" s="296"/>
      <c r="H215" s="297"/>
      <c r="I215" s="298"/>
      <c r="J215" s="299"/>
      <c r="K215" s="298"/>
      <c r="L215" s="298"/>
      <c r="M215" s="298"/>
    </row>
    <row r="216" ht="15.75" customHeight="1">
      <c r="B216" s="217"/>
      <c r="C216" s="217"/>
      <c r="E216" s="296"/>
      <c r="H216" s="297"/>
      <c r="I216" s="298"/>
      <c r="J216" s="299"/>
      <c r="K216" s="298"/>
      <c r="L216" s="298"/>
      <c r="M216" s="298"/>
    </row>
    <row r="217" ht="15.75" customHeight="1">
      <c r="B217" s="217"/>
      <c r="C217" s="217"/>
      <c r="E217" s="296"/>
      <c r="H217" s="297"/>
      <c r="I217" s="298"/>
      <c r="J217" s="299"/>
      <c r="K217" s="298"/>
      <c r="L217" s="298"/>
      <c r="M217" s="298"/>
    </row>
    <row r="218" ht="15.75" customHeight="1">
      <c r="B218" s="217"/>
      <c r="C218" s="217"/>
      <c r="E218" s="296"/>
      <c r="H218" s="297"/>
      <c r="I218" s="298"/>
      <c r="J218" s="299"/>
      <c r="K218" s="298"/>
      <c r="L218" s="298"/>
      <c r="M218" s="298"/>
    </row>
    <row r="219" ht="15.75" customHeight="1">
      <c r="B219" s="217"/>
      <c r="C219" s="217"/>
      <c r="E219" s="296"/>
      <c r="H219" s="297"/>
      <c r="I219" s="298"/>
      <c r="J219" s="299"/>
      <c r="K219" s="298"/>
      <c r="L219" s="298"/>
      <c r="M219" s="298"/>
    </row>
    <row r="220" ht="15.75" customHeight="1">
      <c r="B220" s="217"/>
      <c r="C220" s="217"/>
      <c r="E220" s="296"/>
      <c r="H220" s="297"/>
      <c r="I220" s="298"/>
      <c r="J220" s="299"/>
      <c r="K220" s="298"/>
      <c r="L220" s="298"/>
      <c r="M220" s="298"/>
    </row>
    <row r="221" ht="15.75" customHeight="1">
      <c r="B221" s="217"/>
      <c r="C221" s="217"/>
      <c r="E221" s="296"/>
      <c r="H221" s="297"/>
      <c r="I221" s="298"/>
      <c r="J221" s="299"/>
      <c r="K221" s="298"/>
      <c r="L221" s="298"/>
      <c r="M221" s="298"/>
    </row>
    <row r="222" ht="15.75" customHeight="1">
      <c r="B222" s="217"/>
      <c r="C222" s="217"/>
      <c r="E222" s="296"/>
      <c r="H222" s="297"/>
      <c r="I222" s="298"/>
      <c r="J222" s="299"/>
      <c r="K222" s="298"/>
      <c r="L222" s="298"/>
      <c r="M222" s="298"/>
    </row>
    <row r="223" ht="15.75" customHeight="1">
      <c r="B223" s="217"/>
      <c r="C223" s="217"/>
      <c r="E223" s="296"/>
      <c r="H223" s="297"/>
      <c r="I223" s="298"/>
      <c r="J223" s="299"/>
      <c r="K223" s="298"/>
      <c r="L223" s="298"/>
      <c r="M223" s="298"/>
    </row>
    <row r="224" ht="15.75" customHeight="1">
      <c r="B224" s="217"/>
      <c r="C224" s="217"/>
      <c r="E224" s="296"/>
      <c r="H224" s="297"/>
      <c r="I224" s="298"/>
      <c r="J224" s="299"/>
      <c r="K224" s="298"/>
      <c r="L224" s="298"/>
      <c r="M224" s="298"/>
    </row>
    <row r="225" ht="15.75" customHeight="1">
      <c r="B225" s="217"/>
      <c r="C225" s="217"/>
      <c r="E225" s="296"/>
      <c r="H225" s="297"/>
      <c r="I225" s="298"/>
      <c r="J225" s="299"/>
      <c r="K225" s="298"/>
      <c r="L225" s="298"/>
      <c r="M225" s="298"/>
    </row>
    <row r="226" ht="15.75" customHeight="1">
      <c r="B226" s="217"/>
      <c r="C226" s="217"/>
      <c r="E226" s="296"/>
      <c r="H226" s="297"/>
      <c r="I226" s="298"/>
      <c r="J226" s="299"/>
      <c r="K226" s="298"/>
      <c r="L226" s="298"/>
      <c r="M226" s="298"/>
    </row>
    <row r="227" ht="15.75" customHeight="1">
      <c r="B227" s="217"/>
      <c r="C227" s="217"/>
      <c r="E227" s="296"/>
      <c r="H227" s="297"/>
      <c r="I227" s="298"/>
      <c r="J227" s="299"/>
      <c r="K227" s="298"/>
      <c r="L227" s="298"/>
      <c r="M227" s="298"/>
    </row>
    <row r="228" ht="15.75" customHeight="1">
      <c r="B228" s="217"/>
      <c r="C228" s="217"/>
      <c r="E228" s="296"/>
      <c r="H228" s="297"/>
      <c r="I228" s="298"/>
      <c r="J228" s="299"/>
      <c r="K228" s="298"/>
      <c r="L228" s="298"/>
      <c r="M228" s="298"/>
    </row>
    <row r="229" ht="15.75" customHeight="1">
      <c r="B229" s="217"/>
      <c r="C229" s="217"/>
      <c r="E229" s="296"/>
      <c r="H229" s="297"/>
      <c r="I229" s="298"/>
      <c r="J229" s="299"/>
      <c r="K229" s="298"/>
      <c r="L229" s="298"/>
      <c r="M229" s="298"/>
    </row>
    <row r="230" ht="15.75" customHeight="1">
      <c r="B230" s="217"/>
      <c r="C230" s="217"/>
      <c r="E230" s="296"/>
      <c r="H230" s="297"/>
      <c r="I230" s="298"/>
      <c r="J230" s="299"/>
      <c r="K230" s="298"/>
      <c r="L230" s="298"/>
      <c r="M230" s="298"/>
    </row>
    <row r="231" ht="15.75" customHeight="1">
      <c r="B231" s="217"/>
      <c r="C231" s="217"/>
      <c r="E231" s="296"/>
      <c r="H231" s="297"/>
      <c r="I231" s="298"/>
      <c r="J231" s="299"/>
      <c r="K231" s="298"/>
      <c r="L231" s="298"/>
      <c r="M231" s="298"/>
    </row>
    <row r="232" ht="15.75" customHeight="1">
      <c r="B232" s="217"/>
      <c r="C232" s="217"/>
      <c r="E232" s="296"/>
      <c r="H232" s="297"/>
      <c r="I232" s="298"/>
      <c r="J232" s="299"/>
      <c r="K232" s="298"/>
      <c r="L232" s="298"/>
      <c r="M232" s="298"/>
    </row>
    <row r="233" ht="15.75" customHeight="1">
      <c r="B233" s="217"/>
      <c r="C233" s="217"/>
      <c r="E233" s="296"/>
      <c r="H233" s="297"/>
      <c r="I233" s="298"/>
      <c r="J233" s="299"/>
      <c r="K233" s="298"/>
      <c r="L233" s="298"/>
      <c r="M233" s="298"/>
    </row>
    <row r="234" ht="15.75" customHeight="1">
      <c r="B234" s="217"/>
      <c r="C234" s="217"/>
      <c r="E234" s="296"/>
      <c r="H234" s="297"/>
      <c r="I234" s="298"/>
      <c r="J234" s="299"/>
      <c r="K234" s="298"/>
      <c r="L234" s="298"/>
      <c r="M234" s="298"/>
    </row>
    <row r="235" ht="15.75" customHeight="1">
      <c r="B235" s="217"/>
      <c r="C235" s="217"/>
      <c r="E235" s="296"/>
      <c r="H235" s="297"/>
      <c r="I235" s="298"/>
      <c r="J235" s="299"/>
      <c r="K235" s="298"/>
      <c r="L235" s="298"/>
      <c r="M235" s="298"/>
    </row>
    <row r="236" ht="15.75" customHeight="1">
      <c r="B236" s="217"/>
      <c r="C236" s="217"/>
      <c r="E236" s="296"/>
      <c r="H236" s="297"/>
      <c r="I236" s="298"/>
      <c r="J236" s="299"/>
      <c r="K236" s="298"/>
      <c r="L236" s="298"/>
      <c r="M236" s="298"/>
    </row>
    <row r="237" ht="15.75" customHeight="1">
      <c r="B237" s="217"/>
      <c r="C237" s="217"/>
      <c r="E237" s="296"/>
      <c r="H237" s="297"/>
      <c r="I237" s="298"/>
      <c r="J237" s="299"/>
      <c r="K237" s="298"/>
      <c r="L237" s="298"/>
      <c r="M237" s="298"/>
    </row>
    <row r="238" ht="15.75" customHeight="1">
      <c r="B238" s="217"/>
      <c r="C238" s="217"/>
      <c r="E238" s="296"/>
      <c r="H238" s="297"/>
      <c r="I238" s="298"/>
      <c r="J238" s="299"/>
      <c r="K238" s="298"/>
      <c r="L238" s="298"/>
      <c r="M238" s="298"/>
    </row>
    <row r="239" ht="15.75" customHeight="1">
      <c r="B239" s="217"/>
      <c r="C239" s="217"/>
      <c r="E239" s="296"/>
      <c r="H239" s="297"/>
      <c r="I239" s="298"/>
      <c r="J239" s="299"/>
      <c r="K239" s="298"/>
      <c r="L239" s="298"/>
      <c r="M239" s="298"/>
    </row>
    <row r="240" ht="15.75" customHeight="1">
      <c r="B240" s="217"/>
      <c r="C240" s="217"/>
      <c r="E240" s="296"/>
      <c r="H240" s="297"/>
      <c r="I240" s="298"/>
      <c r="J240" s="299"/>
      <c r="K240" s="298"/>
      <c r="L240" s="298"/>
      <c r="M240" s="298"/>
    </row>
    <row r="241" ht="15.75" customHeight="1">
      <c r="B241" s="217"/>
      <c r="C241" s="217"/>
      <c r="E241" s="296"/>
      <c r="H241" s="297"/>
      <c r="I241" s="298"/>
      <c r="J241" s="299"/>
      <c r="K241" s="298"/>
      <c r="L241" s="298"/>
      <c r="M241" s="298"/>
    </row>
    <row r="242" ht="15.75" customHeight="1">
      <c r="B242" s="217"/>
      <c r="C242" s="217"/>
      <c r="E242" s="296"/>
      <c r="H242" s="297"/>
      <c r="I242" s="298"/>
      <c r="J242" s="299"/>
      <c r="K242" s="298"/>
      <c r="L242" s="298"/>
      <c r="M242" s="298"/>
    </row>
    <row r="243" ht="15.75" customHeight="1">
      <c r="B243" s="217"/>
      <c r="C243" s="217"/>
      <c r="E243" s="296"/>
      <c r="H243" s="297"/>
      <c r="I243" s="298"/>
      <c r="J243" s="299"/>
      <c r="K243" s="298"/>
      <c r="L243" s="298"/>
      <c r="M243" s="298"/>
    </row>
    <row r="244" ht="15.75" customHeight="1">
      <c r="B244" s="217"/>
      <c r="C244" s="217"/>
      <c r="E244" s="296"/>
      <c r="H244" s="297"/>
      <c r="I244" s="298"/>
      <c r="J244" s="299"/>
      <c r="K244" s="298"/>
      <c r="L244" s="298"/>
      <c r="M244" s="298"/>
    </row>
    <row r="245" ht="15.75" customHeight="1">
      <c r="B245" s="217"/>
      <c r="C245" s="217"/>
      <c r="E245" s="296"/>
      <c r="H245" s="297"/>
      <c r="I245" s="298"/>
      <c r="J245" s="299"/>
      <c r="K245" s="298"/>
      <c r="L245" s="298"/>
      <c r="M245" s="298"/>
    </row>
    <row r="246" ht="15.75" customHeight="1">
      <c r="B246" s="217"/>
      <c r="C246" s="217"/>
      <c r="E246" s="296"/>
      <c r="H246" s="297"/>
      <c r="I246" s="298"/>
      <c r="J246" s="299"/>
      <c r="K246" s="298"/>
      <c r="L246" s="298"/>
      <c r="M246" s="298"/>
    </row>
    <row r="247" ht="15.75" customHeight="1">
      <c r="B247" s="217"/>
      <c r="C247" s="217"/>
      <c r="E247" s="296"/>
      <c r="H247" s="297"/>
      <c r="I247" s="298"/>
      <c r="J247" s="299"/>
      <c r="K247" s="298"/>
      <c r="L247" s="298"/>
      <c r="M247" s="298"/>
    </row>
    <row r="248" ht="15.75" customHeight="1">
      <c r="B248" s="217"/>
      <c r="C248" s="217"/>
      <c r="E248" s="296"/>
      <c r="H248" s="297"/>
      <c r="I248" s="298"/>
      <c r="J248" s="299"/>
      <c r="K248" s="298"/>
      <c r="L248" s="298"/>
      <c r="M248" s="298"/>
    </row>
    <row r="249" ht="15.75" customHeight="1">
      <c r="B249" s="217"/>
      <c r="C249" s="217"/>
      <c r="E249" s="296"/>
      <c r="H249" s="297"/>
      <c r="I249" s="298"/>
      <c r="J249" s="299"/>
      <c r="K249" s="298"/>
      <c r="L249" s="298"/>
      <c r="M249" s="298"/>
    </row>
    <row r="250" ht="15.75" customHeight="1">
      <c r="B250" s="217"/>
      <c r="C250" s="217"/>
      <c r="E250" s="296"/>
      <c r="H250" s="297"/>
      <c r="I250" s="298"/>
      <c r="J250" s="299"/>
      <c r="K250" s="298"/>
      <c r="L250" s="298"/>
      <c r="M250" s="298"/>
    </row>
    <row r="251" ht="15.75" customHeight="1">
      <c r="B251" s="217"/>
      <c r="C251" s="217"/>
      <c r="E251" s="296"/>
      <c r="H251" s="297"/>
      <c r="I251" s="298"/>
      <c r="J251" s="299"/>
      <c r="K251" s="298"/>
      <c r="L251" s="298"/>
      <c r="M251" s="298"/>
    </row>
    <row r="252" ht="15.75" customHeight="1">
      <c r="B252" s="217"/>
      <c r="C252" s="217"/>
      <c r="E252" s="296"/>
      <c r="H252" s="297"/>
      <c r="I252" s="298"/>
      <c r="J252" s="299"/>
      <c r="K252" s="298"/>
      <c r="L252" s="298"/>
      <c r="M252" s="298"/>
    </row>
    <row r="253" ht="15.75" customHeight="1">
      <c r="B253" s="217"/>
      <c r="C253" s="217"/>
      <c r="E253" s="296"/>
      <c r="H253" s="297"/>
      <c r="I253" s="298"/>
      <c r="J253" s="299"/>
      <c r="K253" s="298"/>
      <c r="L253" s="298"/>
      <c r="M253" s="298"/>
    </row>
    <row r="254" ht="15.75" customHeight="1">
      <c r="B254" s="217"/>
      <c r="C254" s="217"/>
      <c r="E254" s="296"/>
      <c r="H254" s="297"/>
      <c r="I254" s="298"/>
      <c r="J254" s="299"/>
      <c r="K254" s="298"/>
      <c r="L254" s="298"/>
      <c r="M254" s="298"/>
    </row>
    <row r="255" ht="15.75" customHeight="1">
      <c r="B255" s="217"/>
      <c r="C255" s="217"/>
      <c r="E255" s="296"/>
      <c r="H255" s="297"/>
      <c r="I255" s="298"/>
      <c r="J255" s="299"/>
      <c r="K255" s="298"/>
      <c r="L255" s="298"/>
      <c r="M255" s="298"/>
    </row>
    <row r="256" ht="15.75" customHeight="1">
      <c r="B256" s="217"/>
      <c r="C256" s="217"/>
      <c r="E256" s="296"/>
      <c r="H256" s="297"/>
      <c r="I256" s="298"/>
      <c r="J256" s="299"/>
      <c r="K256" s="298"/>
      <c r="L256" s="298"/>
      <c r="M256" s="298"/>
    </row>
    <row r="257" ht="15.75" customHeight="1">
      <c r="B257" s="217"/>
      <c r="C257" s="217"/>
      <c r="E257" s="296"/>
      <c r="H257" s="297"/>
      <c r="I257" s="298"/>
      <c r="J257" s="299"/>
      <c r="K257" s="298"/>
      <c r="L257" s="298"/>
      <c r="M257" s="298"/>
    </row>
    <row r="258" ht="15.75" customHeight="1">
      <c r="B258" s="217"/>
      <c r="C258" s="217"/>
      <c r="E258" s="296"/>
      <c r="H258" s="297"/>
      <c r="I258" s="298"/>
      <c r="J258" s="299"/>
      <c r="K258" s="298"/>
      <c r="L258" s="298"/>
      <c r="M258" s="298"/>
    </row>
    <row r="259" ht="15.75" customHeight="1">
      <c r="B259" s="217"/>
      <c r="C259" s="217"/>
      <c r="E259" s="296"/>
      <c r="H259" s="297"/>
      <c r="I259" s="298"/>
      <c r="J259" s="299"/>
      <c r="K259" s="298"/>
      <c r="L259" s="298"/>
      <c r="M259" s="298"/>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M$59">
    <filterColumn colId="8">
      <filters>
        <filter val="GERESA CUSCO"/>
      </filters>
    </filterColumn>
  </autoFilter>
  <mergeCells count="1">
    <mergeCell ref="A1:M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8"/>
    <col customWidth="1" min="2" max="2" width="9.5"/>
    <col customWidth="1" min="3" max="3" width="14.0"/>
    <col customWidth="1" min="4" max="4" width="10.75"/>
    <col customWidth="1" min="5" max="5" width="15.75"/>
    <col customWidth="1" min="6" max="6" width="12.13"/>
    <col customWidth="1" min="7" max="7" width="59.63"/>
    <col customWidth="1" min="8" max="8" width="41.88"/>
    <col customWidth="1" min="9" max="9" width="19.13"/>
    <col customWidth="1" min="10" max="10" width="12.63"/>
    <col customWidth="1" min="11" max="11" width="10.0"/>
    <col customWidth="1" min="12" max="12" width="10.88"/>
    <col customWidth="1" min="13" max="13" width="10.75"/>
    <col customWidth="1" min="14" max="14" width="9.25"/>
    <col customWidth="1" min="15" max="15" width="9.5"/>
    <col customWidth="1" min="16" max="16" width="8.13"/>
    <col customWidth="1" min="17" max="17" width="28.0"/>
    <col customWidth="1" min="18" max="36" width="10.5"/>
  </cols>
  <sheetData>
    <row r="1">
      <c r="A1" s="217"/>
      <c r="B1" s="217"/>
      <c r="C1" s="217"/>
      <c r="F1" s="298"/>
      <c r="G1" s="298"/>
      <c r="Q1" s="319"/>
      <c r="R1" s="319"/>
      <c r="S1" s="319"/>
      <c r="T1" s="319"/>
      <c r="U1" s="319"/>
      <c r="V1" s="319"/>
      <c r="W1" s="319"/>
      <c r="X1" s="319"/>
      <c r="Y1" s="319"/>
      <c r="Z1" s="319"/>
      <c r="AA1" s="319"/>
      <c r="AB1" s="319"/>
      <c r="AC1" s="319"/>
      <c r="AD1" s="319"/>
      <c r="AE1" s="319"/>
      <c r="AF1" s="319"/>
      <c r="AG1" s="319"/>
      <c r="AH1" s="319"/>
      <c r="AI1" s="319"/>
      <c r="AJ1" s="319"/>
    </row>
    <row r="2" ht="30.75" customHeight="1">
      <c r="A2" s="322"/>
      <c r="B2" s="322"/>
      <c r="C2" s="324" t="s">
        <v>3797</v>
      </c>
      <c r="D2" s="34"/>
      <c r="E2" s="34"/>
      <c r="F2" s="34"/>
      <c r="G2" s="34"/>
      <c r="H2" s="36"/>
      <c r="I2" s="325"/>
      <c r="J2" s="325"/>
      <c r="K2" s="325"/>
      <c r="L2" s="325"/>
      <c r="M2" s="325"/>
      <c r="N2" s="325"/>
      <c r="O2" s="325"/>
      <c r="P2" s="325"/>
      <c r="Q2" s="319"/>
      <c r="R2" s="319"/>
      <c r="S2" s="319"/>
      <c r="T2" s="319"/>
      <c r="U2" s="319"/>
      <c r="V2" s="319"/>
      <c r="W2" s="319"/>
      <c r="X2" s="319"/>
      <c r="Y2" s="319"/>
      <c r="Z2" s="319"/>
      <c r="AA2" s="319"/>
      <c r="AB2" s="319"/>
      <c r="AC2" s="319"/>
      <c r="AD2" s="319"/>
      <c r="AE2" s="319"/>
      <c r="AF2" s="319"/>
      <c r="AG2" s="319"/>
      <c r="AH2" s="319"/>
      <c r="AI2" s="319"/>
      <c r="AJ2" s="319"/>
    </row>
    <row r="3">
      <c r="A3" s="217"/>
      <c r="B3" s="217"/>
      <c r="C3" s="217"/>
      <c r="F3" s="298"/>
      <c r="G3" s="298"/>
      <c r="I3" s="329" t="s">
        <v>3820</v>
      </c>
      <c r="J3" s="34"/>
      <c r="K3" s="34"/>
      <c r="L3" s="36"/>
      <c r="M3" s="331" t="s">
        <v>3824</v>
      </c>
      <c r="N3" s="34"/>
      <c r="O3" s="34"/>
      <c r="P3" s="36"/>
      <c r="Q3" s="319"/>
      <c r="R3" s="319"/>
      <c r="S3" s="319"/>
      <c r="T3" s="319"/>
      <c r="U3" s="319"/>
      <c r="V3" s="319"/>
      <c r="W3" s="319"/>
      <c r="X3" s="319"/>
      <c r="Y3" s="319"/>
      <c r="Z3" s="319"/>
      <c r="AA3" s="319"/>
      <c r="AB3" s="319"/>
      <c r="AC3" s="319"/>
      <c r="AD3" s="319"/>
      <c r="AE3" s="319"/>
      <c r="AF3" s="319"/>
      <c r="AG3" s="319"/>
      <c r="AH3" s="319"/>
      <c r="AI3" s="319"/>
      <c r="AJ3" s="319"/>
    </row>
    <row r="4" ht="51.75" customHeight="1">
      <c r="A4" s="336" t="s">
        <v>3725</v>
      </c>
      <c r="B4" s="337" t="s">
        <v>3834</v>
      </c>
      <c r="C4" s="336" t="s">
        <v>3836</v>
      </c>
      <c r="D4" s="336" t="s">
        <v>3837</v>
      </c>
      <c r="E4" s="338" t="s">
        <v>3839</v>
      </c>
      <c r="F4" s="339" t="s">
        <v>3841</v>
      </c>
      <c r="G4" s="336" t="s">
        <v>3843</v>
      </c>
      <c r="H4" s="338" t="s">
        <v>14</v>
      </c>
      <c r="I4" s="341" t="s">
        <v>3844</v>
      </c>
      <c r="J4" s="343" t="s">
        <v>3846</v>
      </c>
      <c r="K4" s="343" t="s">
        <v>3847</v>
      </c>
      <c r="L4" s="341" t="s">
        <v>3848</v>
      </c>
      <c r="M4" s="344" t="s">
        <v>3850</v>
      </c>
      <c r="N4" s="345" t="s">
        <v>3854</v>
      </c>
      <c r="O4" s="345" t="s">
        <v>3856</v>
      </c>
      <c r="P4" s="344" t="s">
        <v>3857</v>
      </c>
      <c r="Q4" s="346" t="s">
        <v>3858</v>
      </c>
      <c r="R4" s="319"/>
      <c r="S4" s="319"/>
      <c r="T4" s="319"/>
      <c r="U4" s="319"/>
      <c r="V4" s="319"/>
      <c r="W4" s="319"/>
      <c r="X4" s="319"/>
      <c r="Y4" s="319"/>
      <c r="Z4" s="319"/>
      <c r="AA4" s="319"/>
      <c r="AB4" s="319"/>
      <c r="AC4" s="319"/>
      <c r="AD4" s="319"/>
      <c r="AE4" s="319"/>
      <c r="AF4" s="319"/>
      <c r="AG4" s="319"/>
      <c r="AH4" s="319"/>
      <c r="AI4" s="319"/>
      <c r="AJ4" s="319"/>
    </row>
    <row r="5" ht="22.5" customHeight="1">
      <c r="A5" s="352">
        <v>1.0</v>
      </c>
      <c r="B5" s="355"/>
      <c r="C5" s="357">
        <v>45849.0</v>
      </c>
      <c r="D5" s="357">
        <v>45895.0</v>
      </c>
      <c r="E5" s="360" t="s">
        <v>3869</v>
      </c>
      <c r="F5" s="362" t="s">
        <v>3874</v>
      </c>
      <c r="G5" s="362" t="s">
        <v>3876</v>
      </c>
      <c r="H5" s="360" t="s">
        <v>3877</v>
      </c>
      <c r="I5" s="365" t="s">
        <v>3878</v>
      </c>
      <c r="J5" s="369"/>
      <c r="K5" s="369"/>
      <c r="L5" s="369"/>
      <c r="M5" s="371" t="s">
        <v>3899</v>
      </c>
      <c r="N5" s="371" t="s">
        <v>3901</v>
      </c>
      <c r="O5" s="371" t="s">
        <v>3903</v>
      </c>
      <c r="P5" s="365" t="s">
        <v>3905</v>
      </c>
      <c r="Q5" s="373"/>
      <c r="R5" s="319"/>
      <c r="S5" s="319"/>
      <c r="T5" s="319"/>
      <c r="U5" s="319"/>
      <c r="V5" s="319"/>
      <c r="W5" s="319"/>
      <c r="X5" s="319"/>
      <c r="Y5" s="319"/>
      <c r="Z5" s="319"/>
      <c r="AA5" s="319"/>
      <c r="AB5" s="319"/>
      <c r="AC5" s="319"/>
      <c r="AD5" s="319"/>
      <c r="AE5" s="319"/>
      <c r="AF5" s="319"/>
      <c r="AG5" s="319"/>
      <c r="AH5" s="319"/>
      <c r="AI5" s="319"/>
      <c r="AJ5" s="319"/>
    </row>
    <row r="6" ht="22.5" customHeight="1">
      <c r="A6" s="352">
        <v>2.0</v>
      </c>
      <c r="B6" s="355"/>
      <c r="C6" s="357">
        <v>45852.0</v>
      </c>
      <c r="D6" s="357">
        <v>45890.0</v>
      </c>
      <c r="E6" s="360" t="s">
        <v>3915</v>
      </c>
      <c r="F6" s="362" t="s">
        <v>3874</v>
      </c>
      <c r="G6" s="362" t="s">
        <v>3916</v>
      </c>
      <c r="H6" s="360" t="s">
        <v>3917</v>
      </c>
      <c r="I6" s="365" t="s">
        <v>3878</v>
      </c>
      <c r="J6" s="369"/>
      <c r="K6" s="369"/>
      <c r="L6" s="369"/>
      <c r="M6" s="371" t="s">
        <v>3921</v>
      </c>
      <c r="N6" s="365" t="s">
        <v>3923</v>
      </c>
      <c r="O6" s="369"/>
      <c r="P6" s="369"/>
      <c r="Q6" s="373"/>
      <c r="R6" s="319"/>
      <c r="S6" s="319"/>
      <c r="T6" s="319"/>
      <c r="U6" s="319"/>
      <c r="V6" s="319"/>
      <c r="W6" s="319"/>
      <c r="X6" s="319"/>
      <c r="Y6" s="319"/>
      <c r="Z6" s="319"/>
      <c r="AA6" s="319"/>
      <c r="AB6" s="319"/>
      <c r="AC6" s="319"/>
      <c r="AD6" s="319"/>
      <c r="AE6" s="319"/>
      <c r="AF6" s="319"/>
      <c r="AG6" s="319"/>
      <c r="AH6" s="319"/>
      <c r="AI6" s="319"/>
      <c r="AJ6" s="319"/>
    </row>
    <row r="7" ht="22.5" customHeight="1">
      <c r="A7" s="352">
        <v>3.0</v>
      </c>
      <c r="B7" s="357"/>
      <c r="C7" s="357">
        <v>45854.0</v>
      </c>
      <c r="D7" s="379">
        <v>45778.0</v>
      </c>
      <c r="E7" s="380" t="s">
        <v>3938</v>
      </c>
      <c r="F7" s="381" t="s">
        <v>3874</v>
      </c>
      <c r="G7" s="381" t="s">
        <v>3941</v>
      </c>
      <c r="H7" s="360" t="s">
        <v>3942</v>
      </c>
      <c r="I7" s="382"/>
      <c r="J7" s="384"/>
      <c r="K7" s="384"/>
      <c r="L7" s="384"/>
      <c r="M7" s="384" t="s">
        <v>3959</v>
      </c>
      <c r="N7" s="384"/>
      <c r="O7" s="384"/>
      <c r="P7" s="384"/>
      <c r="Q7" s="386"/>
      <c r="R7" s="319"/>
      <c r="S7" s="319"/>
      <c r="T7" s="319"/>
      <c r="U7" s="319"/>
      <c r="V7" s="319"/>
      <c r="W7" s="319"/>
      <c r="X7" s="319"/>
      <c r="Y7" s="319"/>
      <c r="Z7" s="319"/>
      <c r="AA7" s="319"/>
      <c r="AB7" s="319"/>
      <c r="AC7" s="319"/>
      <c r="AD7" s="319"/>
      <c r="AE7" s="319"/>
      <c r="AF7" s="319"/>
      <c r="AG7" s="319"/>
      <c r="AH7" s="319"/>
      <c r="AI7" s="319"/>
      <c r="AJ7" s="319"/>
    </row>
    <row r="8" ht="22.5" customHeight="1">
      <c r="A8" s="352">
        <v>4.0</v>
      </c>
      <c r="B8" s="355"/>
      <c r="C8" s="357">
        <v>45856.0</v>
      </c>
      <c r="D8" s="379">
        <v>45891.0</v>
      </c>
      <c r="E8" s="380" t="s">
        <v>3915</v>
      </c>
      <c r="F8" s="381" t="s">
        <v>3874</v>
      </c>
      <c r="G8" s="381" t="s">
        <v>3975</v>
      </c>
      <c r="H8" s="380" t="s">
        <v>3976</v>
      </c>
      <c r="I8" s="382" t="s">
        <v>3978</v>
      </c>
      <c r="J8" s="384"/>
      <c r="K8" s="384"/>
      <c r="L8" s="384"/>
      <c r="M8" s="382" t="s">
        <v>3981</v>
      </c>
      <c r="N8" s="384"/>
      <c r="O8" s="384"/>
      <c r="P8" s="384"/>
      <c r="Q8" s="386"/>
      <c r="R8" s="319"/>
      <c r="S8" s="319"/>
      <c r="T8" s="319"/>
      <c r="U8" s="319"/>
      <c r="V8" s="319"/>
      <c r="W8" s="319"/>
      <c r="X8" s="319"/>
      <c r="Y8" s="319"/>
      <c r="Z8" s="319"/>
      <c r="AA8" s="319"/>
      <c r="AB8" s="319"/>
      <c r="AC8" s="319"/>
      <c r="AD8" s="319"/>
      <c r="AE8" s="319"/>
      <c r="AF8" s="319"/>
      <c r="AG8" s="319"/>
      <c r="AH8" s="319"/>
      <c r="AI8" s="319"/>
      <c r="AJ8" s="319"/>
    </row>
    <row r="9" ht="22.5" customHeight="1">
      <c r="A9" s="388">
        <v>5.0</v>
      </c>
      <c r="B9" s="389">
        <v>8.0</v>
      </c>
      <c r="C9" s="390">
        <v>45856.0</v>
      </c>
      <c r="D9" s="391"/>
      <c r="E9" s="391" t="s">
        <v>3994</v>
      </c>
      <c r="F9" s="392" t="s">
        <v>3874</v>
      </c>
      <c r="G9" s="392" t="s">
        <v>3996</v>
      </c>
      <c r="H9" s="391"/>
      <c r="I9" s="394"/>
      <c r="J9" s="394"/>
      <c r="K9" s="394"/>
      <c r="L9" s="394"/>
      <c r="M9" s="394"/>
      <c r="N9" s="394"/>
      <c r="O9" s="394"/>
      <c r="P9" s="394"/>
      <c r="Q9" s="386"/>
      <c r="R9" s="319"/>
      <c r="S9" s="319"/>
      <c r="T9" s="319"/>
      <c r="U9" s="319"/>
      <c r="V9" s="319"/>
      <c r="W9" s="319"/>
      <c r="X9" s="319"/>
      <c r="Y9" s="319"/>
      <c r="Z9" s="319"/>
      <c r="AA9" s="319"/>
      <c r="AB9" s="319"/>
      <c r="AC9" s="319"/>
      <c r="AD9" s="319"/>
      <c r="AE9" s="319"/>
      <c r="AF9" s="319"/>
      <c r="AG9" s="319"/>
      <c r="AH9" s="319"/>
      <c r="AI9" s="319"/>
      <c r="AJ9" s="319"/>
    </row>
    <row r="10" ht="22.5" customHeight="1">
      <c r="A10" s="352">
        <v>6.0</v>
      </c>
      <c r="B10" s="357"/>
      <c r="C10" s="357">
        <v>45869.0</v>
      </c>
      <c r="D10" s="379">
        <v>45876.0</v>
      </c>
      <c r="E10" s="380" t="s">
        <v>4026</v>
      </c>
      <c r="F10" s="381" t="s">
        <v>4028</v>
      </c>
      <c r="G10" s="381" t="s">
        <v>4030</v>
      </c>
      <c r="H10" s="380" t="s">
        <v>4032</v>
      </c>
      <c r="I10" s="382" t="s">
        <v>3878</v>
      </c>
      <c r="J10" s="382"/>
      <c r="K10" s="382"/>
      <c r="L10" s="382"/>
      <c r="M10" s="382"/>
      <c r="N10" s="382"/>
      <c r="O10" s="382"/>
      <c r="P10" s="382"/>
      <c r="Q10" s="386" t="s">
        <v>4038</v>
      </c>
      <c r="R10" s="319"/>
      <c r="S10" s="319"/>
      <c r="T10" s="319"/>
      <c r="U10" s="319"/>
      <c r="V10" s="319"/>
      <c r="W10" s="400"/>
      <c r="X10" s="400"/>
      <c r="Y10" s="400"/>
      <c r="Z10" s="400"/>
      <c r="AA10" s="400"/>
      <c r="AB10" s="400"/>
      <c r="AC10" s="400"/>
      <c r="AD10" s="400"/>
      <c r="AE10" s="400"/>
      <c r="AF10" s="400"/>
      <c r="AG10" s="400"/>
      <c r="AH10" s="400"/>
      <c r="AI10" s="400"/>
      <c r="AJ10" s="400"/>
    </row>
    <row r="11" ht="22.5" customHeight="1">
      <c r="A11" s="352">
        <v>7.0</v>
      </c>
      <c r="B11" s="355"/>
      <c r="C11" s="357">
        <v>45873.0</v>
      </c>
      <c r="D11" s="380" t="s">
        <v>4051</v>
      </c>
      <c r="E11" s="380" t="s">
        <v>4053</v>
      </c>
      <c r="F11" s="381" t="s">
        <v>4028</v>
      </c>
      <c r="G11" s="381" t="s">
        <v>4054</v>
      </c>
      <c r="H11" s="380" t="s">
        <v>4055</v>
      </c>
      <c r="I11" s="382"/>
      <c r="J11" s="382"/>
      <c r="K11" s="382"/>
      <c r="L11" s="382"/>
      <c r="M11" s="382"/>
      <c r="N11" s="382"/>
      <c r="O11" s="382"/>
      <c r="P11" s="382"/>
      <c r="Q11" s="386" t="s">
        <v>4038</v>
      </c>
      <c r="R11" s="319"/>
      <c r="S11" s="319"/>
      <c r="T11" s="319"/>
      <c r="U11" s="319"/>
      <c r="V11" s="319"/>
      <c r="W11" s="400"/>
      <c r="X11" s="400"/>
      <c r="Y11" s="400"/>
      <c r="Z11" s="400"/>
      <c r="AA11" s="400"/>
      <c r="AB11" s="400"/>
      <c r="AC11" s="400"/>
      <c r="AD11" s="400"/>
      <c r="AE11" s="400"/>
      <c r="AF11" s="400"/>
      <c r="AG11" s="400"/>
      <c r="AH11" s="400"/>
      <c r="AI11" s="400"/>
      <c r="AJ11" s="400"/>
    </row>
    <row r="12" ht="22.5" customHeight="1">
      <c r="A12" s="352">
        <v>8.0</v>
      </c>
      <c r="B12" s="357"/>
      <c r="C12" s="357">
        <v>45873.0</v>
      </c>
      <c r="D12" s="403">
        <v>45889.0</v>
      </c>
      <c r="E12" s="380" t="s">
        <v>4079</v>
      </c>
      <c r="F12" s="381" t="s">
        <v>3874</v>
      </c>
      <c r="G12" s="381" t="s">
        <v>4080</v>
      </c>
      <c r="H12" s="380" t="s">
        <v>4081</v>
      </c>
      <c r="I12" s="382" t="s">
        <v>4083</v>
      </c>
      <c r="J12" s="382" t="s">
        <v>4085</v>
      </c>
      <c r="K12" s="384"/>
      <c r="L12" s="384"/>
      <c r="M12" s="382" t="s">
        <v>4088</v>
      </c>
      <c r="N12" s="384"/>
      <c r="O12" s="384"/>
      <c r="P12" s="384"/>
      <c r="Q12" s="386"/>
      <c r="R12" s="319"/>
      <c r="S12" s="319"/>
      <c r="T12" s="319"/>
      <c r="U12" s="319"/>
      <c r="V12" s="319"/>
      <c r="W12" s="319"/>
      <c r="X12" s="319"/>
      <c r="Y12" s="319"/>
      <c r="Z12" s="319"/>
      <c r="AA12" s="319"/>
      <c r="AB12" s="319"/>
      <c r="AC12" s="319"/>
      <c r="AD12" s="319"/>
      <c r="AE12" s="319"/>
      <c r="AF12" s="319"/>
      <c r="AG12" s="319"/>
      <c r="AH12" s="319"/>
      <c r="AI12" s="319"/>
      <c r="AJ12" s="319"/>
    </row>
    <row r="13" ht="22.5" customHeight="1">
      <c r="A13" s="352">
        <v>9.0</v>
      </c>
      <c r="B13" s="405"/>
      <c r="C13" s="357">
        <v>45874.0</v>
      </c>
      <c r="D13" s="380"/>
      <c r="E13" s="380" t="s">
        <v>3915</v>
      </c>
      <c r="F13" s="381" t="s">
        <v>3874</v>
      </c>
      <c r="G13" s="381" t="s">
        <v>4106</v>
      </c>
      <c r="H13" s="380" t="s">
        <v>4108</v>
      </c>
      <c r="I13" s="382" t="s">
        <v>4110</v>
      </c>
      <c r="J13" s="382" t="s">
        <v>3978</v>
      </c>
      <c r="K13" s="384"/>
      <c r="L13" s="384"/>
      <c r="M13" s="406" t="s">
        <v>4113</v>
      </c>
      <c r="N13" s="382" t="s">
        <v>4115</v>
      </c>
      <c r="O13" s="384"/>
      <c r="P13" s="384"/>
      <c r="Q13" s="386"/>
      <c r="R13" s="319"/>
      <c r="S13" s="319"/>
      <c r="T13" s="319"/>
      <c r="U13" s="319"/>
      <c r="V13" s="319"/>
      <c r="W13" s="400"/>
      <c r="X13" s="400"/>
      <c r="Y13" s="400"/>
      <c r="Z13" s="400"/>
      <c r="AA13" s="400"/>
      <c r="AB13" s="400"/>
      <c r="AC13" s="400"/>
      <c r="AD13" s="400"/>
      <c r="AE13" s="400"/>
      <c r="AF13" s="400"/>
      <c r="AG13" s="400"/>
      <c r="AH13" s="400"/>
      <c r="AI13" s="400"/>
      <c r="AJ13" s="400"/>
    </row>
    <row r="14" ht="22.5" customHeight="1">
      <c r="A14" s="352">
        <v>10.0</v>
      </c>
      <c r="B14" s="405"/>
      <c r="C14" s="357">
        <v>45874.0</v>
      </c>
      <c r="D14" s="403">
        <v>45903.0</v>
      </c>
      <c r="E14" s="380" t="s">
        <v>4129</v>
      </c>
      <c r="F14" s="381" t="s">
        <v>3874</v>
      </c>
      <c r="G14" s="381" t="s">
        <v>4080</v>
      </c>
      <c r="H14" s="380" t="s">
        <v>4132</v>
      </c>
      <c r="I14" s="382" t="s">
        <v>3978</v>
      </c>
      <c r="J14" s="384"/>
      <c r="K14" s="384"/>
      <c r="L14" s="384"/>
      <c r="M14" s="382" t="s">
        <v>4136</v>
      </c>
      <c r="N14" s="384"/>
      <c r="O14" s="384"/>
      <c r="P14" s="384"/>
      <c r="Q14" s="386"/>
      <c r="R14" s="319"/>
      <c r="S14" s="319"/>
      <c r="T14" s="319"/>
      <c r="U14" s="319"/>
      <c r="V14" s="319"/>
      <c r="W14" s="319"/>
      <c r="X14" s="319"/>
      <c r="Y14" s="319"/>
      <c r="Z14" s="319"/>
      <c r="AA14" s="319"/>
      <c r="AB14" s="319"/>
      <c r="AC14" s="319"/>
      <c r="AD14" s="319"/>
      <c r="AE14" s="319"/>
      <c r="AF14" s="319"/>
      <c r="AG14" s="319"/>
      <c r="AH14" s="319"/>
      <c r="AI14" s="319"/>
      <c r="AJ14" s="319"/>
    </row>
    <row r="15" ht="22.5" customHeight="1">
      <c r="A15" s="352">
        <v>11.0</v>
      </c>
      <c r="B15" s="405"/>
      <c r="C15" s="410">
        <v>45877.0</v>
      </c>
      <c r="D15" s="403">
        <v>45902.0</v>
      </c>
      <c r="E15" s="411" t="s">
        <v>4158</v>
      </c>
      <c r="F15" s="381" t="s">
        <v>3874</v>
      </c>
      <c r="G15" s="412" t="s">
        <v>4080</v>
      </c>
      <c r="H15" s="411" t="s">
        <v>4162</v>
      </c>
      <c r="I15" s="382" t="s">
        <v>3978</v>
      </c>
      <c r="J15" s="384"/>
      <c r="K15" s="384"/>
      <c r="L15" s="384"/>
      <c r="M15" s="406" t="s">
        <v>3899</v>
      </c>
      <c r="N15" s="382" t="s">
        <v>4136</v>
      </c>
      <c r="O15" s="384"/>
      <c r="P15" s="384"/>
      <c r="Q15" s="386"/>
      <c r="R15" s="319"/>
      <c r="S15" s="319"/>
      <c r="T15" s="319"/>
      <c r="U15" s="319"/>
      <c r="V15" s="319"/>
      <c r="W15" s="319"/>
      <c r="X15" s="319"/>
      <c r="Y15" s="319"/>
      <c r="Z15" s="319"/>
      <c r="AA15" s="319"/>
      <c r="AB15" s="319"/>
      <c r="AC15" s="319"/>
      <c r="AD15" s="319"/>
      <c r="AE15" s="319"/>
      <c r="AF15" s="319"/>
      <c r="AG15" s="319"/>
      <c r="AH15" s="319"/>
      <c r="AI15" s="319"/>
      <c r="AJ15" s="319"/>
    </row>
    <row r="16" ht="22.5" customHeight="1">
      <c r="A16" s="352">
        <v>12.0</v>
      </c>
      <c r="B16" s="405"/>
      <c r="C16" s="410">
        <v>45876.0</v>
      </c>
      <c r="D16" s="403">
        <v>45902.0</v>
      </c>
      <c r="E16" s="411" t="s">
        <v>3869</v>
      </c>
      <c r="F16" s="412" t="s">
        <v>3874</v>
      </c>
      <c r="G16" s="412" t="s">
        <v>4185</v>
      </c>
      <c r="H16" s="411" t="s">
        <v>2241</v>
      </c>
      <c r="I16" s="382" t="s">
        <v>3978</v>
      </c>
      <c r="J16" s="384"/>
      <c r="K16" s="384"/>
      <c r="L16" s="384"/>
      <c r="M16" s="406" t="s">
        <v>4189</v>
      </c>
      <c r="N16" s="382" t="s">
        <v>4136</v>
      </c>
      <c r="O16" s="384"/>
      <c r="P16" s="384"/>
      <c r="Q16" s="386"/>
      <c r="R16" s="319"/>
      <c r="S16" s="319"/>
      <c r="T16" s="319"/>
      <c r="U16" s="319"/>
      <c r="V16" s="319"/>
      <c r="W16" s="319"/>
      <c r="X16" s="319"/>
      <c r="Y16" s="319"/>
      <c r="Z16" s="319"/>
      <c r="AA16" s="319"/>
      <c r="AB16" s="319"/>
      <c r="AC16" s="319"/>
      <c r="AD16" s="319"/>
      <c r="AE16" s="319"/>
      <c r="AF16" s="319"/>
      <c r="AG16" s="319"/>
      <c r="AH16" s="319"/>
      <c r="AI16" s="319"/>
      <c r="AJ16" s="319"/>
    </row>
    <row r="17" ht="22.5" customHeight="1">
      <c r="A17" s="352">
        <v>13.0</v>
      </c>
      <c r="B17" s="405"/>
      <c r="C17" s="357">
        <v>45876.0</v>
      </c>
      <c r="D17" s="380"/>
      <c r="E17" s="380" t="s">
        <v>3915</v>
      </c>
      <c r="F17" s="381" t="s">
        <v>3874</v>
      </c>
      <c r="G17" s="381" t="s">
        <v>4206</v>
      </c>
      <c r="H17" s="380" t="s">
        <v>4207</v>
      </c>
      <c r="I17" s="382" t="s">
        <v>4209</v>
      </c>
      <c r="J17" s="382"/>
      <c r="K17" s="382"/>
      <c r="L17" s="382"/>
      <c r="M17" s="382" t="s">
        <v>4115</v>
      </c>
      <c r="N17" s="382"/>
      <c r="O17" s="382"/>
      <c r="P17" s="382"/>
      <c r="Q17" s="386"/>
      <c r="R17" s="319"/>
      <c r="S17" s="319"/>
      <c r="T17" s="319"/>
      <c r="U17" s="319"/>
      <c r="V17" s="319"/>
      <c r="W17" s="400"/>
      <c r="X17" s="400"/>
      <c r="Y17" s="400"/>
      <c r="Z17" s="400"/>
      <c r="AA17" s="400"/>
      <c r="AB17" s="400"/>
      <c r="AC17" s="400"/>
      <c r="AD17" s="400"/>
      <c r="AE17" s="400"/>
      <c r="AF17" s="400"/>
      <c r="AG17" s="400"/>
      <c r="AH17" s="400"/>
      <c r="AI17" s="400"/>
      <c r="AJ17" s="400"/>
    </row>
    <row r="18" ht="22.5" customHeight="1">
      <c r="A18" s="352">
        <v>14.0</v>
      </c>
      <c r="B18" s="405"/>
      <c r="C18" s="357">
        <v>45880.0</v>
      </c>
      <c r="D18" s="403">
        <v>45889.0</v>
      </c>
      <c r="E18" s="380" t="s">
        <v>3938</v>
      </c>
      <c r="F18" s="381" t="s">
        <v>3874</v>
      </c>
      <c r="G18" s="381" t="s">
        <v>4223</v>
      </c>
      <c r="H18" s="380" t="s">
        <v>4224</v>
      </c>
      <c r="I18" s="382" t="s">
        <v>4225</v>
      </c>
      <c r="J18" s="382" t="s">
        <v>4226</v>
      </c>
      <c r="K18" s="382" t="s">
        <v>4228</v>
      </c>
      <c r="L18" s="384"/>
      <c r="M18" s="406" t="s">
        <v>3899</v>
      </c>
      <c r="N18" s="382" t="s">
        <v>4136</v>
      </c>
      <c r="O18" s="384"/>
      <c r="P18" s="384"/>
      <c r="Q18" s="386"/>
      <c r="R18" s="319"/>
      <c r="S18" s="319"/>
      <c r="T18" s="319"/>
      <c r="U18" s="319"/>
      <c r="V18" s="319"/>
      <c r="W18" s="319"/>
      <c r="X18" s="319"/>
      <c r="Y18" s="319"/>
      <c r="Z18" s="319"/>
      <c r="AA18" s="319"/>
      <c r="AB18" s="319"/>
      <c r="AC18" s="319"/>
      <c r="AD18" s="319"/>
      <c r="AE18" s="319"/>
      <c r="AF18" s="319"/>
      <c r="AG18" s="319"/>
      <c r="AH18" s="319"/>
      <c r="AI18" s="319"/>
      <c r="AJ18" s="319"/>
    </row>
    <row r="19" ht="22.5" customHeight="1">
      <c r="A19" s="352">
        <v>15.0</v>
      </c>
      <c r="B19" s="405"/>
      <c r="C19" s="357">
        <v>45882.0</v>
      </c>
      <c r="D19" s="379">
        <v>45894.0</v>
      </c>
      <c r="E19" s="380" t="s">
        <v>4250</v>
      </c>
      <c r="F19" s="381" t="s">
        <v>3874</v>
      </c>
      <c r="G19" s="381" t="s">
        <v>4252</v>
      </c>
      <c r="H19" s="380" t="s">
        <v>4254</v>
      </c>
      <c r="I19" s="382" t="s">
        <v>4256</v>
      </c>
      <c r="J19" s="382" t="s">
        <v>4257</v>
      </c>
      <c r="K19" s="384"/>
      <c r="L19" s="384"/>
      <c r="M19" s="406" t="s">
        <v>3899</v>
      </c>
      <c r="N19" s="406" t="s">
        <v>3901</v>
      </c>
      <c r="O19" s="382" t="s">
        <v>3905</v>
      </c>
      <c r="P19" s="384"/>
      <c r="Q19" s="386"/>
      <c r="R19" s="319"/>
      <c r="S19" s="319"/>
      <c r="T19" s="319"/>
      <c r="U19" s="319"/>
      <c r="V19" s="319"/>
      <c r="W19" s="319"/>
      <c r="X19" s="319"/>
      <c r="Y19" s="319"/>
      <c r="Z19" s="319"/>
      <c r="AA19" s="319"/>
      <c r="AB19" s="319"/>
      <c r="AC19" s="319"/>
      <c r="AD19" s="319"/>
      <c r="AE19" s="319"/>
      <c r="AF19" s="319"/>
      <c r="AG19" s="319"/>
      <c r="AH19" s="319"/>
      <c r="AI19" s="319"/>
      <c r="AJ19" s="319"/>
    </row>
    <row r="20" ht="22.5" customHeight="1">
      <c r="A20" s="352">
        <v>16.0</v>
      </c>
      <c r="B20" s="405"/>
      <c r="C20" s="357">
        <v>45883.0</v>
      </c>
      <c r="D20" s="379">
        <v>45903.0</v>
      </c>
      <c r="E20" s="380" t="s">
        <v>4267</v>
      </c>
      <c r="F20" s="381" t="s">
        <v>3874</v>
      </c>
      <c r="G20" s="381" t="s">
        <v>4268</v>
      </c>
      <c r="H20" s="380" t="s">
        <v>4270</v>
      </c>
      <c r="I20" s="382" t="s">
        <v>3978</v>
      </c>
      <c r="J20" s="384"/>
      <c r="K20" s="384"/>
      <c r="L20" s="384"/>
      <c r="M20" s="406" t="s">
        <v>4271</v>
      </c>
      <c r="N20" s="406" t="s">
        <v>4273</v>
      </c>
      <c r="O20" s="382" t="s">
        <v>4115</v>
      </c>
      <c r="P20" s="384"/>
      <c r="Q20" s="386"/>
      <c r="R20" s="319"/>
      <c r="S20" s="319"/>
      <c r="T20" s="319"/>
      <c r="U20" s="319"/>
      <c r="V20" s="319"/>
      <c r="W20" s="400"/>
      <c r="X20" s="400"/>
      <c r="Y20" s="400"/>
      <c r="Z20" s="400"/>
      <c r="AA20" s="400"/>
      <c r="AB20" s="400"/>
      <c r="AC20" s="400"/>
      <c r="AD20" s="400"/>
      <c r="AE20" s="400"/>
      <c r="AF20" s="400"/>
      <c r="AG20" s="400"/>
      <c r="AH20" s="400"/>
      <c r="AI20" s="400"/>
      <c r="AJ20" s="400"/>
    </row>
    <row r="21" ht="22.5" customHeight="1">
      <c r="A21" s="352">
        <v>17.0</v>
      </c>
      <c r="B21" s="448"/>
      <c r="C21" s="357">
        <v>45887.0</v>
      </c>
      <c r="D21" s="450">
        <v>45888.0</v>
      </c>
      <c r="E21" s="380" t="s">
        <v>4283</v>
      </c>
      <c r="F21" s="381" t="s">
        <v>3874</v>
      </c>
      <c r="G21" s="381" t="s">
        <v>4285</v>
      </c>
      <c r="H21" s="380" t="s">
        <v>4287</v>
      </c>
      <c r="I21" s="382" t="s">
        <v>3978</v>
      </c>
      <c r="J21" s="384"/>
      <c r="K21" s="384"/>
      <c r="L21" s="384"/>
      <c r="M21" s="382" t="s">
        <v>4292</v>
      </c>
      <c r="N21" s="384"/>
      <c r="O21" s="384"/>
      <c r="P21" s="384"/>
      <c r="Q21" s="386"/>
      <c r="R21" s="319"/>
      <c r="S21" s="319"/>
      <c r="T21" s="319"/>
      <c r="U21" s="319"/>
      <c r="V21" s="319"/>
      <c r="W21" s="319"/>
      <c r="X21" s="319"/>
      <c r="Y21" s="319"/>
      <c r="Z21" s="319"/>
      <c r="AA21" s="319"/>
      <c r="AB21" s="319"/>
      <c r="AC21" s="319"/>
      <c r="AD21" s="319"/>
      <c r="AE21" s="319"/>
      <c r="AF21" s="319"/>
      <c r="AG21" s="319"/>
      <c r="AH21" s="319"/>
      <c r="AI21" s="319"/>
      <c r="AJ21" s="319"/>
    </row>
    <row r="22" ht="22.5" customHeight="1">
      <c r="A22" s="352">
        <v>18.0</v>
      </c>
      <c r="B22" s="405"/>
      <c r="C22" s="357">
        <v>45888.0</v>
      </c>
      <c r="D22" s="379">
        <v>45897.0</v>
      </c>
      <c r="E22" s="380" t="s">
        <v>4310</v>
      </c>
      <c r="F22" s="381" t="s">
        <v>3874</v>
      </c>
      <c r="G22" s="381" t="s">
        <v>4313</v>
      </c>
      <c r="H22" s="380" t="s">
        <v>4314</v>
      </c>
      <c r="I22" s="382" t="s">
        <v>3978</v>
      </c>
      <c r="J22" s="384"/>
      <c r="K22" s="384"/>
      <c r="L22" s="384"/>
      <c r="M22" s="406" t="s">
        <v>4317</v>
      </c>
      <c r="N22" s="382" t="s">
        <v>3923</v>
      </c>
      <c r="O22" s="384"/>
      <c r="P22" s="384"/>
      <c r="Q22" s="386"/>
      <c r="R22" s="319"/>
      <c r="S22" s="319"/>
      <c r="T22" s="319"/>
      <c r="U22" s="319"/>
      <c r="V22" s="319"/>
      <c r="W22" s="319"/>
      <c r="X22" s="319"/>
      <c r="Y22" s="319"/>
      <c r="Z22" s="319"/>
      <c r="AA22" s="319"/>
      <c r="AB22" s="319"/>
      <c r="AC22" s="319"/>
      <c r="AD22" s="319"/>
      <c r="AE22" s="319"/>
      <c r="AF22" s="319"/>
      <c r="AG22" s="319"/>
      <c r="AH22" s="319"/>
      <c r="AI22" s="319"/>
      <c r="AJ22" s="319"/>
    </row>
    <row r="23" ht="22.5" customHeight="1">
      <c r="A23" s="352">
        <v>19.0</v>
      </c>
      <c r="B23" s="405"/>
      <c r="C23" s="357">
        <v>45891.0</v>
      </c>
      <c r="D23" s="379">
        <v>45897.0</v>
      </c>
      <c r="E23" s="380" t="s">
        <v>3915</v>
      </c>
      <c r="F23" s="381" t="s">
        <v>3874</v>
      </c>
      <c r="G23" s="381" t="s">
        <v>4106</v>
      </c>
      <c r="H23" s="380" t="s">
        <v>4329</v>
      </c>
      <c r="I23" s="382" t="s">
        <v>3978</v>
      </c>
      <c r="J23" s="384"/>
      <c r="K23" s="384"/>
      <c r="L23" s="384"/>
      <c r="M23" s="382" t="s">
        <v>4331</v>
      </c>
      <c r="N23" s="384"/>
      <c r="O23" s="384"/>
      <c r="P23" s="384"/>
      <c r="Q23" s="386"/>
      <c r="R23" s="319"/>
      <c r="S23" s="319"/>
      <c r="T23" s="319"/>
      <c r="U23" s="319"/>
      <c r="V23" s="319"/>
      <c r="W23" s="319"/>
      <c r="X23" s="319"/>
      <c r="Y23" s="319"/>
      <c r="Z23" s="319"/>
      <c r="AA23" s="319"/>
      <c r="AB23" s="319"/>
      <c r="AC23" s="319"/>
      <c r="AD23" s="319"/>
      <c r="AE23" s="319"/>
      <c r="AF23" s="319"/>
      <c r="AG23" s="319"/>
      <c r="AH23" s="319"/>
      <c r="AI23" s="319"/>
      <c r="AJ23" s="319"/>
    </row>
    <row r="24" ht="22.5" customHeight="1">
      <c r="A24" s="352">
        <v>20.0</v>
      </c>
      <c r="B24" s="405"/>
      <c r="C24" s="357">
        <v>45891.0</v>
      </c>
      <c r="D24" s="379">
        <v>45897.0</v>
      </c>
      <c r="E24" s="380" t="s">
        <v>4283</v>
      </c>
      <c r="F24" s="381" t="s">
        <v>4028</v>
      </c>
      <c r="G24" s="381" t="s">
        <v>4341</v>
      </c>
      <c r="H24" s="380" t="s">
        <v>4342</v>
      </c>
      <c r="I24" s="382" t="s">
        <v>3978</v>
      </c>
      <c r="J24" s="384"/>
      <c r="K24" s="384"/>
      <c r="L24" s="384"/>
      <c r="M24" s="384" t="s">
        <v>4344</v>
      </c>
      <c r="N24" s="384"/>
      <c r="O24" s="384"/>
      <c r="P24" s="384"/>
      <c r="Q24" s="386"/>
      <c r="R24" s="319"/>
      <c r="S24" s="319"/>
      <c r="T24" s="319"/>
      <c r="U24" s="319"/>
      <c r="V24" s="319"/>
      <c r="W24" s="319"/>
      <c r="X24" s="319"/>
      <c r="Y24" s="319"/>
      <c r="Z24" s="319"/>
      <c r="AA24" s="319"/>
      <c r="AB24" s="319"/>
      <c r="AC24" s="319"/>
      <c r="AD24" s="319"/>
      <c r="AE24" s="319"/>
      <c r="AF24" s="319"/>
      <c r="AG24" s="319"/>
      <c r="AH24" s="319"/>
      <c r="AI24" s="319"/>
      <c r="AJ24" s="319"/>
    </row>
    <row r="25" ht="22.5" customHeight="1">
      <c r="A25" s="352">
        <v>21.0</v>
      </c>
      <c r="B25" s="405"/>
      <c r="C25" s="357">
        <v>45869.0</v>
      </c>
      <c r="D25" s="403">
        <v>45903.0</v>
      </c>
      <c r="E25" s="380" t="s">
        <v>4250</v>
      </c>
      <c r="F25" s="381" t="s">
        <v>4028</v>
      </c>
      <c r="G25" s="381" t="s">
        <v>4354</v>
      </c>
      <c r="H25" s="380" t="s">
        <v>4356</v>
      </c>
      <c r="I25" s="382" t="s">
        <v>4110</v>
      </c>
      <c r="J25" s="470">
        <v>45903.0</v>
      </c>
      <c r="K25" s="384"/>
      <c r="L25" s="384"/>
      <c r="M25" s="406" t="s">
        <v>4189</v>
      </c>
      <c r="N25" s="382" t="s">
        <v>4136</v>
      </c>
      <c r="O25" s="384"/>
      <c r="P25" s="384"/>
      <c r="Q25" s="386"/>
      <c r="R25" s="319"/>
      <c r="S25" s="319"/>
      <c r="T25" s="319"/>
      <c r="U25" s="319"/>
      <c r="V25" s="319"/>
      <c r="W25" s="319"/>
      <c r="X25" s="319"/>
      <c r="Y25" s="319"/>
      <c r="Z25" s="319"/>
      <c r="AA25" s="319"/>
      <c r="AB25" s="319"/>
      <c r="AC25" s="319"/>
      <c r="AD25" s="319"/>
      <c r="AE25" s="319"/>
      <c r="AF25" s="319"/>
      <c r="AG25" s="319"/>
      <c r="AH25" s="319"/>
      <c r="AI25" s="319"/>
      <c r="AJ25" s="319"/>
    </row>
    <row r="26" ht="22.5" customHeight="1">
      <c r="A26" s="352">
        <v>22.0</v>
      </c>
      <c r="B26" s="405"/>
      <c r="C26" s="357">
        <v>45894.0</v>
      </c>
      <c r="D26" s="380"/>
      <c r="E26" s="380" t="s">
        <v>4376</v>
      </c>
      <c r="F26" s="381" t="s">
        <v>4377</v>
      </c>
      <c r="G26" s="381" t="s">
        <v>4378</v>
      </c>
      <c r="H26" s="380" t="s">
        <v>4379</v>
      </c>
      <c r="I26" s="382" t="s">
        <v>4380</v>
      </c>
      <c r="J26" s="382" t="s">
        <v>4382</v>
      </c>
      <c r="K26" s="382"/>
      <c r="L26" s="382"/>
      <c r="M26" s="382"/>
      <c r="N26" s="382"/>
      <c r="O26" s="382"/>
      <c r="P26" s="382"/>
      <c r="Q26" s="380"/>
      <c r="R26" s="400"/>
      <c r="S26" s="400"/>
      <c r="T26" s="400"/>
      <c r="U26" s="400"/>
      <c r="V26" s="400"/>
      <c r="W26" s="400"/>
      <c r="X26" s="400"/>
      <c r="Y26" s="400"/>
      <c r="Z26" s="400"/>
      <c r="AA26" s="400"/>
      <c r="AB26" s="400"/>
      <c r="AC26" s="400"/>
      <c r="AD26" s="400"/>
      <c r="AE26" s="400"/>
      <c r="AF26" s="400"/>
      <c r="AG26" s="400"/>
      <c r="AH26" s="400"/>
      <c r="AI26" s="400"/>
      <c r="AJ26" s="400"/>
    </row>
    <row r="27" ht="22.5" customHeight="1">
      <c r="A27" s="352">
        <v>23.0</v>
      </c>
      <c r="B27" s="448"/>
      <c r="C27" s="357">
        <v>45869.0</v>
      </c>
      <c r="D27" s="380" t="s">
        <v>4394</v>
      </c>
      <c r="E27" s="380" t="s">
        <v>4395</v>
      </c>
      <c r="F27" s="381" t="s">
        <v>4028</v>
      </c>
      <c r="G27" s="381" t="s">
        <v>4030</v>
      </c>
      <c r="H27" s="380" t="s">
        <v>4396</v>
      </c>
      <c r="I27" s="382" t="s">
        <v>3878</v>
      </c>
      <c r="J27" s="382"/>
      <c r="K27" s="384"/>
      <c r="L27" s="382"/>
      <c r="M27" s="406" t="s">
        <v>3899</v>
      </c>
      <c r="N27" s="382" t="s">
        <v>4401</v>
      </c>
      <c r="O27" s="382" t="s">
        <v>4402</v>
      </c>
      <c r="P27" s="382" t="s">
        <v>4136</v>
      </c>
      <c r="Q27" s="386" t="s">
        <v>4404</v>
      </c>
      <c r="R27" s="319"/>
      <c r="S27" s="319"/>
      <c r="T27" s="319"/>
      <c r="U27" s="319"/>
      <c r="V27" s="319"/>
      <c r="W27" s="400"/>
      <c r="X27" s="400"/>
      <c r="Y27" s="400"/>
      <c r="Z27" s="400"/>
      <c r="AA27" s="400"/>
      <c r="AB27" s="400"/>
      <c r="AC27" s="400"/>
      <c r="AD27" s="400"/>
      <c r="AE27" s="400"/>
      <c r="AF27" s="400"/>
      <c r="AG27" s="400"/>
      <c r="AH27" s="400"/>
      <c r="AI27" s="400"/>
      <c r="AJ27" s="400"/>
    </row>
    <row r="28" ht="22.5" customHeight="1">
      <c r="A28" s="352">
        <v>24.0</v>
      </c>
      <c r="B28" s="405"/>
      <c r="C28" s="357">
        <v>45870.0</v>
      </c>
      <c r="D28" s="403">
        <v>38598.0</v>
      </c>
      <c r="E28" s="380" t="s">
        <v>4395</v>
      </c>
      <c r="F28" s="381" t="s">
        <v>4028</v>
      </c>
      <c r="G28" s="381" t="s">
        <v>4080</v>
      </c>
      <c r="H28" s="380" t="s">
        <v>4412</v>
      </c>
      <c r="I28" s="382" t="s">
        <v>4110</v>
      </c>
      <c r="J28" s="382" t="s">
        <v>4413</v>
      </c>
      <c r="K28" s="384"/>
      <c r="L28" s="384"/>
      <c r="M28" s="406" t="s">
        <v>4189</v>
      </c>
      <c r="N28" s="382" t="s">
        <v>4136</v>
      </c>
      <c r="O28" s="384"/>
      <c r="P28" s="384"/>
      <c r="Q28" s="386"/>
      <c r="R28" s="319"/>
      <c r="S28" s="319"/>
      <c r="T28" s="319"/>
      <c r="U28" s="319"/>
      <c r="V28" s="319"/>
      <c r="W28" s="319"/>
      <c r="X28" s="319"/>
      <c r="Y28" s="319"/>
      <c r="Z28" s="319"/>
      <c r="AA28" s="319"/>
      <c r="AB28" s="319"/>
      <c r="AC28" s="319"/>
      <c r="AD28" s="319"/>
      <c r="AE28" s="319"/>
      <c r="AF28" s="319"/>
      <c r="AG28" s="319"/>
      <c r="AH28" s="319"/>
      <c r="AI28" s="319"/>
      <c r="AJ28" s="319"/>
    </row>
    <row r="29" ht="22.5" customHeight="1">
      <c r="A29" s="352">
        <v>25.0</v>
      </c>
      <c r="B29" s="352"/>
      <c r="C29" s="357">
        <v>45884.0</v>
      </c>
      <c r="D29" s="403">
        <v>45904.0</v>
      </c>
      <c r="E29" s="380" t="s">
        <v>3869</v>
      </c>
      <c r="F29" s="381" t="s">
        <v>3874</v>
      </c>
      <c r="G29" s="381" t="s">
        <v>4424</v>
      </c>
      <c r="H29" s="380" t="s">
        <v>4425</v>
      </c>
      <c r="I29" s="471" t="s">
        <v>4426</v>
      </c>
      <c r="J29" s="384"/>
      <c r="K29" s="384"/>
      <c r="L29" s="384"/>
      <c r="M29" s="384" t="s">
        <v>4344</v>
      </c>
      <c r="N29" s="384"/>
      <c r="O29" s="384"/>
      <c r="P29" s="384"/>
      <c r="Q29" s="386"/>
      <c r="R29" s="319"/>
      <c r="S29" s="319"/>
      <c r="T29" s="319"/>
      <c r="U29" s="319"/>
      <c r="V29" s="319"/>
      <c r="W29" s="400"/>
      <c r="X29" s="400"/>
      <c r="Y29" s="400"/>
      <c r="Z29" s="400"/>
      <c r="AA29" s="400"/>
      <c r="AB29" s="400"/>
      <c r="AC29" s="400"/>
      <c r="AD29" s="400"/>
      <c r="AE29" s="400"/>
      <c r="AF29" s="400"/>
      <c r="AG29" s="400"/>
      <c r="AH29" s="400"/>
      <c r="AI29" s="400"/>
      <c r="AJ29" s="400"/>
    </row>
    <row r="30" ht="22.5" customHeight="1">
      <c r="A30" s="352">
        <v>27.0</v>
      </c>
      <c r="B30" s="405"/>
      <c r="C30" s="357">
        <v>45898.0</v>
      </c>
      <c r="D30" s="379">
        <v>45905.0</v>
      </c>
      <c r="E30" s="380" t="s">
        <v>4250</v>
      </c>
      <c r="F30" s="381" t="s">
        <v>3874</v>
      </c>
      <c r="G30" s="381" t="s">
        <v>4436</v>
      </c>
      <c r="H30" s="380" t="s">
        <v>4437</v>
      </c>
      <c r="I30" s="382" t="s">
        <v>4438</v>
      </c>
      <c r="J30" s="384"/>
      <c r="K30" s="384"/>
      <c r="L30" s="384"/>
      <c r="M30" s="406" t="s">
        <v>4444</v>
      </c>
      <c r="N30" s="384"/>
      <c r="O30" s="384"/>
      <c r="P30" s="384"/>
      <c r="Q30" s="386"/>
      <c r="R30" s="319"/>
      <c r="S30" s="319"/>
      <c r="T30" s="319"/>
      <c r="U30" s="319"/>
      <c r="V30" s="319"/>
      <c r="W30" s="400"/>
      <c r="X30" s="400"/>
      <c r="Y30" s="400"/>
      <c r="Z30" s="400"/>
      <c r="AA30" s="400"/>
      <c r="AB30" s="400"/>
      <c r="AC30" s="400"/>
      <c r="AD30" s="400"/>
      <c r="AE30" s="400"/>
      <c r="AF30" s="400"/>
      <c r="AG30" s="400"/>
      <c r="AH30" s="400"/>
      <c r="AI30" s="400"/>
      <c r="AJ30" s="400"/>
    </row>
    <row r="31" ht="22.5" customHeight="1">
      <c r="A31" s="352">
        <v>28.0</v>
      </c>
      <c r="B31" s="355"/>
      <c r="C31" s="357">
        <v>45901.0</v>
      </c>
      <c r="D31" s="380"/>
      <c r="E31" s="380" t="s">
        <v>4453</v>
      </c>
      <c r="F31" s="381" t="s">
        <v>3874</v>
      </c>
      <c r="G31" s="381" t="s">
        <v>4454</v>
      </c>
      <c r="H31" s="380" t="s">
        <v>2452</v>
      </c>
      <c r="I31" s="382" t="s">
        <v>3923</v>
      </c>
      <c r="J31" s="384"/>
      <c r="K31" s="384"/>
      <c r="L31" s="384"/>
      <c r="M31" s="406" t="s">
        <v>4458</v>
      </c>
      <c r="N31" s="406" t="s">
        <v>4459</v>
      </c>
      <c r="O31" s="406" t="s">
        <v>3903</v>
      </c>
      <c r="P31" s="382" t="s">
        <v>3905</v>
      </c>
      <c r="Q31" s="386"/>
      <c r="R31" s="319"/>
      <c r="S31" s="319"/>
      <c r="T31" s="319"/>
      <c r="U31" s="319"/>
      <c r="V31" s="319"/>
      <c r="W31" s="319"/>
      <c r="X31" s="319"/>
      <c r="Y31" s="319"/>
      <c r="Z31" s="319"/>
      <c r="AA31" s="319"/>
      <c r="AB31" s="319"/>
      <c r="AC31" s="319"/>
      <c r="AD31" s="319"/>
      <c r="AE31" s="319"/>
      <c r="AF31" s="319"/>
      <c r="AG31" s="319"/>
      <c r="AH31" s="319"/>
      <c r="AI31" s="319"/>
      <c r="AJ31" s="319"/>
    </row>
    <row r="32" ht="22.5" customHeight="1">
      <c r="A32" s="352">
        <v>29.0</v>
      </c>
      <c r="B32" s="357"/>
      <c r="C32" s="357">
        <v>45902.0</v>
      </c>
      <c r="D32" s="379">
        <v>45905.0</v>
      </c>
      <c r="E32" s="380" t="s">
        <v>3915</v>
      </c>
      <c r="F32" s="381" t="s">
        <v>3874</v>
      </c>
      <c r="G32" s="381" t="s">
        <v>4470</v>
      </c>
      <c r="H32" s="380" t="s">
        <v>4471</v>
      </c>
      <c r="I32" s="382" t="s">
        <v>4473</v>
      </c>
      <c r="J32" s="384"/>
      <c r="K32" s="384"/>
      <c r="L32" s="384"/>
      <c r="M32" s="382" t="s">
        <v>4475</v>
      </c>
      <c r="N32" s="384"/>
      <c r="O32" s="384"/>
      <c r="P32" s="384"/>
      <c r="Q32" s="386"/>
      <c r="R32" s="319"/>
      <c r="S32" s="319"/>
      <c r="T32" s="319"/>
      <c r="U32" s="319"/>
      <c r="V32" s="319"/>
      <c r="W32" s="400"/>
      <c r="X32" s="400"/>
      <c r="Y32" s="400"/>
      <c r="Z32" s="400"/>
      <c r="AA32" s="400"/>
      <c r="AB32" s="400"/>
      <c r="AC32" s="400"/>
      <c r="AD32" s="400"/>
      <c r="AE32" s="400"/>
      <c r="AF32" s="400"/>
      <c r="AG32" s="400"/>
      <c r="AH32" s="400"/>
      <c r="AI32" s="400"/>
      <c r="AJ32" s="400"/>
    </row>
    <row r="33" ht="22.5" customHeight="1">
      <c r="A33" s="352">
        <v>30.0</v>
      </c>
      <c r="B33" s="352"/>
      <c r="C33" s="357">
        <v>45904.0</v>
      </c>
      <c r="D33" s="403">
        <v>45908.0</v>
      </c>
      <c r="E33" s="380" t="s">
        <v>3869</v>
      </c>
      <c r="F33" s="381" t="s">
        <v>3874</v>
      </c>
      <c r="G33" s="381" t="s">
        <v>4454</v>
      </c>
      <c r="H33" s="380" t="s">
        <v>2485</v>
      </c>
      <c r="I33" s="382" t="s">
        <v>3978</v>
      </c>
      <c r="J33" s="384"/>
      <c r="K33" s="384"/>
      <c r="L33" s="384"/>
      <c r="M33" s="382" t="s">
        <v>4487</v>
      </c>
      <c r="N33" s="384"/>
      <c r="O33" s="384"/>
      <c r="P33" s="384"/>
      <c r="Q33" s="386"/>
      <c r="R33" s="319"/>
      <c r="S33" s="319"/>
      <c r="T33" s="319"/>
      <c r="U33" s="319"/>
      <c r="V33" s="319"/>
      <c r="W33" s="400"/>
      <c r="X33" s="400"/>
      <c r="Y33" s="400"/>
      <c r="Z33" s="400"/>
      <c r="AA33" s="400"/>
      <c r="AB33" s="400"/>
      <c r="AC33" s="400"/>
      <c r="AD33" s="400"/>
      <c r="AE33" s="400"/>
      <c r="AF33" s="400"/>
      <c r="AG33" s="400"/>
      <c r="AH33" s="400"/>
      <c r="AI33" s="400"/>
      <c r="AJ33" s="400"/>
    </row>
    <row r="34" ht="22.5" customHeight="1">
      <c r="A34" s="352">
        <v>31.0</v>
      </c>
      <c r="B34" s="352"/>
      <c r="C34" s="357">
        <v>45904.0</v>
      </c>
      <c r="D34" s="403">
        <v>45908.0</v>
      </c>
      <c r="E34" s="380" t="s">
        <v>3915</v>
      </c>
      <c r="F34" s="381" t="s">
        <v>3874</v>
      </c>
      <c r="G34" s="381" t="s">
        <v>4497</v>
      </c>
      <c r="H34" s="380" t="s">
        <v>4498</v>
      </c>
      <c r="I34" s="382" t="s">
        <v>3878</v>
      </c>
      <c r="J34" s="384"/>
      <c r="K34" s="384"/>
      <c r="L34" s="384"/>
      <c r="M34" s="382" t="s">
        <v>4501</v>
      </c>
      <c r="N34" s="384"/>
      <c r="O34" s="384"/>
      <c r="P34" s="384"/>
      <c r="Q34" s="386"/>
      <c r="R34" s="319"/>
      <c r="S34" s="319"/>
      <c r="T34" s="319"/>
      <c r="U34" s="319"/>
      <c r="V34" s="319"/>
      <c r="W34" s="400"/>
      <c r="X34" s="400"/>
      <c r="Y34" s="400"/>
      <c r="Z34" s="400"/>
      <c r="AA34" s="400"/>
      <c r="AB34" s="400"/>
      <c r="AC34" s="400"/>
      <c r="AD34" s="400"/>
      <c r="AE34" s="400"/>
      <c r="AF34" s="400"/>
      <c r="AG34" s="400"/>
      <c r="AH34" s="400"/>
      <c r="AI34" s="400"/>
      <c r="AJ34" s="400"/>
    </row>
    <row r="35" ht="22.5" customHeight="1">
      <c r="A35" s="352">
        <v>32.0</v>
      </c>
      <c r="B35" s="352"/>
      <c r="C35" s="357">
        <v>45905.0</v>
      </c>
      <c r="D35" s="403">
        <v>45908.0</v>
      </c>
      <c r="E35" s="380" t="s">
        <v>4250</v>
      </c>
      <c r="F35" s="381" t="s">
        <v>4028</v>
      </c>
      <c r="G35" s="381" t="s">
        <v>4516</v>
      </c>
      <c r="H35" s="380" t="s">
        <v>4517</v>
      </c>
      <c r="I35" s="382" t="s">
        <v>3978</v>
      </c>
      <c r="J35" s="384"/>
      <c r="K35" s="384"/>
      <c r="L35" s="384"/>
      <c r="M35" s="382" t="s">
        <v>4501</v>
      </c>
      <c r="N35" s="384"/>
      <c r="O35" s="384"/>
      <c r="P35" s="384"/>
      <c r="Q35" s="386"/>
      <c r="R35" s="319"/>
      <c r="S35" s="319"/>
      <c r="T35" s="319"/>
      <c r="U35" s="319"/>
      <c r="V35" s="319"/>
      <c r="W35" s="400"/>
      <c r="X35" s="400"/>
      <c r="Y35" s="400"/>
      <c r="Z35" s="400"/>
      <c r="AA35" s="400"/>
      <c r="AB35" s="400"/>
      <c r="AC35" s="400"/>
      <c r="AD35" s="400"/>
      <c r="AE35" s="400"/>
      <c r="AF35" s="400"/>
      <c r="AG35" s="400"/>
      <c r="AH35" s="400"/>
      <c r="AI35" s="400"/>
      <c r="AJ35" s="400"/>
    </row>
    <row r="36" ht="22.5" customHeight="1">
      <c r="A36" s="352">
        <v>33.0</v>
      </c>
      <c r="B36" s="357"/>
      <c r="C36" s="357">
        <v>45908.0</v>
      </c>
      <c r="D36" s="403">
        <v>45909.0</v>
      </c>
      <c r="E36" s="381" t="s">
        <v>4526</v>
      </c>
      <c r="F36" s="381" t="s">
        <v>4028</v>
      </c>
      <c r="G36" s="381" t="s">
        <v>4528</v>
      </c>
      <c r="H36" s="380" t="s">
        <v>3670</v>
      </c>
      <c r="I36" s="382" t="s">
        <v>3978</v>
      </c>
      <c r="J36" s="384"/>
      <c r="K36" s="384"/>
      <c r="L36" s="384"/>
      <c r="M36" s="382" t="s">
        <v>4529</v>
      </c>
      <c r="N36" s="384"/>
      <c r="O36" s="384"/>
      <c r="P36" s="384"/>
      <c r="Q36" s="386"/>
      <c r="R36" s="319"/>
      <c r="S36" s="319"/>
      <c r="T36" s="319"/>
      <c r="U36" s="319"/>
      <c r="V36" s="319"/>
      <c r="W36" s="400"/>
      <c r="X36" s="400"/>
      <c r="Y36" s="400"/>
      <c r="Z36" s="400"/>
      <c r="AA36" s="400"/>
      <c r="AB36" s="400"/>
      <c r="AC36" s="400"/>
      <c r="AD36" s="400"/>
      <c r="AE36" s="400"/>
      <c r="AF36" s="400"/>
      <c r="AG36" s="400"/>
      <c r="AH36" s="400"/>
      <c r="AI36" s="400"/>
      <c r="AJ36" s="400"/>
    </row>
    <row r="37" ht="22.5" customHeight="1">
      <c r="A37" s="352">
        <v>34.0</v>
      </c>
      <c r="B37" s="357"/>
      <c r="C37" s="357">
        <v>45910.0</v>
      </c>
      <c r="D37" s="403">
        <v>45910.0</v>
      </c>
      <c r="E37" s="380" t="s">
        <v>4283</v>
      </c>
      <c r="F37" s="381" t="s">
        <v>4028</v>
      </c>
      <c r="G37" s="381" t="s">
        <v>4539</v>
      </c>
      <c r="H37" s="380" t="s">
        <v>4541</v>
      </c>
      <c r="I37" s="382" t="s">
        <v>3978</v>
      </c>
      <c r="J37" s="384"/>
      <c r="K37" s="384"/>
      <c r="L37" s="384"/>
      <c r="M37" s="473"/>
      <c r="N37" s="384"/>
      <c r="O37" s="384"/>
      <c r="P37" s="384"/>
      <c r="Q37" s="386"/>
      <c r="R37" s="319"/>
      <c r="S37" s="319"/>
      <c r="T37" s="319"/>
      <c r="U37" s="319"/>
      <c r="V37" s="319"/>
      <c r="W37" s="400"/>
      <c r="X37" s="400"/>
      <c r="Y37" s="400"/>
      <c r="Z37" s="400"/>
      <c r="AA37" s="400"/>
      <c r="AB37" s="400"/>
      <c r="AC37" s="400"/>
      <c r="AD37" s="400"/>
      <c r="AE37" s="400"/>
      <c r="AF37" s="400"/>
      <c r="AG37" s="400"/>
      <c r="AH37" s="400"/>
      <c r="AI37" s="400"/>
      <c r="AJ37" s="400"/>
    </row>
    <row r="38" ht="22.5" customHeight="1">
      <c r="A38" s="352">
        <v>35.0</v>
      </c>
      <c r="B38" s="357"/>
      <c r="C38" s="357">
        <v>45912.0</v>
      </c>
      <c r="D38" s="403">
        <v>45912.0</v>
      </c>
      <c r="E38" s="380" t="s">
        <v>4079</v>
      </c>
      <c r="F38" s="381" t="s">
        <v>4028</v>
      </c>
      <c r="G38" s="381" t="s">
        <v>4559</v>
      </c>
      <c r="H38" s="380" t="s">
        <v>4560</v>
      </c>
      <c r="I38" s="382" t="s">
        <v>3978</v>
      </c>
      <c r="J38" s="384"/>
      <c r="K38" s="384"/>
      <c r="L38" s="384"/>
      <c r="M38" s="382" t="s">
        <v>4562</v>
      </c>
      <c r="N38" s="384"/>
      <c r="O38" s="384"/>
      <c r="P38" s="384"/>
      <c r="Q38" s="386"/>
      <c r="R38" s="319"/>
      <c r="S38" s="319"/>
      <c r="T38" s="319"/>
      <c r="U38" s="319"/>
      <c r="V38" s="319"/>
      <c r="W38" s="400"/>
      <c r="X38" s="400"/>
      <c r="Y38" s="400"/>
      <c r="Z38" s="400"/>
      <c r="AA38" s="400"/>
      <c r="AB38" s="400"/>
      <c r="AC38" s="400"/>
      <c r="AD38" s="400"/>
      <c r="AE38" s="400"/>
      <c r="AF38" s="400"/>
      <c r="AG38" s="400"/>
      <c r="AH38" s="400"/>
      <c r="AI38" s="400"/>
      <c r="AJ38" s="400"/>
    </row>
    <row r="39" ht="22.5" customHeight="1">
      <c r="A39" s="352">
        <v>36.0</v>
      </c>
      <c r="B39" s="357"/>
      <c r="C39" s="357">
        <v>45912.0</v>
      </c>
      <c r="D39" s="403">
        <v>45917.0</v>
      </c>
      <c r="E39" s="380" t="s">
        <v>4395</v>
      </c>
      <c r="F39" s="381" t="s">
        <v>4028</v>
      </c>
      <c r="G39" s="381" t="s">
        <v>4568</v>
      </c>
      <c r="H39" s="380" t="s">
        <v>4569</v>
      </c>
      <c r="I39" s="382" t="s">
        <v>3978</v>
      </c>
      <c r="J39" s="384"/>
      <c r="K39" s="384"/>
      <c r="L39" s="384"/>
      <c r="M39" s="406" t="s">
        <v>4572</v>
      </c>
      <c r="N39" s="382" t="s">
        <v>4573</v>
      </c>
      <c r="O39" s="384"/>
      <c r="P39" s="384"/>
      <c r="Q39" s="386"/>
      <c r="R39" s="319"/>
      <c r="S39" s="319"/>
      <c r="T39" s="319"/>
      <c r="U39" s="319"/>
      <c r="V39" s="319"/>
      <c r="W39" s="400"/>
      <c r="X39" s="400"/>
      <c r="Y39" s="400"/>
      <c r="Z39" s="400"/>
      <c r="AA39" s="400"/>
      <c r="AB39" s="400"/>
      <c r="AC39" s="400"/>
      <c r="AD39" s="400"/>
      <c r="AE39" s="400"/>
      <c r="AF39" s="400"/>
      <c r="AG39" s="400"/>
      <c r="AH39" s="400"/>
      <c r="AI39" s="400"/>
      <c r="AJ39" s="400"/>
    </row>
    <row r="40" ht="22.5" customHeight="1">
      <c r="A40" s="352">
        <v>37.0</v>
      </c>
      <c r="B40" s="357"/>
      <c r="C40" s="357">
        <v>45916.0</v>
      </c>
      <c r="D40" s="379">
        <v>45917.0</v>
      </c>
      <c r="E40" s="380" t="s">
        <v>4283</v>
      </c>
      <c r="F40" s="381" t="s">
        <v>4028</v>
      </c>
      <c r="G40" s="381" t="s">
        <v>4582</v>
      </c>
      <c r="H40" s="380" t="s">
        <v>4584</v>
      </c>
      <c r="I40" s="382" t="s">
        <v>3978</v>
      </c>
      <c r="J40" s="384"/>
      <c r="K40" s="384"/>
      <c r="L40" s="384"/>
      <c r="M40" s="406" t="s">
        <v>4587</v>
      </c>
      <c r="N40" s="382" t="s">
        <v>4529</v>
      </c>
      <c r="O40" s="384"/>
      <c r="P40" s="384"/>
      <c r="Q40" s="386"/>
      <c r="R40" s="319"/>
      <c r="S40" s="319"/>
      <c r="T40" s="319"/>
      <c r="U40" s="319"/>
      <c r="V40" s="319"/>
      <c r="W40" s="400"/>
      <c r="X40" s="400"/>
      <c r="Y40" s="400"/>
      <c r="Z40" s="400"/>
      <c r="AA40" s="400"/>
      <c r="AB40" s="400"/>
      <c r="AC40" s="400"/>
      <c r="AD40" s="400"/>
      <c r="AE40" s="400"/>
      <c r="AF40" s="400"/>
      <c r="AG40" s="400"/>
      <c r="AH40" s="400"/>
      <c r="AI40" s="400"/>
      <c r="AJ40" s="400"/>
    </row>
    <row r="41" ht="22.5" customHeight="1">
      <c r="A41" s="352">
        <v>38.0</v>
      </c>
      <c r="B41" s="357"/>
      <c r="C41" s="357">
        <v>45918.0</v>
      </c>
      <c r="D41" s="403">
        <v>45918.0</v>
      </c>
      <c r="E41" s="380" t="s">
        <v>4283</v>
      </c>
      <c r="F41" s="381" t="s">
        <v>4028</v>
      </c>
      <c r="G41" s="381" t="s">
        <v>4539</v>
      </c>
      <c r="H41" s="380" t="s">
        <v>2541</v>
      </c>
      <c r="I41" s="382" t="s">
        <v>3978</v>
      </c>
      <c r="J41" s="384"/>
      <c r="K41" s="384"/>
      <c r="L41" s="384"/>
      <c r="M41" s="384"/>
      <c r="N41" s="384"/>
      <c r="O41" s="384"/>
      <c r="P41" s="384"/>
      <c r="Q41" s="386"/>
      <c r="R41" s="319"/>
      <c r="S41" s="319"/>
      <c r="T41" s="319"/>
      <c r="U41" s="319"/>
      <c r="V41" s="319"/>
      <c r="W41" s="400"/>
      <c r="X41" s="400"/>
      <c r="Y41" s="400"/>
      <c r="Z41" s="400"/>
      <c r="AA41" s="400"/>
      <c r="AB41" s="400"/>
      <c r="AC41" s="400"/>
      <c r="AD41" s="400"/>
      <c r="AE41" s="400"/>
      <c r="AF41" s="400"/>
      <c r="AG41" s="400"/>
      <c r="AH41" s="400"/>
      <c r="AI41" s="400"/>
      <c r="AJ41" s="400"/>
    </row>
    <row r="42" ht="22.5" customHeight="1">
      <c r="A42" s="352">
        <v>39.0</v>
      </c>
      <c r="B42" s="357"/>
      <c r="C42" s="357">
        <v>45918.0</v>
      </c>
      <c r="D42" s="403">
        <v>45918.0</v>
      </c>
      <c r="E42" s="380" t="s">
        <v>4250</v>
      </c>
      <c r="F42" s="381" t="s">
        <v>4028</v>
      </c>
      <c r="G42" s="381" t="s">
        <v>4354</v>
      </c>
      <c r="H42" s="380" t="s">
        <v>4609</v>
      </c>
      <c r="I42" s="382" t="s">
        <v>3978</v>
      </c>
      <c r="J42" s="384"/>
      <c r="K42" s="384"/>
      <c r="L42" s="384"/>
      <c r="M42" s="384"/>
      <c r="N42" s="384"/>
      <c r="O42" s="384"/>
      <c r="P42" s="384"/>
      <c r="Q42" s="386"/>
      <c r="R42" s="319"/>
      <c r="S42" s="319"/>
      <c r="T42" s="319"/>
      <c r="U42" s="319"/>
      <c r="V42" s="319"/>
      <c r="W42" s="400"/>
      <c r="X42" s="400"/>
      <c r="Y42" s="400"/>
      <c r="Z42" s="400"/>
      <c r="AA42" s="400"/>
      <c r="AB42" s="400"/>
      <c r="AC42" s="400"/>
      <c r="AD42" s="400"/>
      <c r="AE42" s="400"/>
      <c r="AF42" s="400"/>
      <c r="AG42" s="400"/>
      <c r="AH42" s="400"/>
      <c r="AI42" s="400"/>
      <c r="AJ42" s="400"/>
    </row>
    <row r="43" ht="22.5" customHeight="1">
      <c r="A43" s="352">
        <v>40.0</v>
      </c>
      <c r="B43" s="357"/>
      <c r="C43" s="357">
        <v>45918.0</v>
      </c>
      <c r="D43" s="379">
        <v>45918.0</v>
      </c>
      <c r="E43" s="380" t="s">
        <v>4621</v>
      </c>
      <c r="F43" s="381" t="s">
        <v>4028</v>
      </c>
      <c r="G43" s="381" t="s">
        <v>4623</v>
      </c>
      <c r="H43" s="380" t="s">
        <v>4624</v>
      </c>
      <c r="I43" s="382" t="s">
        <v>3978</v>
      </c>
      <c r="J43" s="384"/>
      <c r="K43" s="384"/>
      <c r="L43" s="384"/>
      <c r="M43" s="406" t="s">
        <v>4628</v>
      </c>
      <c r="N43" s="406" t="s">
        <v>4629</v>
      </c>
      <c r="O43" s="382" t="s">
        <v>4573</v>
      </c>
      <c r="P43" s="386"/>
      <c r="Q43" s="386"/>
      <c r="R43" s="319"/>
      <c r="S43" s="319"/>
      <c r="T43" s="319"/>
      <c r="U43" s="319"/>
      <c r="V43" s="319"/>
      <c r="W43" s="400"/>
      <c r="X43" s="400"/>
      <c r="Y43" s="400"/>
      <c r="Z43" s="400"/>
      <c r="AA43" s="400"/>
      <c r="AB43" s="400"/>
      <c r="AC43" s="400"/>
      <c r="AD43" s="400"/>
      <c r="AE43" s="400"/>
      <c r="AF43" s="400"/>
      <c r="AG43" s="400"/>
      <c r="AH43" s="400"/>
      <c r="AI43" s="400"/>
      <c r="AJ43" s="400"/>
    </row>
    <row r="44" ht="22.5" customHeight="1">
      <c r="A44" s="369">
        <v>41.0</v>
      </c>
      <c r="B44" s="369" t="s">
        <v>4394</v>
      </c>
      <c r="C44" s="476">
        <v>45918.0</v>
      </c>
      <c r="D44" s="477">
        <v>45925.0</v>
      </c>
      <c r="E44" s="384" t="s">
        <v>4010</v>
      </c>
      <c r="F44" s="478" t="s">
        <v>4028</v>
      </c>
      <c r="G44" s="478" t="s">
        <v>4641</v>
      </c>
      <c r="H44" s="384" t="s">
        <v>4642</v>
      </c>
      <c r="I44" s="384" t="s">
        <v>4643</v>
      </c>
      <c r="J44" s="384"/>
      <c r="K44" s="384"/>
      <c r="L44" s="384"/>
      <c r="M44" s="384"/>
      <c r="N44" s="384"/>
      <c r="O44" s="384"/>
      <c r="P44" s="386"/>
      <c r="Q44" s="386"/>
      <c r="R44" s="319"/>
      <c r="S44" s="319"/>
      <c r="T44" s="319"/>
      <c r="U44" s="319"/>
      <c r="V44" s="319"/>
      <c r="W44" s="319"/>
      <c r="X44" s="319"/>
      <c r="Y44" s="319"/>
      <c r="Z44" s="319"/>
      <c r="AA44" s="319"/>
      <c r="AB44" s="319"/>
      <c r="AC44" s="319"/>
      <c r="AD44" s="319"/>
      <c r="AE44" s="319"/>
      <c r="AF44" s="319"/>
      <c r="AG44" s="319"/>
      <c r="AH44" s="319"/>
      <c r="AI44" s="319"/>
      <c r="AJ44" s="319"/>
    </row>
    <row r="45" ht="22.5" customHeight="1">
      <c r="A45" s="365">
        <v>42.0</v>
      </c>
      <c r="B45" s="481"/>
      <c r="C45" s="481">
        <v>45926.0</v>
      </c>
      <c r="D45" s="470">
        <v>7350780.0</v>
      </c>
      <c r="E45" s="380" t="s">
        <v>4079</v>
      </c>
      <c r="F45" s="471" t="s">
        <v>4028</v>
      </c>
      <c r="G45" s="381" t="s">
        <v>4559</v>
      </c>
      <c r="H45" s="382" t="s">
        <v>4667</v>
      </c>
      <c r="I45" s="382" t="s">
        <v>3978</v>
      </c>
      <c r="J45" s="382"/>
      <c r="K45" s="382"/>
      <c r="L45" s="382"/>
      <c r="M45" s="382"/>
      <c r="N45" s="382"/>
      <c r="O45" s="382"/>
      <c r="P45" s="380"/>
      <c r="Q45" s="380"/>
      <c r="R45" s="400"/>
      <c r="S45" s="400"/>
      <c r="T45" s="400"/>
      <c r="U45" s="400"/>
      <c r="V45" s="400"/>
      <c r="W45" s="400"/>
      <c r="X45" s="400"/>
      <c r="Y45" s="400"/>
      <c r="Z45" s="400"/>
      <c r="AA45" s="400"/>
      <c r="AB45" s="400"/>
      <c r="AC45" s="400"/>
      <c r="AD45" s="400"/>
      <c r="AE45" s="400"/>
      <c r="AF45" s="400"/>
      <c r="AG45" s="400"/>
      <c r="AH45" s="400"/>
      <c r="AI45" s="400"/>
      <c r="AJ45" s="400"/>
    </row>
    <row r="46" ht="22.5" customHeight="1">
      <c r="A46" s="365">
        <v>43.0</v>
      </c>
      <c r="B46" s="481"/>
      <c r="C46" s="481">
        <v>45929.0</v>
      </c>
      <c r="D46" s="470">
        <v>45931.0</v>
      </c>
      <c r="E46" s="380" t="s">
        <v>4250</v>
      </c>
      <c r="F46" s="471" t="s">
        <v>4028</v>
      </c>
      <c r="G46" s="381" t="s">
        <v>4568</v>
      </c>
      <c r="H46" s="382" t="s">
        <v>4681</v>
      </c>
      <c r="I46" s="382" t="s">
        <v>3978</v>
      </c>
      <c r="J46" s="382"/>
      <c r="K46" s="382"/>
      <c r="L46" s="382"/>
      <c r="M46" s="382"/>
      <c r="N46" s="382"/>
      <c r="O46" s="382"/>
      <c r="P46" s="380"/>
      <c r="Q46" s="380"/>
      <c r="R46" s="400"/>
      <c r="S46" s="400"/>
      <c r="T46" s="400"/>
      <c r="U46" s="400"/>
      <c r="V46" s="400"/>
      <c r="W46" s="400"/>
      <c r="X46" s="400"/>
      <c r="Y46" s="400"/>
      <c r="Z46" s="400"/>
      <c r="AA46" s="400"/>
      <c r="AB46" s="400"/>
      <c r="AC46" s="400"/>
      <c r="AD46" s="400"/>
      <c r="AE46" s="400"/>
      <c r="AF46" s="400"/>
      <c r="AG46" s="400"/>
      <c r="AH46" s="400"/>
      <c r="AI46" s="400"/>
      <c r="AJ46" s="400"/>
    </row>
    <row r="47" ht="22.5" customHeight="1">
      <c r="A47" s="365">
        <v>44.0</v>
      </c>
      <c r="B47" s="481"/>
      <c r="C47" s="481">
        <v>45933.0</v>
      </c>
      <c r="D47" s="470">
        <v>45937.0</v>
      </c>
      <c r="E47" s="382" t="s">
        <v>4283</v>
      </c>
      <c r="F47" s="471" t="s">
        <v>4028</v>
      </c>
      <c r="G47" s="471" t="s">
        <v>4641</v>
      </c>
      <c r="H47" s="382" t="s">
        <v>1836</v>
      </c>
      <c r="I47" s="382" t="s">
        <v>3978</v>
      </c>
      <c r="J47" s="382"/>
      <c r="K47" s="382"/>
      <c r="L47" s="382"/>
      <c r="M47" s="382"/>
      <c r="N47" s="382"/>
      <c r="O47" s="382"/>
      <c r="P47" s="380"/>
      <c r="Q47" s="380"/>
      <c r="R47" s="400"/>
      <c r="S47" s="400"/>
      <c r="T47" s="400"/>
      <c r="U47" s="400"/>
      <c r="V47" s="400"/>
      <c r="W47" s="400"/>
      <c r="X47" s="400"/>
      <c r="Y47" s="400"/>
      <c r="Z47" s="400"/>
      <c r="AA47" s="400"/>
      <c r="AB47" s="400"/>
      <c r="AC47" s="400"/>
      <c r="AD47" s="400"/>
      <c r="AE47" s="400"/>
      <c r="AF47" s="400"/>
      <c r="AG47" s="400"/>
      <c r="AH47" s="400"/>
      <c r="AI47" s="400"/>
      <c r="AJ47" s="400"/>
    </row>
    <row r="48" ht="22.5" customHeight="1">
      <c r="A48" s="371">
        <v>45.0</v>
      </c>
      <c r="B48" s="495"/>
      <c r="C48" s="495">
        <v>45932.0</v>
      </c>
      <c r="D48" s="406" t="s">
        <v>4734</v>
      </c>
      <c r="E48" s="406" t="s">
        <v>3869</v>
      </c>
      <c r="F48" s="496" t="s">
        <v>4028</v>
      </c>
      <c r="G48" s="496" t="s">
        <v>4744</v>
      </c>
      <c r="H48" s="406" t="s">
        <v>4747</v>
      </c>
      <c r="I48" s="406" t="s">
        <v>4750</v>
      </c>
      <c r="J48" s="406"/>
      <c r="K48" s="406"/>
      <c r="L48" s="406"/>
      <c r="M48" s="406"/>
      <c r="N48" s="406"/>
      <c r="O48" s="406"/>
      <c r="P48" s="497"/>
      <c r="Q48" s="497"/>
      <c r="R48" s="499"/>
      <c r="S48" s="499"/>
      <c r="T48" s="499"/>
      <c r="U48" s="499"/>
      <c r="V48" s="499"/>
      <c r="W48" s="499"/>
      <c r="X48" s="499"/>
      <c r="Y48" s="499"/>
      <c r="Z48" s="499"/>
      <c r="AA48" s="499"/>
      <c r="AB48" s="499"/>
      <c r="AC48" s="499"/>
      <c r="AD48" s="499"/>
      <c r="AE48" s="499"/>
      <c r="AF48" s="499"/>
      <c r="AG48" s="499"/>
      <c r="AH48" s="499"/>
      <c r="AI48" s="499"/>
      <c r="AJ48" s="499"/>
    </row>
    <row r="49" ht="22.5" customHeight="1">
      <c r="A49" s="365">
        <v>46.0</v>
      </c>
      <c r="B49" s="481"/>
      <c r="C49" s="481">
        <v>45929.0</v>
      </c>
      <c r="D49" s="470">
        <v>45937.0</v>
      </c>
      <c r="E49" s="382" t="s">
        <v>4779</v>
      </c>
      <c r="F49" s="471" t="s">
        <v>4028</v>
      </c>
      <c r="G49" s="471" t="s">
        <v>4744</v>
      </c>
      <c r="H49" s="382" t="s">
        <v>4781</v>
      </c>
      <c r="I49" s="382" t="s">
        <v>3978</v>
      </c>
      <c r="J49" s="382"/>
      <c r="K49" s="382"/>
      <c r="L49" s="382"/>
      <c r="M49" s="382"/>
      <c r="N49" s="382"/>
      <c r="O49" s="382"/>
      <c r="P49" s="380"/>
      <c r="Q49" s="380"/>
      <c r="R49" s="400"/>
      <c r="S49" s="400"/>
      <c r="T49" s="400"/>
      <c r="U49" s="400"/>
      <c r="V49" s="400"/>
      <c r="W49" s="400"/>
      <c r="X49" s="400"/>
      <c r="Y49" s="400"/>
      <c r="Z49" s="400"/>
      <c r="AA49" s="400"/>
      <c r="AB49" s="400"/>
      <c r="AC49" s="400"/>
      <c r="AD49" s="400"/>
      <c r="AE49" s="400"/>
      <c r="AF49" s="400"/>
      <c r="AG49" s="400"/>
      <c r="AH49" s="400"/>
      <c r="AI49" s="400"/>
      <c r="AJ49" s="400"/>
    </row>
    <row r="50" ht="22.5" customHeight="1">
      <c r="A50" s="371">
        <v>47.0</v>
      </c>
      <c r="B50" s="495"/>
      <c r="C50" s="495">
        <v>45936.0</v>
      </c>
      <c r="D50" s="406" t="s">
        <v>4801</v>
      </c>
      <c r="E50" s="406" t="s">
        <v>4779</v>
      </c>
      <c r="F50" s="496" t="s">
        <v>4028</v>
      </c>
      <c r="G50" s="496" t="s">
        <v>4802</v>
      </c>
      <c r="H50" s="406" t="s">
        <v>4804</v>
      </c>
      <c r="I50" s="406" t="s">
        <v>4750</v>
      </c>
      <c r="J50" s="406"/>
      <c r="K50" s="406"/>
      <c r="L50" s="406"/>
      <c r="M50" s="406"/>
      <c r="N50" s="406"/>
      <c r="O50" s="406"/>
      <c r="P50" s="497"/>
      <c r="Q50" s="497"/>
      <c r="R50" s="499"/>
      <c r="S50" s="499"/>
      <c r="T50" s="499"/>
      <c r="U50" s="499"/>
      <c r="V50" s="499"/>
      <c r="W50" s="499"/>
      <c r="X50" s="499"/>
      <c r="Y50" s="499"/>
      <c r="Z50" s="499"/>
      <c r="AA50" s="499"/>
      <c r="AB50" s="499"/>
      <c r="AC50" s="499"/>
      <c r="AD50" s="499"/>
      <c r="AE50" s="499"/>
      <c r="AF50" s="499"/>
      <c r="AG50" s="499"/>
      <c r="AH50" s="499"/>
      <c r="AI50" s="499"/>
      <c r="AJ50" s="499"/>
    </row>
    <row r="51" ht="22.5" customHeight="1">
      <c r="A51" s="371">
        <v>48.0</v>
      </c>
      <c r="B51" s="371" t="s">
        <v>4394</v>
      </c>
      <c r="C51" s="495">
        <v>45954.0</v>
      </c>
      <c r="D51" s="406"/>
      <c r="E51" s="406" t="s">
        <v>4010</v>
      </c>
      <c r="F51" s="496" t="s">
        <v>4028</v>
      </c>
      <c r="G51" s="496" t="s">
        <v>4823</v>
      </c>
      <c r="H51" s="406" t="s">
        <v>4824</v>
      </c>
      <c r="I51" s="496" t="s">
        <v>4826</v>
      </c>
      <c r="J51" s="406"/>
      <c r="K51" s="406"/>
      <c r="L51" s="406"/>
      <c r="M51" s="406"/>
      <c r="N51" s="406"/>
      <c r="O51" s="406"/>
      <c r="P51" s="497"/>
      <c r="Q51" s="497"/>
      <c r="R51" s="319"/>
      <c r="S51" s="319"/>
      <c r="T51" s="319"/>
      <c r="U51" s="319"/>
      <c r="V51" s="319"/>
      <c r="W51" s="319"/>
      <c r="X51" s="319"/>
      <c r="Y51" s="319"/>
      <c r="Z51" s="319"/>
      <c r="AA51" s="319"/>
      <c r="AB51" s="319"/>
      <c r="AC51" s="319"/>
      <c r="AD51" s="319"/>
      <c r="AE51" s="319"/>
      <c r="AF51" s="319"/>
      <c r="AG51" s="319"/>
      <c r="AH51" s="319"/>
      <c r="AI51" s="319"/>
      <c r="AJ51" s="319"/>
    </row>
    <row r="52" ht="22.5" customHeight="1">
      <c r="A52" s="365">
        <v>49.0</v>
      </c>
      <c r="B52" s="365"/>
      <c r="C52" s="481">
        <v>45954.0</v>
      </c>
      <c r="D52" s="382"/>
      <c r="E52" s="382" t="s">
        <v>4395</v>
      </c>
      <c r="F52" s="471" t="s">
        <v>4028</v>
      </c>
      <c r="G52" s="471" t="s">
        <v>4840</v>
      </c>
      <c r="H52" s="382" t="s">
        <v>4843</v>
      </c>
      <c r="I52" s="471" t="s">
        <v>3978</v>
      </c>
      <c r="J52" s="406"/>
      <c r="K52" s="406"/>
      <c r="L52" s="406"/>
      <c r="M52" s="406"/>
      <c r="N52" s="406"/>
      <c r="O52" s="406"/>
      <c r="P52" s="497"/>
      <c r="Q52" s="497"/>
      <c r="R52" s="319"/>
      <c r="S52" s="319"/>
      <c r="T52" s="319"/>
      <c r="U52" s="319"/>
      <c r="V52" s="319"/>
      <c r="W52" s="319"/>
      <c r="X52" s="319"/>
      <c r="Y52" s="319"/>
      <c r="Z52" s="319"/>
      <c r="AA52" s="319"/>
      <c r="AB52" s="319"/>
      <c r="AC52" s="319"/>
      <c r="AD52" s="319"/>
      <c r="AE52" s="319"/>
      <c r="AF52" s="319"/>
      <c r="AG52" s="319"/>
      <c r="AH52" s="319"/>
      <c r="AI52" s="319"/>
      <c r="AJ52" s="319"/>
    </row>
    <row r="53" ht="22.5" customHeight="1">
      <c r="A53" s="365">
        <v>50.0</v>
      </c>
      <c r="B53" s="365"/>
      <c r="C53" s="481">
        <v>45912.0</v>
      </c>
      <c r="D53" s="382"/>
      <c r="E53" s="382" t="s">
        <v>4395</v>
      </c>
      <c r="F53" s="471" t="s">
        <v>4028</v>
      </c>
      <c r="G53" s="471" t="s">
        <v>4861</v>
      </c>
      <c r="H53" s="382" t="s">
        <v>4379</v>
      </c>
      <c r="I53" s="471" t="s">
        <v>3978</v>
      </c>
      <c r="J53" s="406"/>
      <c r="K53" s="406"/>
      <c r="L53" s="406"/>
      <c r="M53" s="406"/>
      <c r="N53" s="406"/>
      <c r="O53" s="406"/>
      <c r="P53" s="497"/>
      <c r="Q53" s="497"/>
      <c r="R53" s="319"/>
      <c r="S53" s="319"/>
      <c r="T53" s="319"/>
      <c r="U53" s="319"/>
      <c r="V53" s="319"/>
      <c r="W53" s="319"/>
      <c r="X53" s="319"/>
      <c r="Y53" s="319"/>
      <c r="Z53" s="319"/>
      <c r="AA53" s="319"/>
      <c r="AB53" s="319"/>
      <c r="AC53" s="319"/>
      <c r="AD53" s="319"/>
      <c r="AE53" s="319"/>
      <c r="AF53" s="319"/>
      <c r="AG53" s="319"/>
      <c r="AH53" s="319"/>
      <c r="AI53" s="319"/>
      <c r="AJ53" s="319"/>
    </row>
    <row r="54" ht="22.5" customHeight="1">
      <c r="A54" s="365">
        <v>51.0</v>
      </c>
      <c r="B54" s="365"/>
      <c r="C54" s="481">
        <v>45968.0</v>
      </c>
      <c r="D54" s="382"/>
      <c r="E54" s="382" t="s">
        <v>4026</v>
      </c>
      <c r="F54" s="471" t="s">
        <v>4028</v>
      </c>
      <c r="G54" s="471" t="s">
        <v>4882</v>
      </c>
      <c r="H54" s="382" t="s">
        <v>4883</v>
      </c>
      <c r="I54" s="471" t="s">
        <v>3978</v>
      </c>
      <c r="J54" s="406"/>
      <c r="K54" s="406"/>
      <c r="L54" s="406"/>
      <c r="M54" s="406"/>
      <c r="N54" s="406"/>
      <c r="O54" s="406"/>
      <c r="P54" s="497"/>
      <c r="Q54" s="497"/>
      <c r="R54" s="319"/>
      <c r="S54" s="319"/>
      <c r="T54" s="319"/>
      <c r="U54" s="319"/>
      <c r="V54" s="319"/>
      <c r="W54" s="319"/>
      <c r="X54" s="319"/>
      <c r="Y54" s="319"/>
      <c r="Z54" s="319"/>
      <c r="AA54" s="319"/>
      <c r="AB54" s="319"/>
      <c r="AC54" s="319"/>
      <c r="AD54" s="319"/>
      <c r="AE54" s="319"/>
      <c r="AF54" s="319"/>
      <c r="AG54" s="319"/>
      <c r="AH54" s="319"/>
      <c r="AI54" s="319"/>
      <c r="AJ54" s="319"/>
    </row>
    <row r="55" ht="22.5" customHeight="1">
      <c r="A55" s="365">
        <v>52.0</v>
      </c>
      <c r="B55" s="365"/>
      <c r="C55" s="481">
        <v>45967.0</v>
      </c>
      <c r="D55" s="382"/>
      <c r="E55" s="382" t="s">
        <v>4894</v>
      </c>
      <c r="F55" s="471" t="s">
        <v>4028</v>
      </c>
      <c r="G55" s="471" t="s">
        <v>4895</v>
      </c>
      <c r="H55" s="382" t="s">
        <v>4896</v>
      </c>
      <c r="I55" s="471" t="s">
        <v>3978</v>
      </c>
      <c r="J55" s="382"/>
      <c r="K55" s="382"/>
      <c r="L55" s="382"/>
      <c r="M55" s="382"/>
      <c r="N55" s="382"/>
      <c r="O55" s="382"/>
      <c r="P55" s="380"/>
      <c r="Q55" s="380"/>
      <c r="R55" s="400"/>
      <c r="S55" s="400"/>
      <c r="T55" s="400"/>
      <c r="U55" s="400"/>
      <c r="V55" s="400"/>
      <c r="W55" s="400"/>
      <c r="X55" s="400"/>
      <c r="Y55" s="400"/>
      <c r="Z55" s="400"/>
      <c r="AA55" s="400"/>
      <c r="AB55" s="400"/>
      <c r="AC55" s="400"/>
      <c r="AD55" s="400"/>
      <c r="AE55" s="400"/>
      <c r="AF55" s="400"/>
      <c r="AG55" s="400"/>
      <c r="AH55" s="400"/>
      <c r="AI55" s="400"/>
      <c r="AJ55" s="400"/>
    </row>
    <row r="56" ht="22.5" customHeight="1">
      <c r="A56" s="371">
        <v>53.0</v>
      </c>
      <c r="B56" s="371"/>
      <c r="C56" s="495">
        <v>46006.0</v>
      </c>
      <c r="D56" s="406"/>
      <c r="E56" s="406" t="s">
        <v>3869</v>
      </c>
      <c r="F56" s="496" t="s">
        <v>4028</v>
      </c>
      <c r="G56" s="496" t="s">
        <v>4895</v>
      </c>
      <c r="H56" s="406" t="s">
        <v>4909</v>
      </c>
      <c r="I56" s="496"/>
      <c r="J56" s="406"/>
      <c r="K56" s="406"/>
      <c r="L56" s="406"/>
      <c r="M56" s="406"/>
      <c r="N56" s="406"/>
      <c r="O56" s="406"/>
      <c r="P56" s="497"/>
      <c r="Q56" s="497"/>
      <c r="R56" s="319"/>
      <c r="S56" s="319"/>
      <c r="T56" s="319"/>
      <c r="U56" s="319"/>
      <c r="V56" s="319"/>
      <c r="W56" s="319"/>
      <c r="X56" s="319"/>
      <c r="Y56" s="319"/>
      <c r="Z56" s="319"/>
      <c r="AA56" s="319"/>
      <c r="AB56" s="319"/>
      <c r="AC56" s="319"/>
      <c r="AD56" s="319"/>
      <c r="AE56" s="319"/>
      <c r="AF56" s="319"/>
      <c r="AG56" s="319"/>
      <c r="AH56" s="319"/>
      <c r="AI56" s="319"/>
      <c r="AJ56" s="319"/>
    </row>
    <row r="57" ht="22.5" customHeight="1">
      <c r="A57" s="371">
        <v>54.0</v>
      </c>
      <c r="B57" s="371"/>
      <c r="C57" s="495">
        <v>46006.0</v>
      </c>
      <c r="D57" s="406"/>
      <c r="E57" s="406" t="s">
        <v>4267</v>
      </c>
      <c r="F57" s="496" t="s">
        <v>4028</v>
      </c>
      <c r="G57" s="496" t="s">
        <v>4895</v>
      </c>
      <c r="H57" s="406" t="s">
        <v>4922</v>
      </c>
      <c r="I57" s="496"/>
      <c r="J57" s="406"/>
      <c r="K57" s="406"/>
      <c r="L57" s="406"/>
      <c r="M57" s="406"/>
      <c r="N57" s="406"/>
      <c r="O57" s="406"/>
      <c r="P57" s="497"/>
      <c r="Q57" s="497"/>
      <c r="R57" s="319"/>
      <c r="S57" s="319"/>
      <c r="T57" s="319"/>
      <c r="U57" s="319"/>
      <c r="V57" s="319"/>
      <c r="W57" s="319"/>
      <c r="X57" s="319"/>
      <c r="Y57" s="319"/>
      <c r="Z57" s="319"/>
      <c r="AA57" s="319"/>
      <c r="AB57" s="319"/>
      <c r="AC57" s="319"/>
      <c r="AD57" s="319"/>
      <c r="AE57" s="319"/>
      <c r="AF57" s="319"/>
      <c r="AG57" s="319"/>
      <c r="AH57" s="319"/>
      <c r="AI57" s="319"/>
      <c r="AJ57" s="319"/>
    </row>
    <row r="58" ht="22.5" customHeight="1">
      <c r="A58" s="502">
        <v>55.0</v>
      </c>
      <c r="B58" s="502"/>
      <c r="C58" s="503">
        <v>46022.0</v>
      </c>
      <c r="D58" s="504"/>
      <c r="E58" s="504" t="s">
        <v>4935</v>
      </c>
      <c r="F58" s="505" t="s">
        <v>4028</v>
      </c>
      <c r="G58" s="505" t="s">
        <v>4895</v>
      </c>
      <c r="H58" s="504" t="s">
        <v>4938</v>
      </c>
      <c r="I58" s="505" t="s">
        <v>3978</v>
      </c>
      <c r="J58" s="504"/>
      <c r="K58" s="504"/>
      <c r="L58" s="504"/>
      <c r="M58" s="504"/>
      <c r="N58" s="504"/>
      <c r="O58" s="504"/>
      <c r="P58" s="380"/>
      <c r="Q58" s="380"/>
      <c r="R58" s="400"/>
      <c r="S58" s="400"/>
      <c r="T58" s="400"/>
      <c r="U58" s="400"/>
      <c r="V58" s="400"/>
      <c r="W58" s="400"/>
      <c r="X58" s="400"/>
      <c r="Y58" s="400"/>
      <c r="Z58" s="400"/>
      <c r="AA58" s="400"/>
      <c r="AB58" s="400"/>
      <c r="AC58" s="400"/>
      <c r="AD58" s="400"/>
      <c r="AE58" s="400"/>
      <c r="AF58" s="400"/>
      <c r="AG58" s="400"/>
      <c r="AH58" s="400"/>
      <c r="AI58" s="400"/>
      <c r="AJ58" s="400"/>
    </row>
    <row r="59" ht="22.5" customHeight="1">
      <c r="A59" s="506" t="s">
        <v>3725</v>
      </c>
      <c r="B59" s="507" t="s">
        <v>3834</v>
      </c>
      <c r="C59" s="508" t="s">
        <v>3836</v>
      </c>
      <c r="D59" s="506" t="s">
        <v>3837</v>
      </c>
      <c r="E59" s="509" t="s">
        <v>3839</v>
      </c>
      <c r="F59" s="507" t="s">
        <v>3841</v>
      </c>
      <c r="G59" s="506" t="s">
        <v>3843</v>
      </c>
      <c r="H59" s="509" t="s">
        <v>14</v>
      </c>
      <c r="I59" s="510" t="s">
        <v>3844</v>
      </c>
      <c r="J59" s="511" t="s">
        <v>3846</v>
      </c>
      <c r="K59" s="511" t="s">
        <v>3847</v>
      </c>
      <c r="L59" s="510" t="s">
        <v>3848</v>
      </c>
      <c r="M59" s="510" t="s">
        <v>3850</v>
      </c>
      <c r="N59" s="511" t="s">
        <v>3854</v>
      </c>
      <c r="O59" s="514" t="s">
        <v>3856</v>
      </c>
      <c r="P59" s="518" t="s">
        <v>3857</v>
      </c>
      <c r="Q59" s="518" t="s">
        <v>3858</v>
      </c>
      <c r="R59" s="400"/>
      <c r="S59" s="400"/>
      <c r="T59" s="400"/>
      <c r="U59" s="400"/>
      <c r="V59" s="400"/>
      <c r="W59" s="400"/>
      <c r="X59" s="400"/>
      <c r="Y59" s="400"/>
      <c r="Z59" s="400"/>
      <c r="AA59" s="400"/>
      <c r="AB59" s="400"/>
      <c r="AC59" s="400"/>
      <c r="AD59" s="400"/>
      <c r="AE59" s="400"/>
      <c r="AF59" s="400"/>
      <c r="AG59" s="400"/>
      <c r="AH59" s="400"/>
      <c r="AI59" s="400"/>
      <c r="AJ59" s="400"/>
    </row>
    <row r="60" ht="22.5" customHeight="1">
      <c r="A60" s="365">
        <v>56.0</v>
      </c>
      <c r="B60" s="365"/>
      <c r="C60" s="481">
        <v>46121.0</v>
      </c>
      <c r="D60" s="382"/>
      <c r="E60" s="382" t="s">
        <v>4129</v>
      </c>
      <c r="F60" s="471" t="s">
        <v>4028</v>
      </c>
      <c r="G60" s="471" t="s">
        <v>4984</v>
      </c>
      <c r="H60" s="382" t="s">
        <v>4987</v>
      </c>
      <c r="I60" s="471"/>
      <c r="J60" s="382"/>
      <c r="K60" s="382"/>
      <c r="L60" s="382"/>
      <c r="M60" s="382"/>
      <c r="N60" s="382"/>
      <c r="O60" s="382"/>
      <c r="P60" s="380"/>
      <c r="Q60" s="380"/>
      <c r="R60" s="319"/>
      <c r="S60" s="319"/>
      <c r="T60" s="319"/>
      <c r="U60" s="319"/>
      <c r="V60" s="319"/>
      <c r="W60" s="319"/>
      <c r="X60" s="319"/>
      <c r="Y60" s="319"/>
      <c r="Z60" s="319"/>
      <c r="AA60" s="319"/>
      <c r="AB60" s="319"/>
      <c r="AC60" s="319"/>
      <c r="AD60" s="319"/>
      <c r="AE60" s="319"/>
      <c r="AF60" s="319"/>
      <c r="AG60" s="319"/>
      <c r="AH60" s="319"/>
      <c r="AI60" s="319"/>
      <c r="AJ60" s="319"/>
    </row>
    <row r="61" ht="15.75" customHeight="1">
      <c r="A61" s="522">
        <v>57.0</v>
      </c>
      <c r="B61" s="365"/>
      <c r="C61" s="523">
        <v>46141.0</v>
      </c>
      <c r="D61" s="382"/>
      <c r="E61" s="525" t="s">
        <v>3869</v>
      </c>
      <c r="F61" s="526" t="s">
        <v>4028</v>
      </c>
      <c r="G61" s="526" t="s">
        <v>4984</v>
      </c>
      <c r="H61" s="525" t="s">
        <v>5014</v>
      </c>
      <c r="I61" s="471"/>
      <c r="J61" s="382"/>
      <c r="K61" s="382"/>
      <c r="L61" s="382"/>
      <c r="M61" s="382"/>
      <c r="N61" s="382"/>
      <c r="O61" s="382"/>
      <c r="P61" s="382"/>
      <c r="Q61" s="380"/>
      <c r="R61" s="319"/>
      <c r="S61" s="319"/>
      <c r="T61" s="319"/>
      <c r="U61" s="319"/>
      <c r="V61" s="319"/>
      <c r="W61" s="319"/>
      <c r="X61" s="319"/>
      <c r="Y61" s="319"/>
      <c r="Z61" s="319"/>
      <c r="AA61" s="319"/>
      <c r="AB61" s="319"/>
      <c r="AC61" s="319"/>
      <c r="AD61" s="319"/>
      <c r="AE61" s="319"/>
      <c r="AF61" s="319"/>
      <c r="AG61" s="319"/>
      <c r="AH61" s="319"/>
      <c r="AI61" s="319"/>
      <c r="AJ61" s="319"/>
    </row>
    <row r="62" ht="15.75" customHeight="1">
      <c r="A62" s="522">
        <v>58.0</v>
      </c>
      <c r="B62" s="365"/>
      <c r="C62" s="523">
        <v>46168.0</v>
      </c>
      <c r="D62" s="382"/>
      <c r="E62" s="525" t="s">
        <v>4453</v>
      </c>
      <c r="F62" s="526" t="s">
        <v>4028</v>
      </c>
      <c r="G62" s="526" t="s">
        <v>4984</v>
      </c>
      <c r="H62" s="525" t="s">
        <v>5023</v>
      </c>
      <c r="I62" s="471"/>
      <c r="J62" s="382"/>
      <c r="K62" s="382"/>
      <c r="L62" s="382"/>
      <c r="M62" s="382"/>
      <c r="N62" s="382"/>
      <c r="O62" s="382"/>
      <c r="P62" s="382"/>
      <c r="Q62" s="380"/>
      <c r="R62" s="319"/>
      <c r="S62" s="319"/>
      <c r="T62" s="319"/>
      <c r="U62" s="319"/>
      <c r="V62" s="319"/>
      <c r="W62" s="319"/>
      <c r="X62" s="319"/>
      <c r="Y62" s="319"/>
      <c r="Z62" s="319"/>
      <c r="AA62" s="319"/>
      <c r="AB62" s="319"/>
      <c r="AC62" s="319"/>
      <c r="AD62" s="319"/>
      <c r="AE62" s="319"/>
      <c r="AF62" s="319"/>
      <c r="AG62" s="319"/>
      <c r="AH62" s="319"/>
      <c r="AI62" s="319"/>
      <c r="AJ62" s="319"/>
    </row>
    <row r="63" ht="15.75" customHeight="1">
      <c r="A63" s="522">
        <v>59.0</v>
      </c>
      <c r="B63" s="365"/>
      <c r="C63" s="523">
        <v>46247.0</v>
      </c>
      <c r="D63" s="382"/>
      <c r="E63" s="525" t="s">
        <v>3869</v>
      </c>
      <c r="F63" s="526" t="s">
        <v>4028</v>
      </c>
      <c r="G63" s="526" t="s">
        <v>4895</v>
      </c>
      <c r="H63" s="525" t="s">
        <v>5033</v>
      </c>
      <c r="I63" s="471"/>
      <c r="J63" s="382"/>
      <c r="K63" s="382"/>
      <c r="L63" s="382"/>
      <c r="M63" s="382"/>
      <c r="N63" s="382"/>
      <c r="O63" s="382"/>
      <c r="P63" s="382"/>
      <c r="Q63" s="380"/>
      <c r="R63" s="319"/>
      <c r="S63" s="319"/>
      <c r="T63" s="319"/>
      <c r="U63" s="319"/>
      <c r="V63" s="319"/>
      <c r="W63" s="319"/>
      <c r="X63" s="319"/>
      <c r="Y63" s="319"/>
      <c r="Z63" s="319"/>
      <c r="AA63" s="319"/>
      <c r="AB63" s="319"/>
      <c r="AC63" s="319"/>
      <c r="AD63" s="319"/>
      <c r="AE63" s="319"/>
      <c r="AF63" s="319"/>
      <c r="AG63" s="319"/>
      <c r="AH63" s="319"/>
      <c r="AI63" s="319"/>
      <c r="AJ63" s="319"/>
    </row>
    <row r="64" ht="15.75" customHeight="1">
      <c r="A64" s="158"/>
      <c r="B64" s="158"/>
      <c r="C64" s="158"/>
      <c r="D64" s="224"/>
      <c r="E64" s="224"/>
      <c r="F64" s="226"/>
      <c r="G64" s="226"/>
      <c r="H64" s="224"/>
      <c r="I64" s="224"/>
      <c r="J64" s="224"/>
      <c r="K64" s="224"/>
      <c r="L64" s="224"/>
      <c r="M64" s="224"/>
      <c r="N64" s="224"/>
      <c r="O64" s="224"/>
      <c r="P64" s="224"/>
      <c r="Q64" s="319"/>
      <c r="R64" s="319"/>
      <c r="S64" s="319"/>
      <c r="T64" s="319"/>
      <c r="U64" s="319"/>
      <c r="V64" s="319"/>
      <c r="W64" s="319"/>
      <c r="X64" s="319"/>
      <c r="Y64" s="319"/>
      <c r="Z64" s="319"/>
      <c r="AA64" s="319"/>
      <c r="AB64" s="319"/>
      <c r="AC64" s="319"/>
      <c r="AD64" s="319"/>
      <c r="AE64" s="319"/>
      <c r="AF64" s="319"/>
      <c r="AG64" s="319"/>
      <c r="AH64" s="319"/>
      <c r="AI64" s="319"/>
      <c r="AJ64" s="319"/>
    </row>
    <row r="65" ht="15.75" customHeight="1">
      <c r="A65" s="158"/>
      <c r="B65" s="158"/>
      <c r="C65" s="158"/>
      <c r="D65" s="224"/>
      <c r="E65" s="224"/>
      <c r="F65" s="226"/>
      <c r="G65" s="226"/>
      <c r="H65" s="224"/>
      <c r="I65" s="224"/>
      <c r="J65" s="224"/>
      <c r="K65" s="224"/>
      <c r="L65" s="224"/>
      <c r="M65" s="224"/>
      <c r="N65" s="224"/>
      <c r="O65" s="224"/>
      <c r="P65" s="224"/>
      <c r="Q65" s="319"/>
      <c r="R65" s="319"/>
      <c r="S65" s="319"/>
      <c r="T65" s="319"/>
      <c r="U65" s="319"/>
      <c r="V65" s="319"/>
      <c r="W65" s="319"/>
      <c r="X65" s="319"/>
      <c r="Y65" s="319"/>
      <c r="Z65" s="319"/>
      <c r="AA65" s="319"/>
      <c r="AB65" s="319"/>
      <c r="AC65" s="319"/>
      <c r="AD65" s="319"/>
      <c r="AE65" s="319"/>
      <c r="AF65" s="319"/>
      <c r="AG65" s="319"/>
      <c r="AH65" s="319"/>
      <c r="AI65" s="319"/>
      <c r="AJ65" s="319"/>
    </row>
    <row r="66" ht="15.75" customHeight="1">
      <c r="A66" s="158"/>
      <c r="B66" s="158"/>
      <c r="C66" s="158"/>
      <c r="D66" s="224"/>
      <c r="E66" s="224"/>
      <c r="F66" s="226"/>
      <c r="G66" s="226"/>
      <c r="H66" s="224"/>
      <c r="I66" s="224"/>
      <c r="J66" s="224"/>
      <c r="K66" s="224"/>
      <c r="L66" s="224"/>
      <c r="M66" s="224"/>
      <c r="N66" s="224"/>
      <c r="O66" s="224"/>
      <c r="P66" s="224"/>
      <c r="Q66" s="319"/>
      <c r="R66" s="319"/>
      <c r="S66" s="319"/>
      <c r="T66" s="319"/>
      <c r="U66" s="319"/>
      <c r="V66" s="319"/>
      <c r="W66" s="319"/>
      <c r="X66" s="319"/>
      <c r="Y66" s="319"/>
      <c r="Z66" s="319"/>
      <c r="AA66" s="319"/>
      <c r="AB66" s="319"/>
      <c r="AC66" s="319"/>
      <c r="AD66" s="319"/>
      <c r="AE66" s="319"/>
      <c r="AF66" s="319"/>
      <c r="AG66" s="319"/>
      <c r="AH66" s="319"/>
      <c r="AI66" s="319"/>
      <c r="AJ66" s="319"/>
    </row>
    <row r="67" ht="15.75" customHeight="1">
      <c r="A67" s="217"/>
      <c r="B67" s="217"/>
      <c r="C67" s="217"/>
      <c r="F67" s="298"/>
      <c r="G67" s="298"/>
      <c r="Q67" s="319"/>
      <c r="R67" s="319"/>
      <c r="S67" s="319"/>
      <c r="T67" s="319"/>
      <c r="U67" s="319"/>
      <c r="V67" s="319"/>
      <c r="W67" s="319"/>
      <c r="X67" s="319"/>
      <c r="Y67" s="319"/>
      <c r="Z67" s="319"/>
      <c r="AA67" s="319"/>
      <c r="AB67" s="319"/>
      <c r="AC67" s="319"/>
      <c r="AD67" s="319"/>
      <c r="AE67" s="319"/>
      <c r="AF67" s="319"/>
      <c r="AG67" s="319"/>
      <c r="AH67" s="319"/>
      <c r="AI67" s="319"/>
      <c r="AJ67" s="319"/>
    </row>
    <row r="68" ht="15.75" customHeight="1">
      <c r="A68" s="217"/>
      <c r="B68" s="217"/>
      <c r="C68" s="217"/>
      <c r="F68" s="298"/>
      <c r="G68" s="298"/>
      <c r="Q68" s="319"/>
      <c r="R68" s="319"/>
      <c r="S68" s="319"/>
      <c r="T68" s="319"/>
      <c r="U68" s="319"/>
      <c r="V68" s="319"/>
      <c r="W68" s="319"/>
      <c r="X68" s="319"/>
      <c r="Y68" s="319"/>
      <c r="Z68" s="319"/>
      <c r="AA68" s="319"/>
      <c r="AB68" s="319"/>
      <c r="AC68" s="319"/>
      <c r="AD68" s="319"/>
      <c r="AE68" s="319"/>
      <c r="AF68" s="319"/>
      <c r="AG68" s="319"/>
      <c r="AH68" s="319"/>
      <c r="AI68" s="319"/>
      <c r="AJ68" s="319"/>
    </row>
    <row r="69" ht="15.75" customHeight="1">
      <c r="A69" s="217"/>
      <c r="B69" s="217"/>
      <c r="C69" s="217"/>
      <c r="F69" s="298"/>
      <c r="G69" s="298"/>
      <c r="Q69" s="319"/>
      <c r="R69" s="319"/>
      <c r="S69" s="319"/>
      <c r="T69" s="319"/>
      <c r="U69" s="319"/>
      <c r="V69" s="319"/>
      <c r="W69" s="319"/>
      <c r="X69" s="319"/>
      <c r="Y69" s="319"/>
      <c r="Z69" s="319"/>
      <c r="AA69" s="319"/>
      <c r="AB69" s="319"/>
      <c r="AC69" s="319"/>
      <c r="AD69" s="319"/>
      <c r="AE69" s="319"/>
      <c r="AF69" s="319"/>
      <c r="AG69" s="319"/>
      <c r="AH69" s="319"/>
      <c r="AI69" s="319"/>
      <c r="AJ69" s="319"/>
    </row>
    <row r="70" ht="15.75" customHeight="1">
      <c r="A70" s="217"/>
      <c r="B70" s="217"/>
      <c r="C70" s="217"/>
      <c r="F70" s="298"/>
      <c r="G70" s="298"/>
      <c r="Q70" s="319"/>
      <c r="R70" s="319"/>
      <c r="S70" s="319"/>
      <c r="T70" s="319"/>
      <c r="U70" s="319"/>
      <c r="V70" s="319"/>
      <c r="W70" s="319"/>
      <c r="X70" s="319"/>
      <c r="Y70" s="319"/>
      <c r="Z70" s="319"/>
      <c r="AA70" s="319"/>
      <c r="AB70" s="319"/>
      <c r="AC70" s="319"/>
      <c r="AD70" s="319"/>
      <c r="AE70" s="319"/>
      <c r="AF70" s="319"/>
      <c r="AG70" s="319"/>
      <c r="AH70" s="319"/>
      <c r="AI70" s="319"/>
      <c r="AJ70" s="319"/>
    </row>
    <row r="71" ht="15.75" customHeight="1">
      <c r="A71" s="217"/>
      <c r="B71" s="217"/>
      <c r="C71" s="217"/>
      <c r="F71" s="298"/>
      <c r="G71" s="298"/>
      <c r="Q71" s="319"/>
      <c r="R71" s="319"/>
      <c r="S71" s="319"/>
      <c r="T71" s="319"/>
      <c r="U71" s="319"/>
      <c r="V71" s="319"/>
      <c r="W71" s="319"/>
      <c r="X71" s="319"/>
      <c r="Y71" s="319"/>
      <c r="Z71" s="319"/>
      <c r="AA71" s="319"/>
      <c r="AB71" s="319"/>
      <c r="AC71" s="319"/>
      <c r="AD71" s="319"/>
      <c r="AE71" s="319"/>
      <c r="AF71" s="319"/>
      <c r="AG71" s="319"/>
      <c r="AH71" s="319"/>
      <c r="AI71" s="319"/>
      <c r="AJ71" s="319"/>
    </row>
    <row r="72" ht="15.75" customHeight="1">
      <c r="A72" s="217"/>
      <c r="B72" s="217"/>
      <c r="C72" s="217"/>
      <c r="F72" s="298"/>
      <c r="G72" s="298"/>
      <c r="Q72" s="319"/>
      <c r="R72" s="319"/>
      <c r="S72" s="319"/>
      <c r="T72" s="319"/>
      <c r="U72" s="319"/>
      <c r="V72" s="319"/>
      <c r="W72" s="319"/>
      <c r="X72" s="319"/>
      <c r="Y72" s="319"/>
      <c r="Z72" s="319"/>
      <c r="AA72" s="319"/>
      <c r="AB72" s="319"/>
      <c r="AC72" s="319"/>
      <c r="AD72" s="319"/>
      <c r="AE72" s="319"/>
      <c r="AF72" s="319"/>
      <c r="AG72" s="319"/>
      <c r="AH72" s="319"/>
      <c r="AI72" s="319"/>
      <c r="AJ72" s="319"/>
    </row>
    <row r="73" ht="15.75" customHeight="1">
      <c r="A73" s="217"/>
      <c r="B73" s="217"/>
      <c r="C73" s="217"/>
      <c r="F73" s="298"/>
      <c r="G73" s="298"/>
      <c r="Q73" s="319"/>
      <c r="R73" s="319"/>
      <c r="S73" s="319"/>
      <c r="T73" s="319"/>
      <c r="U73" s="319"/>
      <c r="V73" s="319"/>
      <c r="W73" s="319"/>
      <c r="X73" s="319"/>
      <c r="Y73" s="319"/>
      <c r="Z73" s="319"/>
      <c r="AA73" s="319"/>
      <c r="AB73" s="319"/>
      <c r="AC73" s="319"/>
      <c r="AD73" s="319"/>
      <c r="AE73" s="319"/>
      <c r="AF73" s="319"/>
      <c r="AG73" s="319"/>
      <c r="AH73" s="319"/>
      <c r="AI73" s="319"/>
      <c r="AJ73" s="319"/>
    </row>
    <row r="74" ht="15.75" customHeight="1">
      <c r="A74" s="217"/>
      <c r="B74" s="217"/>
      <c r="C74" s="217"/>
      <c r="F74" s="298"/>
      <c r="G74" s="298"/>
      <c r="Q74" s="319"/>
      <c r="R74" s="319"/>
      <c r="S74" s="319"/>
      <c r="T74" s="319"/>
      <c r="U74" s="319"/>
      <c r="V74" s="319"/>
      <c r="W74" s="319"/>
      <c r="X74" s="319"/>
      <c r="Y74" s="319"/>
      <c r="Z74" s="319"/>
      <c r="AA74" s="319"/>
      <c r="AB74" s="319"/>
      <c r="AC74" s="319"/>
      <c r="AD74" s="319"/>
      <c r="AE74" s="319"/>
      <c r="AF74" s="319"/>
      <c r="AG74" s="319"/>
      <c r="AH74" s="319"/>
      <c r="AI74" s="319"/>
      <c r="AJ74" s="319"/>
    </row>
    <row r="75" ht="15.75" customHeight="1">
      <c r="A75" s="217"/>
      <c r="B75" s="217"/>
      <c r="C75" s="217"/>
      <c r="F75" s="298"/>
      <c r="G75" s="298"/>
      <c r="Q75" s="319"/>
      <c r="R75" s="319"/>
      <c r="S75" s="319"/>
      <c r="T75" s="319"/>
      <c r="U75" s="319"/>
      <c r="V75" s="319"/>
      <c r="W75" s="319"/>
      <c r="X75" s="319"/>
      <c r="Y75" s="319"/>
      <c r="Z75" s="319"/>
      <c r="AA75" s="319"/>
      <c r="AB75" s="319"/>
      <c r="AC75" s="319"/>
      <c r="AD75" s="319"/>
      <c r="AE75" s="319"/>
      <c r="AF75" s="319"/>
      <c r="AG75" s="319"/>
      <c r="AH75" s="319"/>
      <c r="AI75" s="319"/>
      <c r="AJ75" s="319"/>
    </row>
    <row r="76" ht="15.75" customHeight="1">
      <c r="A76" s="217"/>
      <c r="B76" s="217"/>
      <c r="C76" s="217"/>
      <c r="F76" s="298"/>
      <c r="G76" s="298"/>
      <c r="Q76" s="319"/>
      <c r="R76" s="319"/>
      <c r="S76" s="319"/>
      <c r="T76" s="319"/>
      <c r="U76" s="319"/>
      <c r="V76" s="319"/>
      <c r="W76" s="319"/>
      <c r="X76" s="319"/>
      <c r="Y76" s="319"/>
      <c r="Z76" s="319"/>
      <c r="AA76" s="319"/>
      <c r="AB76" s="319"/>
      <c r="AC76" s="319"/>
      <c r="AD76" s="319"/>
      <c r="AE76" s="319"/>
      <c r="AF76" s="319"/>
      <c r="AG76" s="319"/>
      <c r="AH76" s="319"/>
      <c r="AI76" s="319"/>
      <c r="AJ76" s="319"/>
    </row>
    <row r="77" ht="15.75" customHeight="1">
      <c r="A77" s="217"/>
      <c r="B77" s="217"/>
      <c r="C77" s="217"/>
      <c r="F77" s="298"/>
      <c r="G77" s="298"/>
      <c r="Q77" s="319"/>
      <c r="R77" s="319"/>
      <c r="S77" s="319"/>
      <c r="T77" s="319"/>
      <c r="U77" s="319"/>
      <c r="V77" s="319"/>
      <c r="W77" s="319"/>
      <c r="X77" s="319"/>
      <c r="Y77" s="319"/>
      <c r="Z77" s="319"/>
      <c r="AA77" s="319"/>
      <c r="AB77" s="319"/>
      <c r="AC77" s="319"/>
      <c r="AD77" s="319"/>
      <c r="AE77" s="319"/>
      <c r="AF77" s="319"/>
      <c r="AG77" s="319"/>
      <c r="AH77" s="319"/>
      <c r="AI77" s="319"/>
      <c r="AJ77" s="319"/>
    </row>
    <row r="78" ht="15.75" customHeight="1">
      <c r="A78" s="217"/>
      <c r="B78" s="217"/>
      <c r="C78" s="217"/>
      <c r="F78" s="298"/>
      <c r="G78" s="298"/>
      <c r="Q78" s="319"/>
      <c r="R78" s="319"/>
      <c r="S78" s="319"/>
      <c r="T78" s="319"/>
      <c r="U78" s="319"/>
      <c r="V78" s="319"/>
      <c r="W78" s="319"/>
      <c r="X78" s="319"/>
      <c r="Y78" s="319"/>
      <c r="Z78" s="319"/>
      <c r="AA78" s="319"/>
      <c r="AB78" s="319"/>
      <c r="AC78" s="319"/>
      <c r="AD78" s="319"/>
      <c r="AE78" s="319"/>
      <c r="AF78" s="319"/>
      <c r="AG78" s="319"/>
      <c r="AH78" s="319"/>
      <c r="AI78" s="319"/>
      <c r="AJ78" s="319"/>
    </row>
    <row r="79" ht="15.75" customHeight="1">
      <c r="A79" s="217"/>
      <c r="B79" s="217"/>
      <c r="C79" s="217"/>
      <c r="F79" s="298"/>
      <c r="G79" s="298"/>
      <c r="Q79" s="319"/>
      <c r="R79" s="319"/>
      <c r="S79" s="319"/>
      <c r="T79" s="319"/>
      <c r="U79" s="319"/>
      <c r="V79" s="319"/>
      <c r="W79" s="319"/>
      <c r="X79" s="319"/>
      <c r="Y79" s="319"/>
      <c r="Z79" s="319"/>
      <c r="AA79" s="319"/>
      <c r="AB79" s="319"/>
      <c r="AC79" s="319"/>
      <c r="AD79" s="319"/>
      <c r="AE79" s="319"/>
      <c r="AF79" s="319"/>
      <c r="AG79" s="319"/>
      <c r="AH79" s="319"/>
      <c r="AI79" s="319"/>
      <c r="AJ79" s="319"/>
    </row>
    <row r="80" ht="15.75" customHeight="1">
      <c r="A80" s="217"/>
      <c r="B80" s="217"/>
      <c r="C80" s="217"/>
      <c r="F80" s="298"/>
      <c r="G80" s="298"/>
      <c r="Q80" s="319"/>
      <c r="R80" s="319"/>
      <c r="S80" s="319"/>
      <c r="T80" s="319"/>
      <c r="U80" s="319"/>
      <c r="V80" s="319"/>
      <c r="W80" s="319"/>
      <c r="X80" s="319"/>
      <c r="Y80" s="319"/>
      <c r="Z80" s="319"/>
      <c r="AA80" s="319"/>
      <c r="AB80" s="319"/>
      <c r="AC80" s="319"/>
      <c r="AD80" s="319"/>
      <c r="AE80" s="319"/>
      <c r="AF80" s="319"/>
      <c r="AG80" s="319"/>
      <c r="AH80" s="319"/>
      <c r="AI80" s="319"/>
      <c r="AJ80" s="319"/>
    </row>
    <row r="81" ht="15.75" customHeight="1">
      <c r="A81" s="217"/>
      <c r="B81" s="217"/>
      <c r="C81" s="217"/>
      <c r="F81" s="298"/>
      <c r="G81" s="298"/>
      <c r="Q81" s="319"/>
      <c r="R81" s="319"/>
      <c r="S81" s="319"/>
      <c r="T81" s="319"/>
      <c r="U81" s="319"/>
      <c r="V81" s="319"/>
      <c r="W81" s="319"/>
      <c r="X81" s="319"/>
      <c r="Y81" s="319"/>
      <c r="Z81" s="319"/>
      <c r="AA81" s="319"/>
      <c r="AB81" s="319"/>
      <c r="AC81" s="319"/>
      <c r="AD81" s="319"/>
      <c r="AE81" s="319"/>
      <c r="AF81" s="319"/>
      <c r="AG81" s="319"/>
      <c r="AH81" s="319"/>
      <c r="AI81" s="319"/>
      <c r="AJ81" s="319"/>
    </row>
    <row r="82" ht="15.75" customHeight="1">
      <c r="A82" s="217"/>
      <c r="B82" s="217"/>
      <c r="C82" s="217"/>
      <c r="F82" s="298"/>
      <c r="G82" s="298"/>
      <c r="Q82" s="319"/>
      <c r="R82" s="319"/>
      <c r="S82" s="319"/>
      <c r="T82" s="319"/>
      <c r="U82" s="319"/>
      <c r="V82" s="319"/>
      <c r="W82" s="319"/>
      <c r="X82" s="319"/>
      <c r="Y82" s="319"/>
      <c r="Z82" s="319"/>
      <c r="AA82" s="319"/>
      <c r="AB82" s="319"/>
      <c r="AC82" s="319"/>
      <c r="AD82" s="319"/>
      <c r="AE82" s="319"/>
      <c r="AF82" s="319"/>
      <c r="AG82" s="319"/>
      <c r="AH82" s="319"/>
      <c r="AI82" s="319"/>
      <c r="AJ82" s="319"/>
    </row>
    <row r="83" ht="15.75" customHeight="1">
      <c r="A83" s="217"/>
      <c r="B83" s="217"/>
      <c r="C83" s="217"/>
      <c r="F83" s="298"/>
      <c r="G83" s="298"/>
      <c r="Q83" s="319"/>
      <c r="R83" s="319"/>
      <c r="S83" s="319"/>
      <c r="T83" s="319"/>
      <c r="U83" s="319"/>
      <c r="V83" s="319"/>
      <c r="W83" s="319"/>
      <c r="X83" s="319"/>
      <c r="Y83" s="319"/>
      <c r="Z83" s="319"/>
      <c r="AA83" s="319"/>
      <c r="AB83" s="319"/>
      <c r="AC83" s="319"/>
      <c r="AD83" s="319"/>
      <c r="AE83" s="319"/>
      <c r="AF83" s="319"/>
      <c r="AG83" s="319"/>
      <c r="AH83" s="319"/>
      <c r="AI83" s="319"/>
      <c r="AJ83" s="319"/>
    </row>
    <row r="84" ht="15.75" customHeight="1">
      <c r="A84" s="217"/>
      <c r="B84" s="217"/>
      <c r="C84" s="217"/>
      <c r="F84" s="298"/>
      <c r="G84" s="298"/>
      <c r="Q84" s="319"/>
      <c r="R84" s="319"/>
      <c r="S84" s="319"/>
      <c r="T84" s="319"/>
      <c r="U84" s="319"/>
      <c r="V84" s="319"/>
      <c r="W84" s="319"/>
      <c r="X84" s="319"/>
      <c r="Y84" s="319"/>
      <c r="Z84" s="319"/>
      <c r="AA84" s="319"/>
      <c r="AB84" s="319"/>
      <c r="AC84" s="319"/>
      <c r="AD84" s="319"/>
      <c r="AE84" s="319"/>
      <c r="AF84" s="319"/>
      <c r="AG84" s="319"/>
      <c r="AH84" s="319"/>
      <c r="AI84" s="319"/>
      <c r="AJ84" s="319"/>
    </row>
    <row r="85" ht="15.75" customHeight="1">
      <c r="A85" s="217"/>
      <c r="B85" s="217"/>
      <c r="C85" s="217"/>
      <c r="F85" s="298"/>
      <c r="G85" s="298"/>
      <c r="Q85" s="319"/>
      <c r="R85" s="319"/>
      <c r="S85" s="319"/>
      <c r="T85" s="319"/>
      <c r="U85" s="319"/>
      <c r="V85" s="319"/>
      <c r="W85" s="319"/>
      <c r="X85" s="319"/>
      <c r="Y85" s="319"/>
      <c r="Z85" s="319"/>
      <c r="AA85" s="319"/>
      <c r="AB85" s="319"/>
      <c r="AC85" s="319"/>
      <c r="AD85" s="319"/>
      <c r="AE85" s="319"/>
      <c r="AF85" s="319"/>
      <c r="AG85" s="319"/>
      <c r="AH85" s="319"/>
      <c r="AI85" s="319"/>
      <c r="AJ85" s="319"/>
    </row>
    <row r="86" ht="15.75" customHeight="1">
      <c r="A86" s="217"/>
      <c r="B86" s="217"/>
      <c r="C86" s="217"/>
      <c r="F86" s="298"/>
      <c r="G86" s="298"/>
      <c r="Q86" s="319"/>
      <c r="R86" s="319"/>
      <c r="S86" s="319"/>
      <c r="T86" s="319"/>
      <c r="U86" s="319"/>
      <c r="V86" s="319"/>
      <c r="W86" s="319"/>
      <c r="X86" s="319"/>
      <c r="Y86" s="319"/>
      <c r="Z86" s="319"/>
      <c r="AA86" s="319"/>
      <c r="AB86" s="319"/>
      <c r="AC86" s="319"/>
      <c r="AD86" s="319"/>
      <c r="AE86" s="319"/>
      <c r="AF86" s="319"/>
      <c r="AG86" s="319"/>
      <c r="AH86" s="319"/>
      <c r="AI86" s="319"/>
      <c r="AJ86" s="319"/>
    </row>
    <row r="87" ht="15.75" customHeight="1">
      <c r="A87" s="217"/>
      <c r="B87" s="217"/>
      <c r="C87" s="217"/>
      <c r="F87" s="298"/>
      <c r="G87" s="298"/>
      <c r="Q87" s="319"/>
      <c r="R87" s="319"/>
      <c r="S87" s="319"/>
      <c r="T87" s="319"/>
      <c r="U87" s="319"/>
      <c r="V87" s="319"/>
      <c r="W87" s="319"/>
      <c r="X87" s="319"/>
      <c r="Y87" s="319"/>
      <c r="Z87" s="319"/>
      <c r="AA87" s="319"/>
      <c r="AB87" s="319"/>
      <c r="AC87" s="319"/>
      <c r="AD87" s="319"/>
      <c r="AE87" s="319"/>
      <c r="AF87" s="319"/>
      <c r="AG87" s="319"/>
      <c r="AH87" s="319"/>
      <c r="AI87" s="319"/>
      <c r="AJ87" s="319"/>
    </row>
    <row r="88" ht="15.75" customHeight="1">
      <c r="A88" s="217"/>
      <c r="B88" s="217"/>
      <c r="C88" s="217"/>
      <c r="F88" s="298"/>
      <c r="G88" s="298"/>
      <c r="Q88" s="319"/>
      <c r="R88" s="319"/>
      <c r="S88" s="319"/>
      <c r="T88" s="319"/>
      <c r="U88" s="319"/>
      <c r="V88" s="319"/>
      <c r="W88" s="319"/>
      <c r="X88" s="319"/>
      <c r="Y88" s="319"/>
      <c r="Z88" s="319"/>
      <c r="AA88" s="319"/>
      <c r="AB88" s="319"/>
      <c r="AC88" s="319"/>
      <c r="AD88" s="319"/>
      <c r="AE88" s="319"/>
      <c r="AF88" s="319"/>
      <c r="AG88" s="319"/>
      <c r="AH88" s="319"/>
      <c r="AI88" s="319"/>
      <c r="AJ88" s="319"/>
    </row>
    <row r="89" ht="15.75" customHeight="1">
      <c r="A89" s="217"/>
      <c r="B89" s="217"/>
      <c r="C89" s="217"/>
      <c r="F89" s="298"/>
      <c r="G89" s="298"/>
      <c r="Q89" s="319"/>
      <c r="R89" s="319"/>
      <c r="S89" s="319"/>
      <c r="T89" s="319"/>
      <c r="U89" s="319"/>
      <c r="V89" s="319"/>
      <c r="W89" s="319"/>
      <c r="X89" s="319"/>
      <c r="Y89" s="319"/>
      <c r="Z89" s="319"/>
      <c r="AA89" s="319"/>
      <c r="AB89" s="319"/>
      <c r="AC89" s="319"/>
      <c r="AD89" s="319"/>
      <c r="AE89" s="319"/>
      <c r="AF89" s="319"/>
      <c r="AG89" s="319"/>
      <c r="AH89" s="319"/>
      <c r="AI89" s="319"/>
      <c r="AJ89" s="319"/>
    </row>
    <row r="90" ht="15.75" customHeight="1">
      <c r="A90" s="217"/>
      <c r="B90" s="217"/>
      <c r="C90" s="217"/>
      <c r="F90" s="298"/>
      <c r="G90" s="298"/>
      <c r="Q90" s="319"/>
      <c r="R90" s="319"/>
      <c r="S90" s="319"/>
      <c r="T90" s="319"/>
      <c r="U90" s="319"/>
      <c r="V90" s="319"/>
      <c r="W90" s="319"/>
      <c r="X90" s="319"/>
      <c r="Y90" s="319"/>
      <c r="Z90" s="319"/>
      <c r="AA90" s="319"/>
      <c r="AB90" s="319"/>
      <c r="AC90" s="319"/>
      <c r="AD90" s="319"/>
      <c r="AE90" s="319"/>
      <c r="AF90" s="319"/>
      <c r="AG90" s="319"/>
      <c r="AH90" s="319"/>
      <c r="AI90" s="319"/>
      <c r="AJ90" s="319"/>
    </row>
    <row r="91" ht="15.75" customHeight="1">
      <c r="A91" s="217"/>
      <c r="B91" s="217"/>
      <c r="C91" s="217"/>
      <c r="F91" s="298"/>
      <c r="G91" s="298"/>
      <c r="Q91" s="319"/>
      <c r="R91" s="319"/>
      <c r="S91" s="319"/>
      <c r="T91" s="319"/>
      <c r="U91" s="319"/>
      <c r="V91" s="319"/>
      <c r="W91" s="319"/>
      <c r="X91" s="319"/>
      <c r="Y91" s="319"/>
      <c r="Z91" s="319"/>
      <c r="AA91" s="319"/>
      <c r="AB91" s="319"/>
      <c r="AC91" s="319"/>
      <c r="AD91" s="319"/>
      <c r="AE91" s="319"/>
      <c r="AF91" s="319"/>
      <c r="AG91" s="319"/>
      <c r="AH91" s="319"/>
      <c r="AI91" s="319"/>
      <c r="AJ91" s="319"/>
    </row>
    <row r="92" ht="15.75" customHeight="1">
      <c r="A92" s="217"/>
      <c r="B92" s="217"/>
      <c r="C92" s="217"/>
      <c r="F92" s="298"/>
      <c r="G92" s="298"/>
      <c r="Q92" s="319"/>
      <c r="R92" s="319"/>
      <c r="S92" s="319"/>
      <c r="T92" s="319"/>
      <c r="U92" s="319"/>
      <c r="V92" s="319"/>
      <c r="W92" s="319"/>
      <c r="X92" s="319"/>
      <c r="Y92" s="319"/>
      <c r="Z92" s="319"/>
      <c r="AA92" s="319"/>
      <c r="AB92" s="319"/>
      <c r="AC92" s="319"/>
      <c r="AD92" s="319"/>
      <c r="AE92" s="319"/>
      <c r="AF92" s="319"/>
      <c r="AG92" s="319"/>
      <c r="AH92" s="319"/>
      <c r="AI92" s="319"/>
      <c r="AJ92" s="319"/>
    </row>
    <row r="93" ht="15.75" customHeight="1">
      <c r="A93" s="217"/>
      <c r="B93" s="217"/>
      <c r="C93" s="217"/>
      <c r="F93" s="298"/>
      <c r="G93" s="298"/>
      <c r="Q93" s="319"/>
      <c r="R93" s="319"/>
      <c r="S93" s="319"/>
      <c r="T93" s="319"/>
      <c r="U93" s="319"/>
      <c r="V93" s="319"/>
      <c r="W93" s="319"/>
      <c r="X93" s="319"/>
      <c r="Y93" s="319"/>
      <c r="Z93" s="319"/>
      <c r="AA93" s="319"/>
      <c r="AB93" s="319"/>
      <c r="AC93" s="319"/>
      <c r="AD93" s="319"/>
      <c r="AE93" s="319"/>
      <c r="AF93" s="319"/>
      <c r="AG93" s="319"/>
      <c r="AH93" s="319"/>
      <c r="AI93" s="319"/>
      <c r="AJ93" s="319"/>
    </row>
    <row r="94" ht="15.75" customHeight="1">
      <c r="A94" s="217"/>
      <c r="B94" s="217"/>
      <c r="C94" s="217"/>
      <c r="F94" s="298"/>
      <c r="G94" s="298"/>
      <c r="Q94" s="319"/>
      <c r="R94" s="319"/>
      <c r="S94" s="319"/>
      <c r="T94" s="319"/>
      <c r="U94" s="319"/>
      <c r="V94" s="319"/>
      <c r="W94" s="319"/>
      <c r="X94" s="319"/>
      <c r="Y94" s="319"/>
      <c r="Z94" s="319"/>
      <c r="AA94" s="319"/>
      <c r="AB94" s="319"/>
      <c r="AC94" s="319"/>
      <c r="AD94" s="319"/>
      <c r="AE94" s="319"/>
      <c r="AF94" s="319"/>
      <c r="AG94" s="319"/>
      <c r="AH94" s="319"/>
      <c r="AI94" s="319"/>
      <c r="AJ94" s="319"/>
    </row>
    <row r="95" ht="15.75" customHeight="1">
      <c r="A95" s="217"/>
      <c r="B95" s="217"/>
      <c r="C95" s="217"/>
      <c r="F95" s="298"/>
      <c r="G95" s="298"/>
      <c r="Q95" s="319"/>
      <c r="R95" s="319"/>
      <c r="S95" s="319"/>
      <c r="T95" s="319"/>
      <c r="U95" s="319"/>
      <c r="V95" s="319"/>
      <c r="W95" s="319"/>
      <c r="X95" s="319"/>
      <c r="Y95" s="319"/>
      <c r="Z95" s="319"/>
      <c r="AA95" s="319"/>
      <c r="AB95" s="319"/>
      <c r="AC95" s="319"/>
      <c r="AD95" s="319"/>
      <c r="AE95" s="319"/>
      <c r="AF95" s="319"/>
      <c r="AG95" s="319"/>
      <c r="AH95" s="319"/>
      <c r="AI95" s="319"/>
      <c r="AJ95" s="319"/>
    </row>
    <row r="96" ht="15.75" customHeight="1">
      <c r="A96" s="217"/>
      <c r="B96" s="217"/>
      <c r="C96" s="217"/>
      <c r="F96" s="298"/>
      <c r="G96" s="298"/>
      <c r="Q96" s="319"/>
      <c r="R96" s="319"/>
      <c r="S96" s="319"/>
      <c r="T96" s="319"/>
      <c r="U96" s="319"/>
      <c r="V96" s="319"/>
      <c r="W96" s="319"/>
      <c r="X96" s="319"/>
      <c r="Y96" s="319"/>
      <c r="Z96" s="319"/>
      <c r="AA96" s="319"/>
      <c r="AB96" s="319"/>
      <c r="AC96" s="319"/>
      <c r="AD96" s="319"/>
      <c r="AE96" s="319"/>
      <c r="AF96" s="319"/>
      <c r="AG96" s="319"/>
      <c r="AH96" s="319"/>
      <c r="AI96" s="319"/>
      <c r="AJ96" s="319"/>
    </row>
    <row r="97" ht="15.75" customHeight="1">
      <c r="A97" s="217"/>
      <c r="B97" s="217"/>
      <c r="C97" s="217"/>
      <c r="F97" s="298"/>
      <c r="G97" s="298"/>
      <c r="Q97" s="319"/>
      <c r="R97" s="319"/>
      <c r="S97" s="319"/>
      <c r="T97" s="319"/>
      <c r="U97" s="319"/>
      <c r="V97" s="319"/>
      <c r="W97" s="319"/>
      <c r="X97" s="319"/>
      <c r="Y97" s="319"/>
      <c r="Z97" s="319"/>
      <c r="AA97" s="319"/>
      <c r="AB97" s="319"/>
      <c r="AC97" s="319"/>
      <c r="AD97" s="319"/>
      <c r="AE97" s="319"/>
      <c r="AF97" s="319"/>
      <c r="AG97" s="319"/>
      <c r="AH97" s="319"/>
      <c r="AI97" s="319"/>
      <c r="AJ97" s="319"/>
    </row>
    <row r="98" ht="15.75" customHeight="1">
      <c r="A98" s="217"/>
      <c r="B98" s="217"/>
      <c r="C98" s="217"/>
      <c r="F98" s="298"/>
      <c r="G98" s="298"/>
      <c r="Q98" s="319"/>
      <c r="R98" s="319"/>
      <c r="S98" s="319"/>
      <c r="T98" s="319"/>
      <c r="U98" s="319"/>
      <c r="V98" s="319"/>
      <c r="W98" s="319"/>
      <c r="X98" s="319"/>
      <c r="Y98" s="319"/>
      <c r="Z98" s="319"/>
      <c r="AA98" s="319"/>
      <c r="AB98" s="319"/>
      <c r="AC98" s="319"/>
      <c r="AD98" s="319"/>
      <c r="AE98" s="319"/>
      <c r="AF98" s="319"/>
      <c r="AG98" s="319"/>
      <c r="AH98" s="319"/>
      <c r="AI98" s="319"/>
      <c r="AJ98" s="319"/>
    </row>
    <row r="99" ht="15.75" customHeight="1">
      <c r="A99" s="217"/>
      <c r="B99" s="217"/>
      <c r="C99" s="217"/>
      <c r="F99" s="298"/>
      <c r="G99" s="298"/>
      <c r="Q99" s="319"/>
      <c r="R99" s="319"/>
      <c r="S99" s="319"/>
      <c r="T99" s="319"/>
      <c r="U99" s="319"/>
      <c r="V99" s="319"/>
      <c r="W99" s="319"/>
      <c r="X99" s="319"/>
      <c r="Y99" s="319"/>
      <c r="Z99" s="319"/>
      <c r="AA99" s="319"/>
      <c r="AB99" s="319"/>
      <c r="AC99" s="319"/>
      <c r="AD99" s="319"/>
      <c r="AE99" s="319"/>
      <c r="AF99" s="319"/>
      <c r="AG99" s="319"/>
      <c r="AH99" s="319"/>
      <c r="AI99" s="319"/>
      <c r="AJ99" s="319"/>
    </row>
    <row r="100" ht="15.75" customHeight="1">
      <c r="A100" s="217"/>
      <c r="B100" s="217"/>
      <c r="C100" s="217"/>
      <c r="F100" s="298"/>
      <c r="G100" s="298"/>
      <c r="Q100" s="319"/>
      <c r="R100" s="319"/>
      <c r="S100" s="319"/>
      <c r="T100" s="319"/>
      <c r="U100" s="319"/>
      <c r="V100" s="319"/>
      <c r="W100" s="319"/>
      <c r="X100" s="319"/>
      <c r="Y100" s="319"/>
      <c r="Z100" s="319"/>
      <c r="AA100" s="319"/>
      <c r="AB100" s="319"/>
      <c r="AC100" s="319"/>
      <c r="AD100" s="319"/>
      <c r="AE100" s="319"/>
      <c r="AF100" s="319"/>
      <c r="AG100" s="319"/>
      <c r="AH100" s="319"/>
      <c r="AI100" s="319"/>
      <c r="AJ100" s="319"/>
    </row>
    <row r="101" ht="15.75" customHeight="1">
      <c r="A101" s="217"/>
      <c r="B101" s="217"/>
      <c r="C101" s="217"/>
      <c r="F101" s="298"/>
      <c r="G101" s="298"/>
      <c r="Q101" s="319"/>
      <c r="R101" s="319"/>
      <c r="S101" s="319"/>
      <c r="T101" s="319"/>
      <c r="U101" s="319"/>
      <c r="V101" s="319"/>
      <c r="W101" s="319"/>
      <c r="X101" s="319"/>
      <c r="Y101" s="319"/>
      <c r="Z101" s="319"/>
      <c r="AA101" s="319"/>
      <c r="AB101" s="319"/>
      <c r="AC101" s="319"/>
      <c r="AD101" s="319"/>
      <c r="AE101" s="319"/>
      <c r="AF101" s="319"/>
      <c r="AG101" s="319"/>
      <c r="AH101" s="319"/>
      <c r="AI101" s="319"/>
      <c r="AJ101" s="319"/>
    </row>
    <row r="102" ht="15.75" customHeight="1">
      <c r="A102" s="217"/>
      <c r="B102" s="217"/>
      <c r="C102" s="217"/>
      <c r="F102" s="298"/>
      <c r="G102" s="298"/>
      <c r="Q102" s="319"/>
      <c r="R102" s="319"/>
      <c r="S102" s="319"/>
      <c r="T102" s="319"/>
      <c r="U102" s="319"/>
      <c r="V102" s="319"/>
      <c r="W102" s="319"/>
      <c r="X102" s="319"/>
      <c r="Y102" s="319"/>
      <c r="Z102" s="319"/>
      <c r="AA102" s="319"/>
      <c r="AB102" s="319"/>
      <c r="AC102" s="319"/>
      <c r="AD102" s="319"/>
      <c r="AE102" s="319"/>
      <c r="AF102" s="319"/>
      <c r="AG102" s="319"/>
      <c r="AH102" s="319"/>
      <c r="AI102" s="319"/>
      <c r="AJ102" s="319"/>
    </row>
    <row r="103" ht="15.75" customHeight="1">
      <c r="A103" s="217"/>
      <c r="B103" s="217"/>
      <c r="C103" s="217"/>
      <c r="F103" s="298"/>
      <c r="G103" s="298"/>
      <c r="Q103" s="319"/>
      <c r="R103" s="319"/>
      <c r="S103" s="319"/>
      <c r="T103" s="319"/>
      <c r="U103" s="319"/>
      <c r="V103" s="319"/>
      <c r="W103" s="319"/>
      <c r="X103" s="319"/>
      <c r="Y103" s="319"/>
      <c r="Z103" s="319"/>
      <c r="AA103" s="319"/>
      <c r="AB103" s="319"/>
      <c r="AC103" s="319"/>
      <c r="AD103" s="319"/>
      <c r="AE103" s="319"/>
      <c r="AF103" s="319"/>
      <c r="AG103" s="319"/>
      <c r="AH103" s="319"/>
      <c r="AI103" s="319"/>
      <c r="AJ103" s="319"/>
    </row>
    <row r="104" ht="15.75" customHeight="1">
      <c r="A104" s="217"/>
      <c r="B104" s="217"/>
      <c r="C104" s="217"/>
      <c r="F104" s="298"/>
      <c r="G104" s="298"/>
      <c r="Q104" s="319"/>
      <c r="R104" s="319"/>
      <c r="S104" s="319"/>
      <c r="T104" s="319"/>
      <c r="U104" s="319"/>
      <c r="V104" s="319"/>
      <c r="W104" s="319"/>
      <c r="X104" s="319"/>
      <c r="Y104" s="319"/>
      <c r="Z104" s="319"/>
      <c r="AA104" s="319"/>
      <c r="AB104" s="319"/>
      <c r="AC104" s="319"/>
      <c r="AD104" s="319"/>
      <c r="AE104" s="319"/>
      <c r="AF104" s="319"/>
      <c r="AG104" s="319"/>
      <c r="AH104" s="319"/>
      <c r="AI104" s="319"/>
      <c r="AJ104" s="319"/>
    </row>
    <row r="105" ht="15.75" customHeight="1">
      <c r="A105" s="217"/>
      <c r="B105" s="217"/>
      <c r="C105" s="217"/>
      <c r="F105" s="298"/>
      <c r="G105" s="298"/>
      <c r="Q105" s="319"/>
      <c r="R105" s="319"/>
      <c r="S105" s="319"/>
      <c r="T105" s="319"/>
      <c r="U105" s="319"/>
      <c r="V105" s="319"/>
      <c r="W105" s="319"/>
      <c r="X105" s="319"/>
      <c r="Y105" s="319"/>
      <c r="Z105" s="319"/>
      <c r="AA105" s="319"/>
      <c r="AB105" s="319"/>
      <c r="AC105" s="319"/>
      <c r="AD105" s="319"/>
      <c r="AE105" s="319"/>
      <c r="AF105" s="319"/>
      <c r="AG105" s="319"/>
      <c r="AH105" s="319"/>
      <c r="AI105" s="319"/>
      <c r="AJ105" s="319"/>
    </row>
    <row r="106" ht="15.75" customHeight="1">
      <c r="A106" s="217"/>
      <c r="B106" s="217"/>
      <c r="C106" s="217"/>
      <c r="F106" s="298"/>
      <c r="G106" s="298"/>
      <c r="Q106" s="319"/>
      <c r="R106" s="319"/>
      <c r="S106" s="319"/>
      <c r="T106" s="319"/>
      <c r="U106" s="319"/>
      <c r="V106" s="319"/>
      <c r="W106" s="319"/>
      <c r="X106" s="319"/>
      <c r="Y106" s="319"/>
      <c r="Z106" s="319"/>
      <c r="AA106" s="319"/>
      <c r="AB106" s="319"/>
      <c r="AC106" s="319"/>
      <c r="AD106" s="319"/>
      <c r="AE106" s="319"/>
      <c r="AF106" s="319"/>
      <c r="AG106" s="319"/>
      <c r="AH106" s="319"/>
      <c r="AI106" s="319"/>
      <c r="AJ106" s="319"/>
    </row>
    <row r="107" ht="15.75" customHeight="1">
      <c r="A107" s="217"/>
      <c r="B107" s="217"/>
      <c r="C107" s="217"/>
      <c r="F107" s="298"/>
      <c r="G107" s="298"/>
      <c r="Q107" s="319"/>
      <c r="R107" s="319"/>
      <c r="S107" s="319"/>
      <c r="T107" s="319"/>
      <c r="U107" s="319"/>
      <c r="V107" s="319"/>
      <c r="W107" s="319"/>
      <c r="X107" s="319"/>
      <c r="Y107" s="319"/>
      <c r="Z107" s="319"/>
      <c r="AA107" s="319"/>
      <c r="AB107" s="319"/>
      <c r="AC107" s="319"/>
      <c r="AD107" s="319"/>
      <c r="AE107" s="319"/>
      <c r="AF107" s="319"/>
      <c r="AG107" s="319"/>
      <c r="AH107" s="319"/>
      <c r="AI107" s="319"/>
      <c r="AJ107" s="319"/>
    </row>
    <row r="108" ht="15.75" customHeight="1">
      <c r="A108" s="217"/>
      <c r="B108" s="217"/>
      <c r="C108" s="217"/>
      <c r="F108" s="298"/>
      <c r="G108" s="298"/>
      <c r="Q108" s="319"/>
      <c r="R108" s="319"/>
      <c r="S108" s="319"/>
      <c r="T108" s="319"/>
      <c r="U108" s="319"/>
      <c r="V108" s="319"/>
      <c r="W108" s="319"/>
      <c r="X108" s="319"/>
      <c r="Y108" s="319"/>
      <c r="Z108" s="319"/>
      <c r="AA108" s="319"/>
      <c r="AB108" s="319"/>
      <c r="AC108" s="319"/>
      <c r="AD108" s="319"/>
      <c r="AE108" s="319"/>
      <c r="AF108" s="319"/>
      <c r="AG108" s="319"/>
      <c r="AH108" s="319"/>
      <c r="AI108" s="319"/>
      <c r="AJ108" s="319"/>
    </row>
    <row r="109" ht="15.75" customHeight="1">
      <c r="A109" s="217"/>
      <c r="B109" s="217"/>
      <c r="C109" s="217"/>
      <c r="F109" s="298"/>
      <c r="G109" s="298"/>
      <c r="Q109" s="319"/>
      <c r="R109" s="319"/>
      <c r="S109" s="319"/>
      <c r="T109" s="319"/>
      <c r="U109" s="319"/>
      <c r="V109" s="319"/>
      <c r="W109" s="319"/>
      <c r="X109" s="319"/>
      <c r="Y109" s="319"/>
      <c r="Z109" s="319"/>
      <c r="AA109" s="319"/>
      <c r="AB109" s="319"/>
      <c r="AC109" s="319"/>
      <c r="AD109" s="319"/>
      <c r="AE109" s="319"/>
      <c r="AF109" s="319"/>
      <c r="AG109" s="319"/>
      <c r="AH109" s="319"/>
      <c r="AI109" s="319"/>
      <c r="AJ109" s="319"/>
    </row>
    <row r="110" ht="15.75" customHeight="1">
      <c r="A110" s="217"/>
      <c r="B110" s="217"/>
      <c r="C110" s="217"/>
      <c r="F110" s="298"/>
      <c r="G110" s="298"/>
      <c r="Q110" s="319"/>
      <c r="R110" s="319"/>
      <c r="S110" s="319"/>
      <c r="T110" s="319"/>
      <c r="U110" s="319"/>
      <c r="V110" s="319"/>
      <c r="W110" s="319"/>
      <c r="X110" s="319"/>
      <c r="Y110" s="319"/>
      <c r="Z110" s="319"/>
      <c r="AA110" s="319"/>
      <c r="AB110" s="319"/>
      <c r="AC110" s="319"/>
      <c r="AD110" s="319"/>
      <c r="AE110" s="319"/>
      <c r="AF110" s="319"/>
      <c r="AG110" s="319"/>
      <c r="AH110" s="319"/>
      <c r="AI110" s="319"/>
      <c r="AJ110" s="319"/>
    </row>
    <row r="111" ht="15.75" customHeight="1">
      <c r="A111" s="217"/>
      <c r="B111" s="217"/>
      <c r="C111" s="217"/>
      <c r="F111" s="298"/>
      <c r="G111" s="298"/>
      <c r="Q111" s="319"/>
      <c r="R111" s="319"/>
      <c r="S111" s="319"/>
      <c r="T111" s="319"/>
      <c r="U111" s="319"/>
      <c r="V111" s="319"/>
      <c r="W111" s="319"/>
      <c r="X111" s="319"/>
      <c r="Y111" s="319"/>
      <c r="Z111" s="319"/>
      <c r="AA111" s="319"/>
      <c r="AB111" s="319"/>
      <c r="AC111" s="319"/>
      <c r="AD111" s="319"/>
      <c r="AE111" s="319"/>
      <c r="AF111" s="319"/>
      <c r="AG111" s="319"/>
      <c r="AH111" s="319"/>
      <c r="AI111" s="319"/>
      <c r="AJ111" s="319"/>
    </row>
    <row r="112" ht="15.75" customHeight="1">
      <c r="A112" s="217"/>
      <c r="B112" s="217"/>
      <c r="C112" s="217"/>
      <c r="F112" s="298"/>
      <c r="G112" s="298"/>
      <c r="Q112" s="319"/>
      <c r="R112" s="319"/>
      <c r="S112" s="319"/>
      <c r="T112" s="319"/>
      <c r="U112" s="319"/>
      <c r="V112" s="319"/>
      <c r="W112" s="319"/>
      <c r="X112" s="319"/>
      <c r="Y112" s="319"/>
      <c r="Z112" s="319"/>
      <c r="AA112" s="319"/>
      <c r="AB112" s="319"/>
      <c r="AC112" s="319"/>
      <c r="AD112" s="319"/>
      <c r="AE112" s="319"/>
      <c r="AF112" s="319"/>
      <c r="AG112" s="319"/>
      <c r="AH112" s="319"/>
      <c r="AI112" s="319"/>
      <c r="AJ112" s="319"/>
    </row>
    <row r="113" ht="15.75" customHeight="1">
      <c r="A113" s="217"/>
      <c r="B113" s="217"/>
      <c r="C113" s="217"/>
      <c r="F113" s="298"/>
      <c r="G113" s="298"/>
      <c r="Q113" s="319"/>
      <c r="R113" s="319"/>
      <c r="S113" s="319"/>
      <c r="T113" s="319"/>
      <c r="U113" s="319"/>
      <c r="V113" s="319"/>
      <c r="W113" s="319"/>
      <c r="X113" s="319"/>
      <c r="Y113" s="319"/>
      <c r="Z113" s="319"/>
      <c r="AA113" s="319"/>
      <c r="AB113" s="319"/>
      <c r="AC113" s="319"/>
      <c r="AD113" s="319"/>
      <c r="AE113" s="319"/>
      <c r="AF113" s="319"/>
      <c r="AG113" s="319"/>
      <c r="AH113" s="319"/>
      <c r="AI113" s="319"/>
      <c r="AJ113" s="319"/>
    </row>
    <row r="114" ht="15.75" customHeight="1">
      <c r="A114" s="217"/>
      <c r="B114" s="217"/>
      <c r="C114" s="217"/>
      <c r="F114" s="298"/>
      <c r="G114" s="298"/>
      <c r="Q114" s="319"/>
      <c r="R114" s="319"/>
      <c r="S114" s="319"/>
      <c r="T114" s="319"/>
      <c r="U114" s="319"/>
      <c r="V114" s="319"/>
      <c r="W114" s="319"/>
      <c r="X114" s="319"/>
      <c r="Y114" s="319"/>
      <c r="Z114" s="319"/>
      <c r="AA114" s="319"/>
      <c r="AB114" s="319"/>
      <c r="AC114" s="319"/>
      <c r="AD114" s="319"/>
      <c r="AE114" s="319"/>
      <c r="AF114" s="319"/>
      <c r="AG114" s="319"/>
      <c r="AH114" s="319"/>
      <c r="AI114" s="319"/>
      <c r="AJ114" s="319"/>
    </row>
    <row r="115" ht="15.75" customHeight="1">
      <c r="A115" s="217"/>
      <c r="B115" s="217"/>
      <c r="C115" s="217"/>
      <c r="F115" s="298"/>
      <c r="G115" s="298"/>
      <c r="Q115" s="319"/>
      <c r="R115" s="319"/>
      <c r="S115" s="319"/>
      <c r="T115" s="319"/>
      <c r="U115" s="319"/>
      <c r="V115" s="319"/>
      <c r="W115" s="319"/>
      <c r="X115" s="319"/>
      <c r="Y115" s="319"/>
      <c r="Z115" s="319"/>
      <c r="AA115" s="319"/>
      <c r="AB115" s="319"/>
      <c r="AC115" s="319"/>
      <c r="AD115" s="319"/>
      <c r="AE115" s="319"/>
      <c r="AF115" s="319"/>
      <c r="AG115" s="319"/>
      <c r="AH115" s="319"/>
      <c r="AI115" s="319"/>
      <c r="AJ115" s="319"/>
    </row>
    <row r="116" ht="15.75" customHeight="1">
      <c r="A116" s="217"/>
      <c r="B116" s="217"/>
      <c r="C116" s="217"/>
      <c r="F116" s="298"/>
      <c r="G116" s="298"/>
      <c r="Q116" s="319"/>
      <c r="R116" s="319"/>
      <c r="S116" s="319"/>
      <c r="T116" s="319"/>
      <c r="U116" s="319"/>
      <c r="V116" s="319"/>
      <c r="W116" s="319"/>
      <c r="X116" s="319"/>
      <c r="Y116" s="319"/>
      <c r="Z116" s="319"/>
      <c r="AA116" s="319"/>
      <c r="AB116" s="319"/>
      <c r="AC116" s="319"/>
      <c r="AD116" s="319"/>
      <c r="AE116" s="319"/>
      <c r="AF116" s="319"/>
      <c r="AG116" s="319"/>
      <c r="AH116" s="319"/>
      <c r="AI116" s="319"/>
      <c r="AJ116" s="319"/>
    </row>
    <row r="117" ht="15.75" customHeight="1">
      <c r="A117" s="217"/>
      <c r="B117" s="217"/>
      <c r="C117" s="217"/>
      <c r="F117" s="298"/>
      <c r="G117" s="298"/>
      <c r="Q117" s="319"/>
      <c r="R117" s="319"/>
      <c r="S117" s="319"/>
      <c r="T117" s="319"/>
      <c r="U117" s="319"/>
      <c r="V117" s="319"/>
      <c r="W117" s="319"/>
      <c r="X117" s="319"/>
      <c r="Y117" s="319"/>
      <c r="Z117" s="319"/>
      <c r="AA117" s="319"/>
      <c r="AB117" s="319"/>
      <c r="AC117" s="319"/>
      <c r="AD117" s="319"/>
      <c r="AE117" s="319"/>
      <c r="AF117" s="319"/>
      <c r="AG117" s="319"/>
      <c r="AH117" s="319"/>
      <c r="AI117" s="319"/>
      <c r="AJ117" s="319"/>
    </row>
    <row r="118" ht="15.75" customHeight="1">
      <c r="A118" s="217"/>
      <c r="B118" s="217"/>
      <c r="C118" s="217"/>
      <c r="F118" s="298"/>
      <c r="G118" s="298"/>
      <c r="Q118" s="319"/>
      <c r="R118" s="319"/>
      <c r="S118" s="319"/>
      <c r="T118" s="319"/>
      <c r="U118" s="319"/>
      <c r="V118" s="319"/>
      <c r="W118" s="319"/>
      <c r="X118" s="319"/>
      <c r="Y118" s="319"/>
      <c r="Z118" s="319"/>
      <c r="AA118" s="319"/>
      <c r="AB118" s="319"/>
      <c r="AC118" s="319"/>
      <c r="AD118" s="319"/>
      <c r="AE118" s="319"/>
      <c r="AF118" s="319"/>
      <c r="AG118" s="319"/>
      <c r="AH118" s="319"/>
      <c r="AI118" s="319"/>
      <c r="AJ118" s="319"/>
    </row>
    <row r="119" ht="15.75" customHeight="1">
      <c r="A119" s="217"/>
      <c r="B119" s="217"/>
      <c r="C119" s="217"/>
      <c r="F119" s="298"/>
      <c r="G119" s="298"/>
      <c r="Q119" s="319"/>
      <c r="R119" s="319"/>
      <c r="S119" s="319"/>
      <c r="T119" s="319"/>
      <c r="U119" s="319"/>
      <c r="V119" s="319"/>
      <c r="W119" s="319"/>
      <c r="X119" s="319"/>
      <c r="Y119" s="319"/>
      <c r="Z119" s="319"/>
      <c r="AA119" s="319"/>
      <c r="AB119" s="319"/>
      <c r="AC119" s="319"/>
      <c r="AD119" s="319"/>
      <c r="AE119" s="319"/>
      <c r="AF119" s="319"/>
      <c r="AG119" s="319"/>
      <c r="AH119" s="319"/>
      <c r="AI119" s="319"/>
      <c r="AJ119" s="319"/>
    </row>
    <row r="120" ht="15.75" customHeight="1">
      <c r="A120" s="217"/>
      <c r="B120" s="217"/>
      <c r="C120" s="217"/>
      <c r="F120" s="298"/>
      <c r="G120" s="298"/>
      <c r="Q120" s="319"/>
      <c r="R120" s="319"/>
      <c r="S120" s="319"/>
      <c r="T120" s="319"/>
      <c r="U120" s="319"/>
      <c r="V120" s="319"/>
      <c r="W120" s="319"/>
      <c r="X120" s="319"/>
      <c r="Y120" s="319"/>
      <c r="Z120" s="319"/>
      <c r="AA120" s="319"/>
      <c r="AB120" s="319"/>
      <c r="AC120" s="319"/>
      <c r="AD120" s="319"/>
      <c r="AE120" s="319"/>
      <c r="AF120" s="319"/>
      <c r="AG120" s="319"/>
      <c r="AH120" s="319"/>
      <c r="AI120" s="319"/>
      <c r="AJ120" s="319"/>
    </row>
    <row r="121" ht="15.75" customHeight="1">
      <c r="A121" s="217"/>
      <c r="B121" s="217"/>
      <c r="C121" s="217"/>
      <c r="F121" s="298"/>
      <c r="G121" s="298"/>
      <c r="Q121" s="319"/>
      <c r="R121" s="319"/>
      <c r="S121" s="319"/>
      <c r="T121" s="319"/>
      <c r="U121" s="319"/>
      <c r="V121" s="319"/>
      <c r="W121" s="319"/>
      <c r="X121" s="319"/>
      <c r="Y121" s="319"/>
      <c r="Z121" s="319"/>
      <c r="AA121" s="319"/>
      <c r="AB121" s="319"/>
      <c r="AC121" s="319"/>
      <c r="AD121" s="319"/>
      <c r="AE121" s="319"/>
      <c r="AF121" s="319"/>
      <c r="AG121" s="319"/>
      <c r="AH121" s="319"/>
      <c r="AI121" s="319"/>
      <c r="AJ121" s="319"/>
    </row>
    <row r="122" ht="15.75" customHeight="1">
      <c r="A122" s="217"/>
      <c r="B122" s="217"/>
      <c r="C122" s="217"/>
      <c r="F122" s="298"/>
      <c r="G122" s="298"/>
      <c r="Q122" s="319"/>
      <c r="R122" s="319"/>
      <c r="S122" s="319"/>
      <c r="T122" s="319"/>
      <c r="U122" s="319"/>
      <c r="V122" s="319"/>
      <c r="W122" s="319"/>
      <c r="X122" s="319"/>
      <c r="Y122" s="319"/>
      <c r="Z122" s="319"/>
      <c r="AA122" s="319"/>
      <c r="AB122" s="319"/>
      <c r="AC122" s="319"/>
      <c r="AD122" s="319"/>
      <c r="AE122" s="319"/>
      <c r="AF122" s="319"/>
      <c r="AG122" s="319"/>
      <c r="AH122" s="319"/>
      <c r="AI122" s="319"/>
      <c r="AJ122" s="319"/>
    </row>
    <row r="123" ht="15.75" customHeight="1">
      <c r="A123" s="217"/>
      <c r="B123" s="217"/>
      <c r="C123" s="217"/>
      <c r="F123" s="298"/>
      <c r="G123" s="298"/>
      <c r="Q123" s="319"/>
      <c r="R123" s="319"/>
      <c r="S123" s="319"/>
      <c r="T123" s="319"/>
      <c r="U123" s="319"/>
      <c r="V123" s="319"/>
      <c r="W123" s="319"/>
      <c r="X123" s="319"/>
      <c r="Y123" s="319"/>
      <c r="Z123" s="319"/>
      <c r="AA123" s="319"/>
      <c r="AB123" s="319"/>
      <c r="AC123" s="319"/>
      <c r="AD123" s="319"/>
      <c r="AE123" s="319"/>
      <c r="AF123" s="319"/>
      <c r="AG123" s="319"/>
      <c r="AH123" s="319"/>
      <c r="AI123" s="319"/>
      <c r="AJ123" s="319"/>
    </row>
    <row r="124" ht="15.75" customHeight="1">
      <c r="A124" s="217"/>
      <c r="B124" s="217"/>
      <c r="C124" s="217"/>
      <c r="F124" s="298"/>
      <c r="G124" s="298"/>
      <c r="Q124" s="319"/>
      <c r="R124" s="319"/>
      <c r="S124" s="319"/>
      <c r="T124" s="319"/>
      <c r="U124" s="319"/>
      <c r="V124" s="319"/>
      <c r="W124" s="319"/>
      <c r="X124" s="319"/>
      <c r="Y124" s="319"/>
      <c r="Z124" s="319"/>
      <c r="AA124" s="319"/>
      <c r="AB124" s="319"/>
      <c r="AC124" s="319"/>
      <c r="AD124" s="319"/>
      <c r="AE124" s="319"/>
      <c r="AF124" s="319"/>
      <c r="AG124" s="319"/>
      <c r="AH124" s="319"/>
      <c r="AI124" s="319"/>
      <c r="AJ124" s="319"/>
    </row>
    <row r="125" ht="15.75" customHeight="1">
      <c r="A125" s="217"/>
      <c r="B125" s="217"/>
      <c r="C125" s="217"/>
      <c r="F125" s="298"/>
      <c r="G125" s="298"/>
      <c r="Q125" s="319"/>
      <c r="R125" s="319"/>
      <c r="S125" s="319"/>
      <c r="T125" s="319"/>
      <c r="U125" s="319"/>
      <c r="V125" s="319"/>
      <c r="W125" s="319"/>
      <c r="X125" s="319"/>
      <c r="Y125" s="319"/>
      <c r="Z125" s="319"/>
      <c r="AA125" s="319"/>
      <c r="AB125" s="319"/>
      <c r="AC125" s="319"/>
      <c r="AD125" s="319"/>
      <c r="AE125" s="319"/>
      <c r="AF125" s="319"/>
      <c r="AG125" s="319"/>
      <c r="AH125" s="319"/>
      <c r="AI125" s="319"/>
      <c r="AJ125" s="319"/>
    </row>
    <row r="126" ht="15.75" customHeight="1">
      <c r="A126" s="217"/>
      <c r="B126" s="217"/>
      <c r="C126" s="217"/>
      <c r="F126" s="298"/>
      <c r="G126" s="298"/>
      <c r="Q126" s="319"/>
      <c r="R126" s="319"/>
      <c r="S126" s="319"/>
      <c r="T126" s="319"/>
      <c r="U126" s="319"/>
      <c r="V126" s="319"/>
      <c r="W126" s="319"/>
      <c r="X126" s="319"/>
      <c r="Y126" s="319"/>
      <c r="Z126" s="319"/>
      <c r="AA126" s="319"/>
      <c r="AB126" s="319"/>
      <c r="AC126" s="319"/>
      <c r="AD126" s="319"/>
      <c r="AE126" s="319"/>
      <c r="AF126" s="319"/>
      <c r="AG126" s="319"/>
      <c r="AH126" s="319"/>
      <c r="AI126" s="319"/>
      <c r="AJ126" s="319"/>
    </row>
    <row r="127" ht="15.75" customHeight="1">
      <c r="A127" s="217"/>
      <c r="B127" s="217"/>
      <c r="C127" s="217"/>
      <c r="F127" s="298"/>
      <c r="G127" s="298"/>
      <c r="Q127" s="319"/>
      <c r="R127" s="319"/>
      <c r="S127" s="319"/>
      <c r="T127" s="319"/>
      <c r="U127" s="319"/>
      <c r="V127" s="319"/>
      <c r="W127" s="319"/>
      <c r="X127" s="319"/>
      <c r="Y127" s="319"/>
      <c r="Z127" s="319"/>
      <c r="AA127" s="319"/>
      <c r="AB127" s="319"/>
      <c r="AC127" s="319"/>
      <c r="AD127" s="319"/>
      <c r="AE127" s="319"/>
      <c r="AF127" s="319"/>
      <c r="AG127" s="319"/>
      <c r="AH127" s="319"/>
      <c r="AI127" s="319"/>
      <c r="AJ127" s="319"/>
    </row>
    <row r="128" ht="15.75" customHeight="1">
      <c r="A128" s="217"/>
      <c r="B128" s="217"/>
      <c r="C128" s="217"/>
      <c r="F128" s="298"/>
      <c r="G128" s="298"/>
      <c r="Q128" s="319"/>
      <c r="R128" s="319"/>
      <c r="S128" s="319"/>
      <c r="T128" s="319"/>
      <c r="U128" s="319"/>
      <c r="V128" s="319"/>
      <c r="W128" s="319"/>
      <c r="X128" s="319"/>
      <c r="Y128" s="319"/>
      <c r="Z128" s="319"/>
      <c r="AA128" s="319"/>
      <c r="AB128" s="319"/>
      <c r="AC128" s="319"/>
      <c r="AD128" s="319"/>
      <c r="AE128" s="319"/>
      <c r="AF128" s="319"/>
      <c r="AG128" s="319"/>
      <c r="AH128" s="319"/>
      <c r="AI128" s="319"/>
      <c r="AJ128" s="319"/>
    </row>
    <row r="129" ht="15.75" customHeight="1">
      <c r="A129" s="217"/>
      <c r="B129" s="217"/>
      <c r="C129" s="217"/>
      <c r="F129" s="298"/>
      <c r="G129" s="298"/>
      <c r="Q129" s="319"/>
      <c r="R129" s="319"/>
      <c r="S129" s="319"/>
      <c r="T129" s="319"/>
      <c r="U129" s="319"/>
      <c r="V129" s="319"/>
      <c r="W129" s="319"/>
      <c r="X129" s="319"/>
      <c r="Y129" s="319"/>
      <c r="Z129" s="319"/>
      <c r="AA129" s="319"/>
      <c r="AB129" s="319"/>
      <c r="AC129" s="319"/>
      <c r="AD129" s="319"/>
      <c r="AE129" s="319"/>
      <c r="AF129" s="319"/>
      <c r="AG129" s="319"/>
      <c r="AH129" s="319"/>
      <c r="AI129" s="319"/>
      <c r="AJ129" s="319"/>
    </row>
    <row r="130" ht="15.75" customHeight="1">
      <c r="A130" s="217"/>
      <c r="B130" s="217"/>
      <c r="C130" s="217"/>
      <c r="F130" s="298"/>
      <c r="G130" s="298"/>
      <c r="Q130" s="319"/>
      <c r="R130" s="319"/>
      <c r="S130" s="319"/>
      <c r="T130" s="319"/>
      <c r="U130" s="319"/>
      <c r="V130" s="319"/>
      <c r="W130" s="319"/>
      <c r="X130" s="319"/>
      <c r="Y130" s="319"/>
      <c r="Z130" s="319"/>
      <c r="AA130" s="319"/>
      <c r="AB130" s="319"/>
      <c r="AC130" s="319"/>
      <c r="AD130" s="319"/>
      <c r="AE130" s="319"/>
      <c r="AF130" s="319"/>
      <c r="AG130" s="319"/>
      <c r="AH130" s="319"/>
      <c r="AI130" s="319"/>
      <c r="AJ130" s="319"/>
    </row>
    <row r="131" ht="15.75" customHeight="1">
      <c r="A131" s="217"/>
      <c r="B131" s="217"/>
      <c r="C131" s="217"/>
      <c r="F131" s="298"/>
      <c r="G131" s="298"/>
      <c r="Q131" s="319"/>
      <c r="R131" s="319"/>
      <c r="S131" s="319"/>
      <c r="T131" s="319"/>
      <c r="U131" s="319"/>
      <c r="V131" s="319"/>
      <c r="W131" s="319"/>
      <c r="X131" s="319"/>
      <c r="Y131" s="319"/>
      <c r="Z131" s="319"/>
      <c r="AA131" s="319"/>
      <c r="AB131" s="319"/>
      <c r="AC131" s="319"/>
      <c r="AD131" s="319"/>
      <c r="AE131" s="319"/>
      <c r="AF131" s="319"/>
      <c r="AG131" s="319"/>
      <c r="AH131" s="319"/>
      <c r="AI131" s="319"/>
      <c r="AJ131" s="319"/>
    </row>
    <row r="132" ht="15.75" customHeight="1">
      <c r="A132" s="217"/>
      <c r="B132" s="217"/>
      <c r="C132" s="217"/>
      <c r="F132" s="298"/>
      <c r="G132" s="298"/>
      <c r="Q132" s="319"/>
      <c r="R132" s="319"/>
      <c r="S132" s="319"/>
      <c r="T132" s="319"/>
      <c r="U132" s="319"/>
      <c r="V132" s="319"/>
      <c r="W132" s="319"/>
      <c r="X132" s="319"/>
      <c r="Y132" s="319"/>
      <c r="Z132" s="319"/>
      <c r="AA132" s="319"/>
      <c r="AB132" s="319"/>
      <c r="AC132" s="319"/>
      <c r="AD132" s="319"/>
      <c r="AE132" s="319"/>
      <c r="AF132" s="319"/>
      <c r="AG132" s="319"/>
      <c r="AH132" s="319"/>
      <c r="AI132" s="319"/>
      <c r="AJ132" s="319"/>
    </row>
    <row r="133" ht="15.75" customHeight="1">
      <c r="A133" s="217"/>
      <c r="B133" s="217"/>
      <c r="C133" s="217"/>
      <c r="F133" s="298"/>
      <c r="G133" s="298"/>
      <c r="Q133" s="319"/>
      <c r="R133" s="319"/>
      <c r="S133" s="319"/>
      <c r="T133" s="319"/>
      <c r="U133" s="319"/>
      <c r="V133" s="319"/>
      <c r="W133" s="319"/>
      <c r="X133" s="319"/>
      <c r="Y133" s="319"/>
      <c r="Z133" s="319"/>
      <c r="AA133" s="319"/>
      <c r="AB133" s="319"/>
      <c r="AC133" s="319"/>
      <c r="AD133" s="319"/>
      <c r="AE133" s="319"/>
      <c r="AF133" s="319"/>
      <c r="AG133" s="319"/>
      <c r="AH133" s="319"/>
      <c r="AI133" s="319"/>
      <c r="AJ133" s="319"/>
    </row>
    <row r="134" ht="15.75" customHeight="1">
      <c r="A134" s="217"/>
      <c r="B134" s="217"/>
      <c r="C134" s="217"/>
      <c r="F134" s="298"/>
      <c r="G134" s="298"/>
      <c r="Q134" s="319"/>
      <c r="R134" s="319"/>
      <c r="S134" s="319"/>
      <c r="T134" s="319"/>
      <c r="U134" s="319"/>
      <c r="V134" s="319"/>
      <c r="W134" s="319"/>
      <c r="X134" s="319"/>
      <c r="Y134" s="319"/>
      <c r="Z134" s="319"/>
      <c r="AA134" s="319"/>
      <c r="AB134" s="319"/>
      <c r="AC134" s="319"/>
      <c r="AD134" s="319"/>
      <c r="AE134" s="319"/>
      <c r="AF134" s="319"/>
      <c r="AG134" s="319"/>
      <c r="AH134" s="319"/>
      <c r="AI134" s="319"/>
      <c r="AJ134" s="319"/>
    </row>
    <row r="135" ht="15.75" customHeight="1">
      <c r="A135" s="217"/>
      <c r="B135" s="217"/>
      <c r="C135" s="217"/>
      <c r="F135" s="298"/>
      <c r="G135" s="298"/>
      <c r="Q135" s="319"/>
      <c r="R135" s="319"/>
      <c r="S135" s="319"/>
      <c r="T135" s="319"/>
      <c r="U135" s="319"/>
      <c r="V135" s="319"/>
      <c r="W135" s="319"/>
      <c r="X135" s="319"/>
      <c r="Y135" s="319"/>
      <c r="Z135" s="319"/>
      <c r="AA135" s="319"/>
      <c r="AB135" s="319"/>
      <c r="AC135" s="319"/>
      <c r="AD135" s="319"/>
      <c r="AE135" s="319"/>
      <c r="AF135" s="319"/>
      <c r="AG135" s="319"/>
      <c r="AH135" s="319"/>
      <c r="AI135" s="319"/>
      <c r="AJ135" s="319"/>
    </row>
    <row r="136" ht="15.75" customHeight="1">
      <c r="A136" s="217"/>
      <c r="B136" s="217"/>
      <c r="C136" s="217"/>
      <c r="F136" s="298"/>
      <c r="G136" s="298"/>
      <c r="Q136" s="319"/>
      <c r="R136" s="319"/>
      <c r="S136" s="319"/>
      <c r="T136" s="319"/>
      <c r="U136" s="319"/>
      <c r="V136" s="319"/>
      <c r="W136" s="319"/>
      <c r="X136" s="319"/>
      <c r="Y136" s="319"/>
      <c r="Z136" s="319"/>
      <c r="AA136" s="319"/>
      <c r="AB136" s="319"/>
      <c r="AC136" s="319"/>
      <c r="AD136" s="319"/>
      <c r="AE136" s="319"/>
      <c r="AF136" s="319"/>
      <c r="AG136" s="319"/>
      <c r="AH136" s="319"/>
      <c r="AI136" s="319"/>
      <c r="AJ136" s="319"/>
    </row>
    <row r="137" ht="15.75" customHeight="1">
      <c r="A137" s="217"/>
      <c r="B137" s="217"/>
      <c r="C137" s="217"/>
      <c r="F137" s="298"/>
      <c r="G137" s="298"/>
      <c r="Q137" s="319"/>
      <c r="R137" s="319"/>
      <c r="S137" s="319"/>
      <c r="T137" s="319"/>
      <c r="U137" s="319"/>
      <c r="V137" s="319"/>
      <c r="W137" s="319"/>
      <c r="X137" s="319"/>
      <c r="Y137" s="319"/>
      <c r="Z137" s="319"/>
      <c r="AA137" s="319"/>
      <c r="AB137" s="319"/>
      <c r="AC137" s="319"/>
      <c r="AD137" s="319"/>
      <c r="AE137" s="319"/>
      <c r="AF137" s="319"/>
      <c r="AG137" s="319"/>
      <c r="AH137" s="319"/>
      <c r="AI137" s="319"/>
      <c r="AJ137" s="319"/>
    </row>
    <row r="138" ht="15.75" customHeight="1">
      <c r="A138" s="217"/>
      <c r="B138" s="217"/>
      <c r="C138" s="217"/>
      <c r="F138" s="298"/>
      <c r="G138" s="298"/>
      <c r="Q138" s="319"/>
      <c r="R138" s="319"/>
      <c r="S138" s="319"/>
      <c r="T138" s="319"/>
      <c r="U138" s="319"/>
      <c r="V138" s="319"/>
      <c r="W138" s="319"/>
      <c r="X138" s="319"/>
      <c r="Y138" s="319"/>
      <c r="Z138" s="319"/>
      <c r="AA138" s="319"/>
      <c r="AB138" s="319"/>
      <c r="AC138" s="319"/>
      <c r="AD138" s="319"/>
      <c r="AE138" s="319"/>
      <c r="AF138" s="319"/>
      <c r="AG138" s="319"/>
      <c r="AH138" s="319"/>
      <c r="AI138" s="319"/>
      <c r="AJ138" s="319"/>
    </row>
    <row r="139" ht="15.75" customHeight="1">
      <c r="A139" s="217"/>
      <c r="B139" s="217"/>
      <c r="C139" s="217"/>
      <c r="F139" s="298"/>
      <c r="G139" s="298"/>
      <c r="Q139" s="319"/>
      <c r="R139" s="319"/>
      <c r="S139" s="319"/>
      <c r="T139" s="319"/>
      <c r="U139" s="319"/>
      <c r="V139" s="319"/>
      <c r="W139" s="319"/>
      <c r="X139" s="319"/>
      <c r="Y139" s="319"/>
      <c r="Z139" s="319"/>
      <c r="AA139" s="319"/>
      <c r="AB139" s="319"/>
      <c r="AC139" s="319"/>
      <c r="AD139" s="319"/>
      <c r="AE139" s="319"/>
      <c r="AF139" s="319"/>
      <c r="AG139" s="319"/>
      <c r="AH139" s="319"/>
      <c r="AI139" s="319"/>
      <c r="AJ139" s="319"/>
    </row>
    <row r="140" ht="15.75" customHeight="1">
      <c r="A140" s="217"/>
      <c r="B140" s="217"/>
      <c r="C140" s="217"/>
      <c r="F140" s="298"/>
      <c r="G140" s="298"/>
      <c r="Q140" s="319"/>
      <c r="R140" s="319"/>
      <c r="S140" s="319"/>
      <c r="T140" s="319"/>
      <c r="U140" s="319"/>
      <c r="V140" s="319"/>
      <c r="W140" s="319"/>
      <c r="X140" s="319"/>
      <c r="Y140" s="319"/>
      <c r="Z140" s="319"/>
      <c r="AA140" s="319"/>
      <c r="AB140" s="319"/>
      <c r="AC140" s="319"/>
      <c r="AD140" s="319"/>
      <c r="AE140" s="319"/>
      <c r="AF140" s="319"/>
      <c r="AG140" s="319"/>
      <c r="AH140" s="319"/>
      <c r="AI140" s="319"/>
      <c r="AJ140" s="319"/>
    </row>
    <row r="141" ht="15.75" customHeight="1">
      <c r="A141" s="217"/>
      <c r="B141" s="217"/>
      <c r="C141" s="217"/>
      <c r="F141" s="298"/>
      <c r="G141" s="298"/>
      <c r="Q141" s="319"/>
      <c r="R141" s="319"/>
      <c r="S141" s="319"/>
      <c r="T141" s="319"/>
      <c r="U141" s="319"/>
      <c r="V141" s="319"/>
      <c r="W141" s="319"/>
      <c r="X141" s="319"/>
      <c r="Y141" s="319"/>
      <c r="Z141" s="319"/>
      <c r="AA141" s="319"/>
      <c r="AB141" s="319"/>
      <c r="AC141" s="319"/>
      <c r="AD141" s="319"/>
      <c r="AE141" s="319"/>
      <c r="AF141" s="319"/>
      <c r="AG141" s="319"/>
      <c r="AH141" s="319"/>
      <c r="AI141" s="319"/>
      <c r="AJ141" s="319"/>
    </row>
    <row r="142" ht="15.75" customHeight="1">
      <c r="A142" s="217"/>
      <c r="B142" s="217"/>
      <c r="C142" s="217"/>
      <c r="F142" s="298"/>
      <c r="G142" s="298"/>
      <c r="Q142" s="319"/>
      <c r="R142" s="319"/>
      <c r="S142" s="319"/>
      <c r="T142" s="319"/>
      <c r="U142" s="319"/>
      <c r="V142" s="319"/>
      <c r="W142" s="319"/>
      <c r="X142" s="319"/>
      <c r="Y142" s="319"/>
      <c r="Z142" s="319"/>
      <c r="AA142" s="319"/>
      <c r="AB142" s="319"/>
      <c r="AC142" s="319"/>
      <c r="AD142" s="319"/>
      <c r="AE142" s="319"/>
      <c r="AF142" s="319"/>
      <c r="AG142" s="319"/>
      <c r="AH142" s="319"/>
      <c r="AI142" s="319"/>
      <c r="AJ142" s="319"/>
    </row>
    <row r="143" ht="15.75" customHeight="1">
      <c r="A143" s="217"/>
      <c r="B143" s="217"/>
      <c r="C143" s="217"/>
      <c r="F143" s="298"/>
      <c r="G143" s="298"/>
      <c r="Q143" s="319"/>
      <c r="R143" s="319"/>
      <c r="S143" s="319"/>
      <c r="T143" s="319"/>
      <c r="U143" s="319"/>
      <c r="V143" s="319"/>
      <c r="W143" s="319"/>
      <c r="X143" s="319"/>
      <c r="Y143" s="319"/>
      <c r="Z143" s="319"/>
      <c r="AA143" s="319"/>
      <c r="AB143" s="319"/>
      <c r="AC143" s="319"/>
      <c r="AD143" s="319"/>
      <c r="AE143" s="319"/>
      <c r="AF143" s="319"/>
      <c r="AG143" s="319"/>
      <c r="AH143" s="319"/>
      <c r="AI143" s="319"/>
      <c r="AJ143" s="319"/>
    </row>
    <row r="144" ht="15.75" customHeight="1">
      <c r="A144" s="217"/>
      <c r="B144" s="217"/>
      <c r="C144" s="217"/>
      <c r="F144" s="298"/>
      <c r="G144" s="298"/>
      <c r="Q144" s="319"/>
      <c r="R144" s="319"/>
      <c r="S144" s="319"/>
      <c r="T144" s="319"/>
      <c r="U144" s="319"/>
      <c r="V144" s="319"/>
      <c r="W144" s="319"/>
      <c r="X144" s="319"/>
      <c r="Y144" s="319"/>
      <c r="Z144" s="319"/>
      <c r="AA144" s="319"/>
      <c r="AB144" s="319"/>
      <c r="AC144" s="319"/>
      <c r="AD144" s="319"/>
      <c r="AE144" s="319"/>
      <c r="AF144" s="319"/>
      <c r="AG144" s="319"/>
      <c r="AH144" s="319"/>
      <c r="AI144" s="319"/>
      <c r="AJ144" s="319"/>
    </row>
    <row r="145" ht="15.75" customHeight="1">
      <c r="A145" s="217"/>
      <c r="B145" s="217"/>
      <c r="C145" s="217"/>
      <c r="F145" s="298"/>
      <c r="G145" s="298"/>
      <c r="Q145" s="319"/>
      <c r="R145" s="319"/>
      <c r="S145" s="319"/>
      <c r="T145" s="319"/>
      <c r="U145" s="319"/>
      <c r="V145" s="319"/>
      <c r="W145" s="319"/>
      <c r="X145" s="319"/>
      <c r="Y145" s="319"/>
      <c r="Z145" s="319"/>
      <c r="AA145" s="319"/>
      <c r="AB145" s="319"/>
      <c r="AC145" s="319"/>
      <c r="AD145" s="319"/>
      <c r="AE145" s="319"/>
      <c r="AF145" s="319"/>
      <c r="AG145" s="319"/>
      <c r="AH145" s="319"/>
      <c r="AI145" s="319"/>
      <c r="AJ145" s="319"/>
    </row>
    <row r="146" ht="15.75" customHeight="1">
      <c r="A146" s="217"/>
      <c r="B146" s="217"/>
      <c r="C146" s="217"/>
      <c r="F146" s="298"/>
      <c r="G146" s="298"/>
      <c r="Q146" s="319"/>
      <c r="R146" s="319"/>
      <c r="S146" s="319"/>
      <c r="T146" s="319"/>
      <c r="U146" s="319"/>
      <c r="V146" s="319"/>
      <c r="W146" s="319"/>
      <c r="X146" s="319"/>
      <c r="Y146" s="319"/>
      <c r="Z146" s="319"/>
      <c r="AA146" s="319"/>
      <c r="AB146" s="319"/>
      <c r="AC146" s="319"/>
      <c r="AD146" s="319"/>
      <c r="AE146" s="319"/>
      <c r="AF146" s="319"/>
      <c r="AG146" s="319"/>
      <c r="AH146" s="319"/>
      <c r="AI146" s="319"/>
      <c r="AJ146" s="319"/>
    </row>
    <row r="147" ht="15.75" customHeight="1">
      <c r="A147" s="217"/>
      <c r="B147" s="217"/>
      <c r="C147" s="217"/>
      <c r="F147" s="298"/>
      <c r="G147" s="298"/>
      <c r="Q147" s="319"/>
      <c r="R147" s="319"/>
      <c r="S147" s="319"/>
      <c r="T147" s="319"/>
      <c r="U147" s="319"/>
      <c r="V147" s="319"/>
      <c r="W147" s="319"/>
      <c r="X147" s="319"/>
      <c r="Y147" s="319"/>
      <c r="Z147" s="319"/>
      <c r="AA147" s="319"/>
      <c r="AB147" s="319"/>
      <c r="AC147" s="319"/>
      <c r="AD147" s="319"/>
      <c r="AE147" s="319"/>
      <c r="AF147" s="319"/>
      <c r="AG147" s="319"/>
      <c r="AH147" s="319"/>
      <c r="AI147" s="319"/>
      <c r="AJ147" s="319"/>
    </row>
    <row r="148" ht="15.75" customHeight="1">
      <c r="A148" s="217"/>
      <c r="B148" s="217"/>
      <c r="C148" s="217"/>
      <c r="F148" s="298"/>
      <c r="G148" s="298"/>
      <c r="Q148" s="319"/>
      <c r="R148" s="319"/>
      <c r="S148" s="319"/>
      <c r="T148" s="319"/>
      <c r="U148" s="319"/>
      <c r="V148" s="319"/>
      <c r="W148" s="319"/>
      <c r="X148" s="319"/>
      <c r="Y148" s="319"/>
      <c r="Z148" s="319"/>
      <c r="AA148" s="319"/>
      <c r="AB148" s="319"/>
      <c r="AC148" s="319"/>
      <c r="AD148" s="319"/>
      <c r="AE148" s="319"/>
      <c r="AF148" s="319"/>
      <c r="AG148" s="319"/>
      <c r="AH148" s="319"/>
      <c r="AI148" s="319"/>
      <c r="AJ148" s="319"/>
    </row>
    <row r="149" ht="15.75" customHeight="1">
      <c r="A149" s="217"/>
      <c r="B149" s="217"/>
      <c r="C149" s="217"/>
      <c r="F149" s="298"/>
      <c r="G149" s="298"/>
      <c r="Q149" s="319"/>
      <c r="R149" s="319"/>
      <c r="S149" s="319"/>
      <c r="T149" s="319"/>
      <c r="U149" s="319"/>
      <c r="V149" s="319"/>
      <c r="W149" s="319"/>
      <c r="X149" s="319"/>
      <c r="Y149" s="319"/>
      <c r="Z149" s="319"/>
      <c r="AA149" s="319"/>
      <c r="AB149" s="319"/>
      <c r="AC149" s="319"/>
      <c r="AD149" s="319"/>
      <c r="AE149" s="319"/>
      <c r="AF149" s="319"/>
      <c r="AG149" s="319"/>
      <c r="AH149" s="319"/>
      <c r="AI149" s="319"/>
      <c r="AJ149" s="319"/>
    </row>
    <row r="150" ht="15.75" customHeight="1">
      <c r="A150" s="217"/>
      <c r="B150" s="217"/>
      <c r="C150" s="217"/>
      <c r="F150" s="298"/>
      <c r="G150" s="298"/>
      <c r="Q150" s="319"/>
      <c r="R150" s="319"/>
      <c r="S150" s="319"/>
      <c r="T150" s="319"/>
      <c r="U150" s="319"/>
      <c r="V150" s="319"/>
      <c r="W150" s="319"/>
      <c r="X150" s="319"/>
      <c r="Y150" s="319"/>
      <c r="Z150" s="319"/>
      <c r="AA150" s="319"/>
      <c r="AB150" s="319"/>
      <c r="AC150" s="319"/>
      <c r="AD150" s="319"/>
      <c r="AE150" s="319"/>
      <c r="AF150" s="319"/>
      <c r="AG150" s="319"/>
      <c r="AH150" s="319"/>
      <c r="AI150" s="319"/>
      <c r="AJ150" s="319"/>
    </row>
    <row r="151" ht="15.75" customHeight="1">
      <c r="A151" s="217"/>
      <c r="B151" s="217"/>
      <c r="C151" s="217"/>
      <c r="F151" s="298"/>
      <c r="G151" s="298"/>
      <c r="Q151" s="319"/>
      <c r="R151" s="319"/>
      <c r="S151" s="319"/>
      <c r="T151" s="319"/>
      <c r="U151" s="319"/>
      <c r="V151" s="319"/>
      <c r="W151" s="319"/>
      <c r="X151" s="319"/>
      <c r="Y151" s="319"/>
      <c r="Z151" s="319"/>
      <c r="AA151" s="319"/>
      <c r="AB151" s="319"/>
      <c r="AC151" s="319"/>
      <c r="AD151" s="319"/>
      <c r="AE151" s="319"/>
      <c r="AF151" s="319"/>
      <c r="AG151" s="319"/>
      <c r="AH151" s="319"/>
      <c r="AI151" s="319"/>
      <c r="AJ151" s="319"/>
    </row>
    <row r="152" ht="15.75" customHeight="1">
      <c r="A152" s="217"/>
      <c r="B152" s="217"/>
      <c r="C152" s="217"/>
      <c r="F152" s="298"/>
      <c r="G152" s="298"/>
      <c r="Q152" s="319"/>
      <c r="R152" s="319"/>
      <c r="S152" s="319"/>
      <c r="T152" s="319"/>
      <c r="U152" s="319"/>
      <c r="V152" s="319"/>
      <c r="W152" s="319"/>
      <c r="X152" s="319"/>
      <c r="Y152" s="319"/>
      <c r="Z152" s="319"/>
      <c r="AA152" s="319"/>
      <c r="AB152" s="319"/>
      <c r="AC152" s="319"/>
      <c r="AD152" s="319"/>
      <c r="AE152" s="319"/>
      <c r="AF152" s="319"/>
      <c r="AG152" s="319"/>
      <c r="AH152" s="319"/>
      <c r="AI152" s="319"/>
      <c r="AJ152" s="319"/>
    </row>
    <row r="153" ht="15.75" customHeight="1">
      <c r="A153" s="217"/>
      <c r="B153" s="217"/>
      <c r="C153" s="217"/>
      <c r="F153" s="298"/>
      <c r="G153" s="298"/>
      <c r="Q153" s="319"/>
      <c r="R153" s="319"/>
      <c r="S153" s="319"/>
      <c r="T153" s="319"/>
      <c r="U153" s="319"/>
      <c r="V153" s="319"/>
      <c r="W153" s="319"/>
      <c r="X153" s="319"/>
      <c r="Y153" s="319"/>
      <c r="Z153" s="319"/>
      <c r="AA153" s="319"/>
      <c r="AB153" s="319"/>
      <c r="AC153" s="319"/>
      <c r="AD153" s="319"/>
      <c r="AE153" s="319"/>
      <c r="AF153" s="319"/>
      <c r="AG153" s="319"/>
      <c r="AH153" s="319"/>
      <c r="AI153" s="319"/>
      <c r="AJ153" s="319"/>
    </row>
    <row r="154" ht="15.75" customHeight="1">
      <c r="A154" s="217"/>
      <c r="B154" s="217"/>
      <c r="C154" s="217"/>
      <c r="F154" s="298"/>
      <c r="G154" s="298"/>
      <c r="Q154" s="319"/>
      <c r="R154" s="319"/>
      <c r="S154" s="319"/>
      <c r="T154" s="319"/>
      <c r="U154" s="319"/>
      <c r="V154" s="319"/>
      <c r="W154" s="319"/>
      <c r="X154" s="319"/>
      <c r="Y154" s="319"/>
      <c r="Z154" s="319"/>
      <c r="AA154" s="319"/>
      <c r="AB154" s="319"/>
      <c r="AC154" s="319"/>
      <c r="AD154" s="319"/>
      <c r="AE154" s="319"/>
      <c r="AF154" s="319"/>
      <c r="AG154" s="319"/>
      <c r="AH154" s="319"/>
      <c r="AI154" s="319"/>
      <c r="AJ154" s="319"/>
    </row>
    <row r="155" ht="15.75" customHeight="1">
      <c r="A155" s="217"/>
      <c r="B155" s="217"/>
      <c r="C155" s="217"/>
      <c r="F155" s="298"/>
      <c r="G155" s="298"/>
      <c r="Q155" s="319"/>
      <c r="R155" s="319"/>
      <c r="S155" s="319"/>
      <c r="T155" s="319"/>
      <c r="U155" s="319"/>
      <c r="V155" s="319"/>
      <c r="W155" s="319"/>
      <c r="X155" s="319"/>
      <c r="Y155" s="319"/>
      <c r="Z155" s="319"/>
      <c r="AA155" s="319"/>
      <c r="AB155" s="319"/>
      <c r="AC155" s="319"/>
      <c r="AD155" s="319"/>
      <c r="AE155" s="319"/>
      <c r="AF155" s="319"/>
      <c r="AG155" s="319"/>
      <c r="AH155" s="319"/>
      <c r="AI155" s="319"/>
      <c r="AJ155" s="319"/>
    </row>
    <row r="156" ht="15.75" customHeight="1">
      <c r="A156" s="217"/>
      <c r="B156" s="217"/>
      <c r="C156" s="217"/>
      <c r="F156" s="298"/>
      <c r="G156" s="298"/>
      <c r="Q156" s="319"/>
      <c r="R156" s="319"/>
      <c r="S156" s="319"/>
      <c r="T156" s="319"/>
      <c r="U156" s="319"/>
      <c r="V156" s="319"/>
      <c r="W156" s="319"/>
      <c r="X156" s="319"/>
      <c r="Y156" s="319"/>
      <c r="Z156" s="319"/>
      <c r="AA156" s="319"/>
      <c r="AB156" s="319"/>
      <c r="AC156" s="319"/>
      <c r="AD156" s="319"/>
      <c r="AE156" s="319"/>
      <c r="AF156" s="319"/>
      <c r="AG156" s="319"/>
      <c r="AH156" s="319"/>
      <c r="AI156" s="319"/>
      <c r="AJ156" s="319"/>
    </row>
    <row r="157" ht="15.75" customHeight="1">
      <c r="A157" s="217"/>
      <c r="B157" s="217"/>
      <c r="C157" s="217"/>
      <c r="F157" s="298"/>
      <c r="G157" s="298"/>
      <c r="Q157" s="319"/>
      <c r="R157" s="319"/>
      <c r="S157" s="319"/>
      <c r="T157" s="319"/>
      <c r="U157" s="319"/>
      <c r="V157" s="319"/>
      <c r="W157" s="319"/>
      <c r="X157" s="319"/>
      <c r="Y157" s="319"/>
      <c r="Z157" s="319"/>
      <c r="AA157" s="319"/>
      <c r="AB157" s="319"/>
      <c r="AC157" s="319"/>
      <c r="AD157" s="319"/>
      <c r="AE157" s="319"/>
      <c r="AF157" s="319"/>
      <c r="AG157" s="319"/>
      <c r="AH157" s="319"/>
      <c r="AI157" s="319"/>
      <c r="AJ157" s="319"/>
    </row>
    <row r="158" ht="15.75" customHeight="1">
      <c r="A158" s="217"/>
      <c r="B158" s="217"/>
      <c r="C158" s="217"/>
      <c r="F158" s="298"/>
      <c r="G158" s="298"/>
      <c r="Q158" s="319"/>
      <c r="R158" s="319"/>
      <c r="S158" s="319"/>
      <c r="T158" s="319"/>
      <c r="U158" s="319"/>
      <c r="V158" s="319"/>
      <c r="W158" s="319"/>
      <c r="X158" s="319"/>
      <c r="Y158" s="319"/>
      <c r="Z158" s="319"/>
      <c r="AA158" s="319"/>
      <c r="AB158" s="319"/>
      <c r="AC158" s="319"/>
      <c r="AD158" s="319"/>
      <c r="AE158" s="319"/>
      <c r="AF158" s="319"/>
      <c r="AG158" s="319"/>
      <c r="AH158" s="319"/>
      <c r="AI158" s="319"/>
      <c r="AJ158" s="319"/>
    </row>
    <row r="159" ht="15.75" customHeight="1">
      <c r="A159" s="217"/>
      <c r="B159" s="217"/>
      <c r="C159" s="217"/>
      <c r="F159" s="298"/>
      <c r="G159" s="298"/>
      <c r="Q159" s="319"/>
      <c r="R159" s="319"/>
      <c r="S159" s="319"/>
      <c r="T159" s="319"/>
      <c r="U159" s="319"/>
      <c r="V159" s="319"/>
      <c r="W159" s="319"/>
      <c r="X159" s="319"/>
      <c r="Y159" s="319"/>
      <c r="Z159" s="319"/>
      <c r="AA159" s="319"/>
      <c r="AB159" s="319"/>
      <c r="AC159" s="319"/>
      <c r="AD159" s="319"/>
      <c r="AE159" s="319"/>
      <c r="AF159" s="319"/>
      <c r="AG159" s="319"/>
      <c r="AH159" s="319"/>
      <c r="AI159" s="319"/>
      <c r="AJ159" s="319"/>
    </row>
    <row r="160" ht="15.75" customHeight="1">
      <c r="A160" s="217"/>
      <c r="B160" s="217"/>
      <c r="C160" s="217"/>
      <c r="F160" s="298"/>
      <c r="G160" s="298"/>
      <c r="Q160" s="319"/>
      <c r="R160" s="319"/>
      <c r="S160" s="319"/>
      <c r="T160" s="319"/>
      <c r="U160" s="319"/>
      <c r="V160" s="319"/>
      <c r="W160" s="319"/>
      <c r="X160" s="319"/>
      <c r="Y160" s="319"/>
      <c r="Z160" s="319"/>
      <c r="AA160" s="319"/>
      <c r="AB160" s="319"/>
      <c r="AC160" s="319"/>
      <c r="AD160" s="319"/>
      <c r="AE160" s="319"/>
      <c r="AF160" s="319"/>
      <c r="AG160" s="319"/>
      <c r="AH160" s="319"/>
      <c r="AI160" s="319"/>
      <c r="AJ160" s="319"/>
    </row>
    <row r="161" ht="15.75" customHeight="1">
      <c r="A161" s="217"/>
      <c r="B161" s="217"/>
      <c r="C161" s="217"/>
      <c r="F161" s="298"/>
      <c r="G161" s="298"/>
      <c r="Q161" s="319"/>
      <c r="R161" s="319"/>
      <c r="S161" s="319"/>
      <c r="T161" s="319"/>
      <c r="U161" s="319"/>
      <c r="V161" s="319"/>
      <c r="W161" s="319"/>
      <c r="X161" s="319"/>
      <c r="Y161" s="319"/>
      <c r="Z161" s="319"/>
      <c r="AA161" s="319"/>
      <c r="AB161" s="319"/>
      <c r="AC161" s="319"/>
      <c r="AD161" s="319"/>
      <c r="AE161" s="319"/>
      <c r="AF161" s="319"/>
      <c r="AG161" s="319"/>
      <c r="AH161" s="319"/>
      <c r="AI161" s="319"/>
      <c r="AJ161" s="319"/>
    </row>
    <row r="162" ht="15.75" customHeight="1">
      <c r="A162" s="217"/>
      <c r="B162" s="217"/>
      <c r="C162" s="217"/>
      <c r="F162" s="298"/>
      <c r="G162" s="298"/>
      <c r="Q162" s="319"/>
      <c r="R162" s="319"/>
      <c r="S162" s="319"/>
      <c r="T162" s="319"/>
      <c r="U162" s="319"/>
      <c r="V162" s="319"/>
      <c r="W162" s="319"/>
      <c r="X162" s="319"/>
      <c r="Y162" s="319"/>
      <c r="Z162" s="319"/>
      <c r="AA162" s="319"/>
      <c r="AB162" s="319"/>
      <c r="AC162" s="319"/>
      <c r="AD162" s="319"/>
      <c r="AE162" s="319"/>
      <c r="AF162" s="319"/>
      <c r="AG162" s="319"/>
      <c r="AH162" s="319"/>
      <c r="AI162" s="319"/>
      <c r="AJ162" s="319"/>
    </row>
    <row r="163" ht="15.75" customHeight="1">
      <c r="A163" s="217"/>
      <c r="B163" s="217"/>
      <c r="C163" s="217"/>
      <c r="F163" s="298"/>
      <c r="G163" s="298"/>
      <c r="Q163" s="319"/>
      <c r="R163" s="319"/>
      <c r="S163" s="319"/>
      <c r="T163" s="319"/>
      <c r="U163" s="319"/>
      <c r="V163" s="319"/>
      <c r="W163" s="319"/>
      <c r="X163" s="319"/>
      <c r="Y163" s="319"/>
      <c r="Z163" s="319"/>
      <c r="AA163" s="319"/>
      <c r="AB163" s="319"/>
      <c r="AC163" s="319"/>
      <c r="AD163" s="319"/>
      <c r="AE163" s="319"/>
      <c r="AF163" s="319"/>
      <c r="AG163" s="319"/>
      <c r="AH163" s="319"/>
      <c r="AI163" s="319"/>
      <c r="AJ163" s="319"/>
    </row>
    <row r="164" ht="15.75" customHeight="1">
      <c r="A164" s="217"/>
      <c r="B164" s="217"/>
      <c r="C164" s="217"/>
      <c r="F164" s="298"/>
      <c r="G164" s="298"/>
      <c r="Q164" s="319"/>
      <c r="R164" s="319"/>
      <c r="S164" s="319"/>
      <c r="T164" s="319"/>
      <c r="U164" s="319"/>
      <c r="V164" s="319"/>
      <c r="W164" s="319"/>
      <c r="X164" s="319"/>
      <c r="Y164" s="319"/>
      <c r="Z164" s="319"/>
      <c r="AA164" s="319"/>
      <c r="AB164" s="319"/>
      <c r="AC164" s="319"/>
      <c r="AD164" s="319"/>
      <c r="AE164" s="319"/>
      <c r="AF164" s="319"/>
      <c r="AG164" s="319"/>
      <c r="AH164" s="319"/>
      <c r="AI164" s="319"/>
      <c r="AJ164" s="319"/>
    </row>
    <row r="165" ht="15.75" customHeight="1">
      <c r="A165" s="217"/>
      <c r="B165" s="217"/>
      <c r="C165" s="217"/>
      <c r="F165" s="298"/>
      <c r="G165" s="298"/>
      <c r="Q165" s="319"/>
      <c r="R165" s="319"/>
      <c r="S165" s="319"/>
      <c r="T165" s="319"/>
      <c r="U165" s="319"/>
      <c r="V165" s="319"/>
      <c r="W165" s="319"/>
      <c r="X165" s="319"/>
      <c r="Y165" s="319"/>
      <c r="Z165" s="319"/>
      <c r="AA165" s="319"/>
      <c r="AB165" s="319"/>
      <c r="AC165" s="319"/>
      <c r="AD165" s="319"/>
      <c r="AE165" s="319"/>
      <c r="AF165" s="319"/>
      <c r="AG165" s="319"/>
      <c r="AH165" s="319"/>
      <c r="AI165" s="319"/>
      <c r="AJ165" s="319"/>
    </row>
    <row r="166" ht="15.75" customHeight="1">
      <c r="A166" s="217"/>
      <c r="B166" s="217"/>
      <c r="C166" s="217"/>
      <c r="F166" s="298"/>
      <c r="G166" s="298"/>
      <c r="Q166" s="319"/>
      <c r="R166" s="319"/>
      <c r="S166" s="319"/>
      <c r="T166" s="319"/>
      <c r="U166" s="319"/>
      <c r="V166" s="319"/>
      <c r="W166" s="319"/>
      <c r="X166" s="319"/>
      <c r="Y166" s="319"/>
      <c r="Z166" s="319"/>
      <c r="AA166" s="319"/>
      <c r="AB166" s="319"/>
      <c r="AC166" s="319"/>
      <c r="AD166" s="319"/>
      <c r="AE166" s="319"/>
      <c r="AF166" s="319"/>
      <c r="AG166" s="319"/>
      <c r="AH166" s="319"/>
      <c r="AI166" s="319"/>
      <c r="AJ166" s="319"/>
    </row>
    <row r="167" ht="15.75" customHeight="1">
      <c r="A167" s="217"/>
      <c r="B167" s="217"/>
      <c r="C167" s="217"/>
      <c r="F167" s="298"/>
      <c r="G167" s="298"/>
      <c r="Q167" s="319"/>
      <c r="R167" s="319"/>
      <c r="S167" s="319"/>
      <c r="T167" s="319"/>
      <c r="U167" s="319"/>
      <c r="V167" s="319"/>
      <c r="W167" s="319"/>
      <c r="X167" s="319"/>
      <c r="Y167" s="319"/>
      <c r="Z167" s="319"/>
      <c r="AA167" s="319"/>
      <c r="AB167" s="319"/>
      <c r="AC167" s="319"/>
      <c r="AD167" s="319"/>
      <c r="AE167" s="319"/>
      <c r="AF167" s="319"/>
      <c r="AG167" s="319"/>
      <c r="AH167" s="319"/>
      <c r="AI167" s="319"/>
      <c r="AJ167" s="319"/>
    </row>
    <row r="168" ht="15.75" customHeight="1">
      <c r="A168" s="217"/>
      <c r="B168" s="217"/>
      <c r="C168" s="217"/>
      <c r="F168" s="298"/>
      <c r="G168" s="298"/>
      <c r="Q168" s="319"/>
      <c r="R168" s="319"/>
      <c r="S168" s="319"/>
      <c r="T168" s="319"/>
      <c r="U168" s="319"/>
      <c r="V168" s="319"/>
      <c r="W168" s="319"/>
      <c r="X168" s="319"/>
      <c r="Y168" s="319"/>
      <c r="Z168" s="319"/>
      <c r="AA168" s="319"/>
      <c r="AB168" s="319"/>
      <c r="AC168" s="319"/>
      <c r="AD168" s="319"/>
      <c r="AE168" s="319"/>
      <c r="AF168" s="319"/>
      <c r="AG168" s="319"/>
      <c r="AH168" s="319"/>
      <c r="AI168" s="319"/>
      <c r="AJ168" s="319"/>
    </row>
    <row r="169" ht="15.75" customHeight="1">
      <c r="A169" s="217"/>
      <c r="B169" s="217"/>
      <c r="C169" s="217"/>
      <c r="F169" s="298"/>
      <c r="G169" s="298"/>
      <c r="Q169" s="319"/>
      <c r="R169" s="319"/>
      <c r="S169" s="319"/>
      <c r="T169" s="319"/>
      <c r="U169" s="319"/>
      <c r="V169" s="319"/>
      <c r="W169" s="319"/>
      <c r="X169" s="319"/>
      <c r="Y169" s="319"/>
      <c r="Z169" s="319"/>
      <c r="AA169" s="319"/>
      <c r="AB169" s="319"/>
      <c r="AC169" s="319"/>
      <c r="AD169" s="319"/>
      <c r="AE169" s="319"/>
      <c r="AF169" s="319"/>
      <c r="AG169" s="319"/>
      <c r="AH169" s="319"/>
      <c r="AI169" s="319"/>
      <c r="AJ169" s="319"/>
    </row>
    <row r="170" ht="15.75" customHeight="1">
      <c r="A170" s="217"/>
      <c r="B170" s="217"/>
      <c r="C170" s="217"/>
      <c r="F170" s="298"/>
      <c r="G170" s="298"/>
      <c r="Q170" s="319"/>
      <c r="R170" s="319"/>
      <c r="S170" s="319"/>
      <c r="T170" s="319"/>
      <c r="U170" s="319"/>
      <c r="V170" s="319"/>
      <c r="W170" s="319"/>
      <c r="X170" s="319"/>
      <c r="Y170" s="319"/>
      <c r="Z170" s="319"/>
      <c r="AA170" s="319"/>
      <c r="AB170" s="319"/>
      <c r="AC170" s="319"/>
      <c r="AD170" s="319"/>
      <c r="AE170" s="319"/>
      <c r="AF170" s="319"/>
      <c r="AG170" s="319"/>
      <c r="AH170" s="319"/>
      <c r="AI170" s="319"/>
      <c r="AJ170" s="319"/>
    </row>
    <row r="171" ht="15.75" customHeight="1">
      <c r="A171" s="217"/>
      <c r="B171" s="217"/>
      <c r="C171" s="217"/>
      <c r="F171" s="298"/>
      <c r="G171" s="298"/>
      <c r="Q171" s="319"/>
      <c r="R171" s="319"/>
      <c r="S171" s="319"/>
      <c r="T171" s="319"/>
      <c r="U171" s="319"/>
      <c r="V171" s="319"/>
      <c r="W171" s="319"/>
      <c r="X171" s="319"/>
      <c r="Y171" s="319"/>
      <c r="Z171" s="319"/>
      <c r="AA171" s="319"/>
      <c r="AB171" s="319"/>
      <c r="AC171" s="319"/>
      <c r="AD171" s="319"/>
      <c r="AE171" s="319"/>
      <c r="AF171" s="319"/>
      <c r="AG171" s="319"/>
      <c r="AH171" s="319"/>
      <c r="AI171" s="319"/>
      <c r="AJ171" s="319"/>
    </row>
    <row r="172" ht="15.75" customHeight="1">
      <c r="A172" s="217"/>
      <c r="B172" s="217"/>
      <c r="C172" s="217"/>
      <c r="F172" s="298"/>
      <c r="G172" s="298"/>
      <c r="Q172" s="319"/>
      <c r="R172" s="319"/>
      <c r="S172" s="319"/>
      <c r="T172" s="319"/>
      <c r="U172" s="319"/>
      <c r="V172" s="319"/>
      <c r="W172" s="319"/>
      <c r="X172" s="319"/>
      <c r="Y172" s="319"/>
      <c r="Z172" s="319"/>
      <c r="AA172" s="319"/>
      <c r="AB172" s="319"/>
      <c r="AC172" s="319"/>
      <c r="AD172" s="319"/>
      <c r="AE172" s="319"/>
      <c r="AF172" s="319"/>
      <c r="AG172" s="319"/>
      <c r="AH172" s="319"/>
      <c r="AI172" s="319"/>
      <c r="AJ172" s="319"/>
    </row>
    <row r="173" ht="15.75" customHeight="1">
      <c r="A173" s="217"/>
      <c r="B173" s="217"/>
      <c r="C173" s="217"/>
      <c r="F173" s="298"/>
      <c r="G173" s="298"/>
      <c r="Q173" s="319"/>
      <c r="R173" s="319"/>
      <c r="S173" s="319"/>
      <c r="T173" s="319"/>
      <c r="U173" s="319"/>
      <c r="V173" s="319"/>
      <c r="W173" s="319"/>
      <c r="X173" s="319"/>
      <c r="Y173" s="319"/>
      <c r="Z173" s="319"/>
      <c r="AA173" s="319"/>
      <c r="AB173" s="319"/>
      <c r="AC173" s="319"/>
      <c r="AD173" s="319"/>
      <c r="AE173" s="319"/>
      <c r="AF173" s="319"/>
      <c r="AG173" s="319"/>
      <c r="AH173" s="319"/>
      <c r="AI173" s="319"/>
      <c r="AJ173" s="319"/>
    </row>
    <row r="174" ht="15.75" customHeight="1">
      <c r="A174" s="217"/>
      <c r="B174" s="217"/>
      <c r="C174" s="217"/>
      <c r="F174" s="298"/>
      <c r="G174" s="298"/>
      <c r="Q174" s="319"/>
      <c r="R174" s="319"/>
      <c r="S174" s="319"/>
      <c r="T174" s="319"/>
      <c r="U174" s="319"/>
      <c r="V174" s="319"/>
      <c r="W174" s="319"/>
      <c r="X174" s="319"/>
      <c r="Y174" s="319"/>
      <c r="Z174" s="319"/>
      <c r="AA174" s="319"/>
      <c r="AB174" s="319"/>
      <c r="AC174" s="319"/>
      <c r="AD174" s="319"/>
      <c r="AE174" s="319"/>
      <c r="AF174" s="319"/>
      <c r="AG174" s="319"/>
      <c r="AH174" s="319"/>
      <c r="AI174" s="319"/>
      <c r="AJ174" s="319"/>
    </row>
    <row r="175" ht="15.75" customHeight="1">
      <c r="A175" s="217"/>
      <c r="B175" s="217"/>
      <c r="C175" s="217"/>
      <c r="F175" s="298"/>
      <c r="G175" s="298"/>
      <c r="Q175" s="319"/>
      <c r="R175" s="319"/>
      <c r="S175" s="319"/>
      <c r="T175" s="319"/>
      <c r="U175" s="319"/>
      <c r="V175" s="319"/>
      <c r="W175" s="319"/>
      <c r="X175" s="319"/>
      <c r="Y175" s="319"/>
      <c r="Z175" s="319"/>
      <c r="AA175" s="319"/>
      <c r="AB175" s="319"/>
      <c r="AC175" s="319"/>
      <c r="AD175" s="319"/>
      <c r="AE175" s="319"/>
      <c r="AF175" s="319"/>
      <c r="AG175" s="319"/>
      <c r="AH175" s="319"/>
      <c r="AI175" s="319"/>
      <c r="AJ175" s="319"/>
    </row>
    <row r="176" ht="15.75" customHeight="1">
      <c r="A176" s="217"/>
      <c r="B176" s="217"/>
      <c r="C176" s="217"/>
      <c r="F176" s="298"/>
      <c r="G176" s="298"/>
      <c r="Q176" s="319"/>
      <c r="R176" s="319"/>
      <c r="S176" s="319"/>
      <c r="T176" s="319"/>
      <c r="U176" s="319"/>
      <c r="V176" s="319"/>
      <c r="W176" s="319"/>
      <c r="X176" s="319"/>
      <c r="Y176" s="319"/>
      <c r="Z176" s="319"/>
      <c r="AA176" s="319"/>
      <c r="AB176" s="319"/>
      <c r="AC176" s="319"/>
      <c r="AD176" s="319"/>
      <c r="AE176" s="319"/>
      <c r="AF176" s="319"/>
      <c r="AG176" s="319"/>
      <c r="AH176" s="319"/>
      <c r="AI176" s="319"/>
      <c r="AJ176" s="319"/>
    </row>
    <row r="177" ht="15.75" customHeight="1">
      <c r="A177" s="217"/>
      <c r="B177" s="217"/>
      <c r="C177" s="217"/>
      <c r="F177" s="298"/>
      <c r="G177" s="298"/>
      <c r="Q177" s="319"/>
      <c r="R177" s="319"/>
      <c r="S177" s="319"/>
      <c r="T177" s="319"/>
      <c r="U177" s="319"/>
      <c r="V177" s="319"/>
      <c r="W177" s="319"/>
      <c r="X177" s="319"/>
      <c r="Y177" s="319"/>
      <c r="Z177" s="319"/>
      <c r="AA177" s="319"/>
      <c r="AB177" s="319"/>
      <c r="AC177" s="319"/>
      <c r="AD177" s="319"/>
      <c r="AE177" s="319"/>
      <c r="AF177" s="319"/>
      <c r="AG177" s="319"/>
      <c r="AH177" s="319"/>
      <c r="AI177" s="319"/>
      <c r="AJ177" s="319"/>
    </row>
    <row r="178" ht="15.75" customHeight="1">
      <c r="A178" s="217"/>
      <c r="B178" s="217"/>
      <c r="C178" s="217"/>
      <c r="F178" s="298"/>
      <c r="G178" s="298"/>
      <c r="Q178" s="319"/>
      <c r="R178" s="319"/>
      <c r="S178" s="319"/>
      <c r="T178" s="319"/>
      <c r="U178" s="319"/>
      <c r="V178" s="319"/>
      <c r="W178" s="319"/>
      <c r="X178" s="319"/>
      <c r="Y178" s="319"/>
      <c r="Z178" s="319"/>
      <c r="AA178" s="319"/>
      <c r="AB178" s="319"/>
      <c r="AC178" s="319"/>
      <c r="AD178" s="319"/>
      <c r="AE178" s="319"/>
      <c r="AF178" s="319"/>
      <c r="AG178" s="319"/>
      <c r="AH178" s="319"/>
      <c r="AI178" s="319"/>
      <c r="AJ178" s="319"/>
    </row>
    <row r="179" ht="15.75" customHeight="1">
      <c r="A179" s="217"/>
      <c r="B179" s="217"/>
      <c r="C179" s="217"/>
      <c r="F179" s="298"/>
      <c r="G179" s="298"/>
      <c r="Q179" s="319"/>
      <c r="R179" s="319"/>
      <c r="S179" s="319"/>
      <c r="T179" s="319"/>
      <c r="U179" s="319"/>
      <c r="V179" s="319"/>
      <c r="W179" s="319"/>
      <c r="X179" s="319"/>
      <c r="Y179" s="319"/>
      <c r="Z179" s="319"/>
      <c r="AA179" s="319"/>
      <c r="AB179" s="319"/>
      <c r="AC179" s="319"/>
      <c r="AD179" s="319"/>
      <c r="AE179" s="319"/>
      <c r="AF179" s="319"/>
      <c r="AG179" s="319"/>
      <c r="AH179" s="319"/>
      <c r="AI179" s="319"/>
      <c r="AJ179" s="319"/>
    </row>
    <row r="180" ht="15.75" customHeight="1">
      <c r="A180" s="217"/>
      <c r="B180" s="217"/>
      <c r="C180" s="217"/>
      <c r="F180" s="298"/>
      <c r="G180" s="298"/>
      <c r="Q180" s="319"/>
      <c r="R180" s="319"/>
      <c r="S180" s="319"/>
      <c r="T180" s="319"/>
      <c r="U180" s="319"/>
      <c r="V180" s="319"/>
      <c r="W180" s="319"/>
      <c r="X180" s="319"/>
      <c r="Y180" s="319"/>
      <c r="Z180" s="319"/>
      <c r="AA180" s="319"/>
      <c r="AB180" s="319"/>
      <c r="AC180" s="319"/>
      <c r="AD180" s="319"/>
      <c r="AE180" s="319"/>
      <c r="AF180" s="319"/>
      <c r="AG180" s="319"/>
      <c r="AH180" s="319"/>
      <c r="AI180" s="319"/>
      <c r="AJ180" s="319"/>
    </row>
    <row r="181" ht="15.75" customHeight="1">
      <c r="A181" s="217"/>
      <c r="B181" s="217"/>
      <c r="C181" s="217"/>
      <c r="F181" s="298"/>
      <c r="G181" s="298"/>
      <c r="Q181" s="319"/>
      <c r="R181" s="319"/>
      <c r="S181" s="319"/>
      <c r="T181" s="319"/>
      <c r="U181" s="319"/>
      <c r="V181" s="319"/>
      <c r="W181" s="319"/>
      <c r="X181" s="319"/>
      <c r="Y181" s="319"/>
      <c r="Z181" s="319"/>
      <c r="AA181" s="319"/>
      <c r="AB181" s="319"/>
      <c r="AC181" s="319"/>
      <c r="AD181" s="319"/>
      <c r="AE181" s="319"/>
      <c r="AF181" s="319"/>
      <c r="AG181" s="319"/>
      <c r="AH181" s="319"/>
      <c r="AI181" s="319"/>
      <c r="AJ181" s="319"/>
    </row>
    <row r="182" ht="15.75" customHeight="1">
      <c r="A182" s="217"/>
      <c r="B182" s="217"/>
      <c r="C182" s="217"/>
      <c r="F182" s="298"/>
      <c r="G182" s="298"/>
      <c r="Q182" s="319"/>
      <c r="R182" s="319"/>
      <c r="S182" s="319"/>
      <c r="T182" s="319"/>
      <c r="U182" s="319"/>
      <c r="V182" s="319"/>
      <c r="W182" s="319"/>
      <c r="X182" s="319"/>
      <c r="Y182" s="319"/>
      <c r="Z182" s="319"/>
      <c r="AA182" s="319"/>
      <c r="AB182" s="319"/>
      <c r="AC182" s="319"/>
      <c r="AD182" s="319"/>
      <c r="AE182" s="319"/>
      <c r="AF182" s="319"/>
      <c r="AG182" s="319"/>
      <c r="AH182" s="319"/>
      <c r="AI182" s="319"/>
      <c r="AJ182" s="319"/>
    </row>
    <row r="183" ht="15.75" customHeight="1">
      <c r="A183" s="217"/>
      <c r="B183" s="217"/>
      <c r="C183" s="217"/>
      <c r="F183" s="298"/>
      <c r="G183" s="298"/>
      <c r="Q183" s="319"/>
      <c r="R183" s="319"/>
      <c r="S183" s="319"/>
      <c r="T183" s="319"/>
      <c r="U183" s="319"/>
      <c r="V183" s="319"/>
      <c r="W183" s="319"/>
      <c r="X183" s="319"/>
      <c r="Y183" s="319"/>
      <c r="Z183" s="319"/>
      <c r="AA183" s="319"/>
      <c r="AB183" s="319"/>
      <c r="AC183" s="319"/>
      <c r="AD183" s="319"/>
      <c r="AE183" s="319"/>
      <c r="AF183" s="319"/>
      <c r="AG183" s="319"/>
      <c r="AH183" s="319"/>
      <c r="AI183" s="319"/>
      <c r="AJ183" s="319"/>
    </row>
    <row r="184" ht="15.75" customHeight="1">
      <c r="A184" s="217"/>
      <c r="B184" s="217"/>
      <c r="C184" s="217"/>
      <c r="F184" s="298"/>
      <c r="G184" s="298"/>
      <c r="Q184" s="319"/>
      <c r="R184" s="319"/>
      <c r="S184" s="319"/>
      <c r="T184" s="319"/>
      <c r="U184" s="319"/>
      <c r="V184" s="319"/>
      <c r="W184" s="319"/>
      <c r="X184" s="319"/>
      <c r="Y184" s="319"/>
      <c r="Z184" s="319"/>
      <c r="AA184" s="319"/>
      <c r="AB184" s="319"/>
      <c r="AC184" s="319"/>
      <c r="AD184" s="319"/>
      <c r="AE184" s="319"/>
      <c r="AF184" s="319"/>
      <c r="AG184" s="319"/>
      <c r="AH184" s="319"/>
      <c r="AI184" s="319"/>
      <c r="AJ184" s="319"/>
    </row>
    <row r="185" ht="15.75" customHeight="1">
      <c r="A185" s="217"/>
      <c r="B185" s="217"/>
      <c r="C185" s="217"/>
      <c r="F185" s="298"/>
      <c r="G185" s="298"/>
      <c r="Q185" s="319"/>
      <c r="R185" s="319"/>
      <c r="S185" s="319"/>
      <c r="T185" s="319"/>
      <c r="U185" s="319"/>
      <c r="V185" s="319"/>
      <c r="W185" s="319"/>
      <c r="X185" s="319"/>
      <c r="Y185" s="319"/>
      <c r="Z185" s="319"/>
      <c r="AA185" s="319"/>
      <c r="AB185" s="319"/>
      <c r="AC185" s="319"/>
      <c r="AD185" s="319"/>
      <c r="AE185" s="319"/>
      <c r="AF185" s="319"/>
      <c r="AG185" s="319"/>
      <c r="AH185" s="319"/>
      <c r="AI185" s="319"/>
      <c r="AJ185" s="319"/>
    </row>
    <row r="186" ht="15.75" customHeight="1">
      <c r="A186" s="217"/>
      <c r="B186" s="217"/>
      <c r="C186" s="217"/>
      <c r="F186" s="298"/>
      <c r="G186" s="298"/>
      <c r="Q186" s="319"/>
      <c r="R186" s="319"/>
      <c r="S186" s="319"/>
      <c r="T186" s="319"/>
      <c r="U186" s="319"/>
      <c r="V186" s="319"/>
      <c r="W186" s="319"/>
      <c r="X186" s="319"/>
      <c r="Y186" s="319"/>
      <c r="Z186" s="319"/>
      <c r="AA186" s="319"/>
      <c r="AB186" s="319"/>
      <c r="AC186" s="319"/>
      <c r="AD186" s="319"/>
      <c r="AE186" s="319"/>
      <c r="AF186" s="319"/>
      <c r="AG186" s="319"/>
      <c r="AH186" s="319"/>
      <c r="AI186" s="319"/>
      <c r="AJ186" s="319"/>
    </row>
    <row r="187" ht="15.75" customHeight="1">
      <c r="A187" s="217"/>
      <c r="B187" s="217"/>
      <c r="C187" s="217"/>
      <c r="F187" s="298"/>
      <c r="G187" s="298"/>
      <c r="Q187" s="319"/>
      <c r="R187" s="319"/>
      <c r="S187" s="319"/>
      <c r="T187" s="319"/>
      <c r="U187" s="319"/>
      <c r="V187" s="319"/>
      <c r="W187" s="319"/>
      <c r="X187" s="319"/>
      <c r="Y187" s="319"/>
      <c r="Z187" s="319"/>
      <c r="AA187" s="319"/>
      <c r="AB187" s="319"/>
      <c r="AC187" s="319"/>
      <c r="AD187" s="319"/>
      <c r="AE187" s="319"/>
      <c r="AF187" s="319"/>
      <c r="AG187" s="319"/>
      <c r="AH187" s="319"/>
      <c r="AI187" s="319"/>
      <c r="AJ187" s="319"/>
    </row>
    <row r="188" ht="15.75" customHeight="1">
      <c r="A188" s="217"/>
      <c r="B188" s="217"/>
      <c r="C188" s="217"/>
      <c r="F188" s="298"/>
      <c r="G188" s="298"/>
      <c r="Q188" s="319"/>
      <c r="R188" s="319"/>
      <c r="S188" s="319"/>
      <c r="T188" s="319"/>
      <c r="U188" s="319"/>
      <c r="V188" s="319"/>
      <c r="W188" s="319"/>
      <c r="X188" s="319"/>
      <c r="Y188" s="319"/>
      <c r="Z188" s="319"/>
      <c r="AA188" s="319"/>
      <c r="AB188" s="319"/>
      <c r="AC188" s="319"/>
      <c r="AD188" s="319"/>
      <c r="AE188" s="319"/>
      <c r="AF188" s="319"/>
      <c r="AG188" s="319"/>
      <c r="AH188" s="319"/>
      <c r="AI188" s="319"/>
      <c r="AJ188" s="319"/>
    </row>
    <row r="189" ht="15.75" customHeight="1">
      <c r="A189" s="217"/>
      <c r="B189" s="217"/>
      <c r="C189" s="217"/>
      <c r="F189" s="298"/>
      <c r="G189" s="298"/>
      <c r="Q189" s="319"/>
      <c r="R189" s="319"/>
      <c r="S189" s="319"/>
      <c r="T189" s="319"/>
      <c r="U189" s="319"/>
      <c r="V189" s="319"/>
      <c r="W189" s="319"/>
      <c r="X189" s="319"/>
      <c r="Y189" s="319"/>
      <c r="Z189" s="319"/>
      <c r="AA189" s="319"/>
      <c r="AB189" s="319"/>
      <c r="AC189" s="319"/>
      <c r="AD189" s="319"/>
      <c r="AE189" s="319"/>
      <c r="AF189" s="319"/>
      <c r="AG189" s="319"/>
      <c r="AH189" s="319"/>
      <c r="AI189" s="319"/>
      <c r="AJ189" s="319"/>
    </row>
    <row r="190" ht="15.75" customHeight="1">
      <c r="A190" s="217"/>
      <c r="B190" s="217"/>
      <c r="C190" s="217"/>
      <c r="F190" s="298"/>
      <c r="G190" s="298"/>
      <c r="Q190" s="319"/>
      <c r="R190" s="319"/>
      <c r="S190" s="319"/>
      <c r="T190" s="319"/>
      <c r="U190" s="319"/>
      <c r="V190" s="319"/>
      <c r="W190" s="319"/>
      <c r="X190" s="319"/>
      <c r="Y190" s="319"/>
      <c r="Z190" s="319"/>
      <c r="AA190" s="319"/>
      <c r="AB190" s="319"/>
      <c r="AC190" s="319"/>
      <c r="AD190" s="319"/>
      <c r="AE190" s="319"/>
      <c r="AF190" s="319"/>
      <c r="AG190" s="319"/>
      <c r="AH190" s="319"/>
      <c r="AI190" s="319"/>
      <c r="AJ190" s="319"/>
    </row>
    <row r="191" ht="15.75" customHeight="1">
      <c r="A191" s="217"/>
      <c r="B191" s="217"/>
      <c r="C191" s="217"/>
      <c r="F191" s="298"/>
      <c r="G191" s="298"/>
      <c r="Q191" s="319"/>
      <c r="R191" s="319"/>
      <c r="S191" s="319"/>
      <c r="T191" s="319"/>
      <c r="U191" s="319"/>
      <c r="V191" s="319"/>
      <c r="W191" s="319"/>
      <c r="X191" s="319"/>
      <c r="Y191" s="319"/>
      <c r="Z191" s="319"/>
      <c r="AA191" s="319"/>
      <c r="AB191" s="319"/>
      <c r="AC191" s="319"/>
      <c r="AD191" s="319"/>
      <c r="AE191" s="319"/>
      <c r="AF191" s="319"/>
      <c r="AG191" s="319"/>
      <c r="AH191" s="319"/>
      <c r="AI191" s="319"/>
      <c r="AJ191" s="319"/>
    </row>
    <row r="192" ht="15.75" customHeight="1">
      <c r="A192" s="217"/>
      <c r="B192" s="217"/>
      <c r="C192" s="217"/>
      <c r="F192" s="298"/>
      <c r="G192" s="298"/>
      <c r="Q192" s="319"/>
      <c r="R192" s="319"/>
      <c r="S192" s="319"/>
      <c r="T192" s="319"/>
      <c r="U192" s="319"/>
      <c r="V192" s="319"/>
      <c r="W192" s="319"/>
      <c r="X192" s="319"/>
      <c r="Y192" s="319"/>
      <c r="Z192" s="319"/>
      <c r="AA192" s="319"/>
      <c r="AB192" s="319"/>
      <c r="AC192" s="319"/>
      <c r="AD192" s="319"/>
      <c r="AE192" s="319"/>
      <c r="AF192" s="319"/>
      <c r="AG192" s="319"/>
      <c r="AH192" s="319"/>
      <c r="AI192" s="319"/>
      <c r="AJ192" s="319"/>
    </row>
    <row r="193" ht="15.75" customHeight="1">
      <c r="A193" s="217"/>
      <c r="B193" s="217"/>
      <c r="C193" s="217"/>
      <c r="F193" s="298"/>
      <c r="G193" s="298"/>
      <c r="Q193" s="319"/>
      <c r="R193" s="319"/>
      <c r="S193" s="319"/>
      <c r="T193" s="319"/>
      <c r="U193" s="319"/>
      <c r="V193" s="319"/>
      <c r="W193" s="319"/>
      <c r="X193" s="319"/>
      <c r="Y193" s="319"/>
      <c r="Z193" s="319"/>
      <c r="AA193" s="319"/>
      <c r="AB193" s="319"/>
      <c r="AC193" s="319"/>
      <c r="AD193" s="319"/>
      <c r="AE193" s="319"/>
      <c r="AF193" s="319"/>
      <c r="AG193" s="319"/>
      <c r="AH193" s="319"/>
      <c r="AI193" s="319"/>
      <c r="AJ193" s="319"/>
    </row>
    <row r="194" ht="15.75" customHeight="1">
      <c r="A194" s="217"/>
      <c r="B194" s="217"/>
      <c r="C194" s="217"/>
      <c r="F194" s="298"/>
      <c r="G194" s="298"/>
      <c r="Q194" s="319"/>
      <c r="R194" s="319"/>
      <c r="S194" s="319"/>
      <c r="T194" s="319"/>
      <c r="U194" s="319"/>
      <c r="V194" s="319"/>
      <c r="W194" s="319"/>
      <c r="X194" s="319"/>
      <c r="Y194" s="319"/>
      <c r="Z194" s="319"/>
      <c r="AA194" s="319"/>
      <c r="AB194" s="319"/>
      <c r="AC194" s="319"/>
      <c r="AD194" s="319"/>
      <c r="AE194" s="319"/>
      <c r="AF194" s="319"/>
      <c r="AG194" s="319"/>
      <c r="AH194" s="319"/>
      <c r="AI194" s="319"/>
      <c r="AJ194" s="319"/>
    </row>
    <row r="195" ht="15.75" customHeight="1">
      <c r="A195" s="217"/>
      <c r="B195" s="217"/>
      <c r="C195" s="217"/>
      <c r="F195" s="298"/>
      <c r="G195" s="298"/>
      <c r="Q195" s="319"/>
      <c r="R195" s="319"/>
      <c r="S195" s="319"/>
      <c r="T195" s="319"/>
      <c r="U195" s="319"/>
      <c r="V195" s="319"/>
      <c r="W195" s="319"/>
      <c r="X195" s="319"/>
      <c r="Y195" s="319"/>
      <c r="Z195" s="319"/>
      <c r="AA195" s="319"/>
      <c r="AB195" s="319"/>
      <c r="AC195" s="319"/>
      <c r="AD195" s="319"/>
      <c r="AE195" s="319"/>
      <c r="AF195" s="319"/>
      <c r="AG195" s="319"/>
      <c r="AH195" s="319"/>
      <c r="AI195" s="319"/>
      <c r="AJ195" s="319"/>
    </row>
    <row r="196" ht="15.75" customHeight="1">
      <c r="A196" s="217"/>
      <c r="B196" s="217"/>
      <c r="C196" s="217"/>
      <c r="F196" s="298"/>
      <c r="G196" s="298"/>
      <c r="Q196" s="319"/>
      <c r="R196" s="319"/>
      <c r="S196" s="319"/>
      <c r="T196" s="319"/>
      <c r="U196" s="319"/>
      <c r="V196" s="319"/>
      <c r="W196" s="319"/>
      <c r="X196" s="319"/>
      <c r="Y196" s="319"/>
      <c r="Z196" s="319"/>
      <c r="AA196" s="319"/>
      <c r="AB196" s="319"/>
      <c r="AC196" s="319"/>
      <c r="AD196" s="319"/>
      <c r="AE196" s="319"/>
      <c r="AF196" s="319"/>
      <c r="AG196" s="319"/>
      <c r="AH196" s="319"/>
      <c r="AI196" s="319"/>
      <c r="AJ196" s="319"/>
    </row>
    <row r="197" ht="15.75" customHeight="1">
      <c r="A197" s="217"/>
      <c r="B197" s="217"/>
      <c r="C197" s="217"/>
      <c r="F197" s="298"/>
      <c r="G197" s="298"/>
      <c r="Q197" s="319"/>
      <c r="R197" s="319"/>
      <c r="S197" s="319"/>
      <c r="T197" s="319"/>
      <c r="U197" s="319"/>
      <c r="V197" s="319"/>
      <c r="W197" s="319"/>
      <c r="X197" s="319"/>
      <c r="Y197" s="319"/>
      <c r="Z197" s="319"/>
      <c r="AA197" s="319"/>
      <c r="AB197" s="319"/>
      <c r="AC197" s="319"/>
      <c r="AD197" s="319"/>
      <c r="AE197" s="319"/>
      <c r="AF197" s="319"/>
      <c r="AG197" s="319"/>
      <c r="AH197" s="319"/>
      <c r="AI197" s="319"/>
      <c r="AJ197" s="319"/>
    </row>
    <row r="198" ht="15.75" customHeight="1">
      <c r="A198" s="217"/>
      <c r="B198" s="217"/>
      <c r="C198" s="217"/>
      <c r="F198" s="298"/>
      <c r="G198" s="298"/>
      <c r="Q198" s="319"/>
      <c r="R198" s="319"/>
      <c r="S198" s="319"/>
      <c r="T198" s="319"/>
      <c r="U198" s="319"/>
      <c r="V198" s="319"/>
      <c r="W198" s="319"/>
      <c r="X198" s="319"/>
      <c r="Y198" s="319"/>
      <c r="Z198" s="319"/>
      <c r="AA198" s="319"/>
      <c r="AB198" s="319"/>
      <c r="AC198" s="319"/>
      <c r="AD198" s="319"/>
      <c r="AE198" s="319"/>
      <c r="AF198" s="319"/>
      <c r="AG198" s="319"/>
      <c r="AH198" s="319"/>
      <c r="AI198" s="319"/>
      <c r="AJ198" s="319"/>
    </row>
    <row r="199" ht="15.75" customHeight="1">
      <c r="A199" s="217"/>
      <c r="B199" s="217"/>
      <c r="C199" s="217"/>
      <c r="F199" s="298"/>
      <c r="G199" s="298"/>
      <c r="Q199" s="319"/>
      <c r="R199" s="319"/>
      <c r="S199" s="319"/>
      <c r="T199" s="319"/>
      <c r="U199" s="319"/>
      <c r="V199" s="319"/>
      <c r="W199" s="319"/>
      <c r="X199" s="319"/>
      <c r="Y199" s="319"/>
      <c r="Z199" s="319"/>
      <c r="AA199" s="319"/>
      <c r="AB199" s="319"/>
      <c r="AC199" s="319"/>
      <c r="AD199" s="319"/>
      <c r="AE199" s="319"/>
      <c r="AF199" s="319"/>
      <c r="AG199" s="319"/>
      <c r="AH199" s="319"/>
      <c r="AI199" s="319"/>
      <c r="AJ199" s="319"/>
    </row>
    <row r="200" ht="15.75" customHeight="1">
      <c r="A200" s="217"/>
      <c r="B200" s="217"/>
      <c r="C200" s="217"/>
      <c r="F200" s="298"/>
      <c r="G200" s="298"/>
      <c r="Q200" s="319"/>
      <c r="R200" s="319"/>
      <c r="S200" s="319"/>
      <c r="T200" s="319"/>
      <c r="U200" s="319"/>
      <c r="V200" s="319"/>
      <c r="W200" s="319"/>
      <c r="X200" s="319"/>
      <c r="Y200" s="319"/>
      <c r="Z200" s="319"/>
      <c r="AA200" s="319"/>
      <c r="AB200" s="319"/>
      <c r="AC200" s="319"/>
      <c r="AD200" s="319"/>
      <c r="AE200" s="319"/>
      <c r="AF200" s="319"/>
      <c r="AG200" s="319"/>
      <c r="AH200" s="319"/>
      <c r="AI200" s="319"/>
      <c r="AJ200" s="319"/>
    </row>
    <row r="201" ht="15.75" customHeight="1">
      <c r="A201" s="217"/>
      <c r="B201" s="217"/>
      <c r="C201" s="217"/>
      <c r="F201" s="298"/>
      <c r="G201" s="298"/>
      <c r="Q201" s="319"/>
      <c r="R201" s="319"/>
      <c r="S201" s="319"/>
      <c r="T201" s="319"/>
      <c r="U201" s="319"/>
      <c r="V201" s="319"/>
      <c r="W201" s="319"/>
      <c r="X201" s="319"/>
      <c r="Y201" s="319"/>
      <c r="Z201" s="319"/>
      <c r="AA201" s="319"/>
      <c r="AB201" s="319"/>
      <c r="AC201" s="319"/>
      <c r="AD201" s="319"/>
      <c r="AE201" s="319"/>
      <c r="AF201" s="319"/>
      <c r="AG201" s="319"/>
      <c r="AH201" s="319"/>
      <c r="AI201" s="319"/>
      <c r="AJ201" s="319"/>
    </row>
    <row r="202" ht="15.75" customHeight="1">
      <c r="A202" s="217"/>
      <c r="B202" s="217"/>
      <c r="C202" s="217"/>
      <c r="F202" s="298"/>
      <c r="G202" s="298"/>
      <c r="Q202" s="319"/>
      <c r="R202" s="319"/>
      <c r="S202" s="319"/>
      <c r="T202" s="319"/>
      <c r="U202" s="319"/>
      <c r="V202" s="319"/>
      <c r="W202" s="319"/>
      <c r="X202" s="319"/>
      <c r="Y202" s="319"/>
      <c r="Z202" s="319"/>
      <c r="AA202" s="319"/>
      <c r="AB202" s="319"/>
      <c r="AC202" s="319"/>
      <c r="AD202" s="319"/>
      <c r="AE202" s="319"/>
      <c r="AF202" s="319"/>
      <c r="AG202" s="319"/>
      <c r="AH202" s="319"/>
      <c r="AI202" s="319"/>
      <c r="AJ202" s="319"/>
    </row>
    <row r="203" ht="15.75" customHeight="1">
      <c r="A203" s="217"/>
      <c r="B203" s="217"/>
      <c r="C203" s="217"/>
      <c r="F203" s="298"/>
      <c r="G203" s="298"/>
      <c r="Q203" s="319"/>
      <c r="R203" s="319"/>
      <c r="S203" s="319"/>
      <c r="T203" s="319"/>
      <c r="U203" s="319"/>
      <c r="V203" s="319"/>
      <c r="W203" s="319"/>
      <c r="X203" s="319"/>
      <c r="Y203" s="319"/>
      <c r="Z203" s="319"/>
      <c r="AA203" s="319"/>
      <c r="AB203" s="319"/>
      <c r="AC203" s="319"/>
      <c r="AD203" s="319"/>
      <c r="AE203" s="319"/>
      <c r="AF203" s="319"/>
      <c r="AG203" s="319"/>
      <c r="AH203" s="319"/>
      <c r="AI203" s="319"/>
      <c r="AJ203" s="319"/>
    </row>
    <row r="204" ht="15.75" customHeight="1">
      <c r="A204" s="217"/>
      <c r="B204" s="217"/>
      <c r="C204" s="217"/>
      <c r="F204" s="298"/>
      <c r="G204" s="298"/>
      <c r="Q204" s="319"/>
      <c r="R204" s="319"/>
      <c r="S204" s="319"/>
      <c r="T204" s="319"/>
      <c r="U204" s="319"/>
      <c r="V204" s="319"/>
      <c r="W204" s="319"/>
      <c r="X204" s="319"/>
      <c r="Y204" s="319"/>
      <c r="Z204" s="319"/>
      <c r="AA204" s="319"/>
      <c r="AB204" s="319"/>
      <c r="AC204" s="319"/>
      <c r="AD204" s="319"/>
      <c r="AE204" s="319"/>
      <c r="AF204" s="319"/>
      <c r="AG204" s="319"/>
      <c r="AH204" s="319"/>
      <c r="AI204" s="319"/>
      <c r="AJ204" s="319"/>
    </row>
    <row r="205" ht="15.75" customHeight="1">
      <c r="A205" s="217"/>
      <c r="B205" s="217"/>
      <c r="C205" s="217"/>
      <c r="F205" s="298"/>
      <c r="G205" s="298"/>
      <c r="Q205" s="319"/>
      <c r="R205" s="319"/>
      <c r="S205" s="319"/>
      <c r="T205" s="319"/>
      <c r="U205" s="319"/>
      <c r="V205" s="319"/>
      <c r="W205" s="319"/>
      <c r="X205" s="319"/>
      <c r="Y205" s="319"/>
      <c r="Z205" s="319"/>
      <c r="AA205" s="319"/>
      <c r="AB205" s="319"/>
      <c r="AC205" s="319"/>
      <c r="AD205" s="319"/>
      <c r="AE205" s="319"/>
      <c r="AF205" s="319"/>
      <c r="AG205" s="319"/>
      <c r="AH205" s="319"/>
      <c r="AI205" s="319"/>
      <c r="AJ205" s="319"/>
    </row>
    <row r="206" ht="15.75" customHeight="1">
      <c r="A206" s="217"/>
      <c r="B206" s="217"/>
      <c r="C206" s="217"/>
      <c r="F206" s="298"/>
      <c r="G206" s="298"/>
      <c r="Q206" s="319"/>
      <c r="R206" s="319"/>
      <c r="S206" s="319"/>
      <c r="T206" s="319"/>
      <c r="U206" s="319"/>
      <c r="V206" s="319"/>
      <c r="W206" s="319"/>
      <c r="X206" s="319"/>
      <c r="Y206" s="319"/>
      <c r="Z206" s="319"/>
      <c r="AA206" s="319"/>
      <c r="AB206" s="319"/>
      <c r="AC206" s="319"/>
      <c r="AD206" s="319"/>
      <c r="AE206" s="319"/>
      <c r="AF206" s="319"/>
      <c r="AG206" s="319"/>
      <c r="AH206" s="319"/>
      <c r="AI206" s="319"/>
      <c r="AJ206" s="319"/>
    </row>
    <row r="207" ht="15.75" customHeight="1">
      <c r="A207" s="217"/>
      <c r="B207" s="217"/>
      <c r="C207" s="217"/>
      <c r="F207" s="298"/>
      <c r="G207" s="298"/>
      <c r="Q207" s="319"/>
      <c r="R207" s="319"/>
      <c r="S207" s="319"/>
      <c r="T207" s="319"/>
      <c r="U207" s="319"/>
      <c r="V207" s="319"/>
      <c r="W207" s="319"/>
      <c r="X207" s="319"/>
      <c r="Y207" s="319"/>
      <c r="Z207" s="319"/>
      <c r="AA207" s="319"/>
      <c r="AB207" s="319"/>
      <c r="AC207" s="319"/>
      <c r="AD207" s="319"/>
      <c r="AE207" s="319"/>
      <c r="AF207" s="319"/>
      <c r="AG207" s="319"/>
      <c r="AH207" s="319"/>
      <c r="AI207" s="319"/>
      <c r="AJ207" s="319"/>
    </row>
    <row r="208" ht="15.75" customHeight="1">
      <c r="A208" s="217"/>
      <c r="B208" s="217"/>
      <c r="C208" s="217"/>
      <c r="F208" s="298"/>
      <c r="G208" s="298"/>
      <c r="Q208" s="319"/>
      <c r="R208" s="319"/>
      <c r="S208" s="319"/>
      <c r="T208" s="319"/>
      <c r="U208" s="319"/>
      <c r="V208" s="319"/>
      <c r="W208" s="319"/>
      <c r="X208" s="319"/>
      <c r="Y208" s="319"/>
      <c r="Z208" s="319"/>
      <c r="AA208" s="319"/>
      <c r="AB208" s="319"/>
      <c r="AC208" s="319"/>
      <c r="AD208" s="319"/>
      <c r="AE208" s="319"/>
      <c r="AF208" s="319"/>
      <c r="AG208" s="319"/>
      <c r="AH208" s="319"/>
      <c r="AI208" s="319"/>
      <c r="AJ208" s="319"/>
    </row>
    <row r="209" ht="15.75" customHeight="1">
      <c r="A209" s="217"/>
      <c r="B209" s="217"/>
      <c r="C209" s="217"/>
      <c r="F209" s="298"/>
      <c r="G209" s="298"/>
      <c r="Q209" s="319"/>
      <c r="R209" s="319"/>
      <c r="S209" s="319"/>
      <c r="T209" s="319"/>
      <c r="U209" s="319"/>
      <c r="V209" s="319"/>
      <c r="W209" s="319"/>
      <c r="X209" s="319"/>
      <c r="Y209" s="319"/>
      <c r="Z209" s="319"/>
      <c r="AA209" s="319"/>
      <c r="AB209" s="319"/>
      <c r="AC209" s="319"/>
      <c r="AD209" s="319"/>
      <c r="AE209" s="319"/>
      <c r="AF209" s="319"/>
      <c r="AG209" s="319"/>
      <c r="AH209" s="319"/>
      <c r="AI209" s="319"/>
      <c r="AJ209" s="319"/>
    </row>
    <row r="210" ht="15.75" customHeight="1">
      <c r="A210" s="217"/>
      <c r="B210" s="217"/>
      <c r="C210" s="217"/>
      <c r="F210" s="298"/>
      <c r="G210" s="298"/>
      <c r="Q210" s="319"/>
      <c r="R210" s="319"/>
      <c r="S210" s="319"/>
      <c r="T210" s="319"/>
      <c r="U210" s="319"/>
      <c r="V210" s="319"/>
      <c r="W210" s="319"/>
      <c r="X210" s="319"/>
      <c r="Y210" s="319"/>
      <c r="Z210" s="319"/>
      <c r="AA210" s="319"/>
      <c r="AB210" s="319"/>
      <c r="AC210" s="319"/>
      <c r="AD210" s="319"/>
      <c r="AE210" s="319"/>
      <c r="AF210" s="319"/>
      <c r="AG210" s="319"/>
      <c r="AH210" s="319"/>
      <c r="AI210" s="319"/>
      <c r="AJ210" s="319"/>
    </row>
    <row r="211" ht="15.75" customHeight="1">
      <c r="A211" s="217"/>
      <c r="B211" s="217"/>
      <c r="C211" s="217"/>
      <c r="F211" s="298"/>
      <c r="G211" s="298"/>
      <c r="Q211" s="319"/>
      <c r="R211" s="319"/>
      <c r="S211" s="319"/>
      <c r="T211" s="319"/>
      <c r="U211" s="319"/>
      <c r="V211" s="319"/>
      <c r="W211" s="319"/>
      <c r="X211" s="319"/>
      <c r="Y211" s="319"/>
      <c r="Z211" s="319"/>
      <c r="AA211" s="319"/>
      <c r="AB211" s="319"/>
      <c r="AC211" s="319"/>
      <c r="AD211" s="319"/>
      <c r="AE211" s="319"/>
      <c r="AF211" s="319"/>
      <c r="AG211" s="319"/>
      <c r="AH211" s="319"/>
      <c r="AI211" s="319"/>
      <c r="AJ211" s="319"/>
    </row>
    <row r="212" ht="15.75" customHeight="1">
      <c r="A212" s="217"/>
      <c r="B212" s="217"/>
      <c r="C212" s="217"/>
      <c r="F212" s="298"/>
      <c r="G212" s="298"/>
      <c r="Q212" s="319"/>
      <c r="R212" s="319"/>
      <c r="S212" s="319"/>
      <c r="T212" s="319"/>
      <c r="U212" s="319"/>
      <c r="V212" s="319"/>
      <c r="W212" s="319"/>
      <c r="X212" s="319"/>
      <c r="Y212" s="319"/>
      <c r="Z212" s="319"/>
      <c r="AA212" s="319"/>
      <c r="AB212" s="319"/>
      <c r="AC212" s="319"/>
      <c r="AD212" s="319"/>
      <c r="AE212" s="319"/>
      <c r="AF212" s="319"/>
      <c r="AG212" s="319"/>
      <c r="AH212" s="319"/>
      <c r="AI212" s="319"/>
      <c r="AJ212" s="319"/>
    </row>
    <row r="213" ht="15.75" customHeight="1">
      <c r="A213" s="217"/>
      <c r="B213" s="217"/>
      <c r="C213" s="217"/>
      <c r="F213" s="298"/>
      <c r="G213" s="298"/>
      <c r="Q213" s="319"/>
      <c r="R213" s="319"/>
      <c r="S213" s="319"/>
      <c r="T213" s="319"/>
      <c r="U213" s="319"/>
      <c r="V213" s="319"/>
      <c r="W213" s="319"/>
      <c r="X213" s="319"/>
      <c r="Y213" s="319"/>
      <c r="Z213" s="319"/>
      <c r="AA213" s="319"/>
      <c r="AB213" s="319"/>
      <c r="AC213" s="319"/>
      <c r="AD213" s="319"/>
      <c r="AE213" s="319"/>
      <c r="AF213" s="319"/>
      <c r="AG213" s="319"/>
      <c r="AH213" s="319"/>
      <c r="AI213" s="319"/>
      <c r="AJ213" s="319"/>
    </row>
    <row r="214" ht="15.75" customHeight="1">
      <c r="A214" s="217"/>
      <c r="B214" s="217"/>
      <c r="C214" s="217"/>
      <c r="F214" s="298"/>
      <c r="G214" s="298"/>
      <c r="Q214" s="319"/>
      <c r="R214" s="319"/>
      <c r="S214" s="319"/>
      <c r="T214" s="319"/>
      <c r="U214" s="319"/>
      <c r="V214" s="319"/>
      <c r="W214" s="319"/>
      <c r="X214" s="319"/>
      <c r="Y214" s="319"/>
      <c r="Z214" s="319"/>
      <c r="AA214" s="319"/>
      <c r="AB214" s="319"/>
      <c r="AC214" s="319"/>
      <c r="AD214" s="319"/>
      <c r="AE214" s="319"/>
      <c r="AF214" s="319"/>
      <c r="AG214" s="319"/>
      <c r="AH214" s="319"/>
      <c r="AI214" s="319"/>
      <c r="AJ214" s="319"/>
    </row>
    <row r="215" ht="15.75" customHeight="1">
      <c r="A215" s="217"/>
      <c r="B215" s="217"/>
      <c r="C215" s="217"/>
      <c r="F215" s="298"/>
      <c r="G215" s="298"/>
      <c r="Q215" s="319"/>
      <c r="R215" s="319"/>
      <c r="S215" s="319"/>
      <c r="T215" s="319"/>
      <c r="U215" s="319"/>
      <c r="V215" s="319"/>
      <c r="W215" s="319"/>
      <c r="X215" s="319"/>
      <c r="Y215" s="319"/>
      <c r="Z215" s="319"/>
      <c r="AA215" s="319"/>
      <c r="AB215" s="319"/>
      <c r="AC215" s="319"/>
      <c r="AD215" s="319"/>
      <c r="AE215" s="319"/>
      <c r="AF215" s="319"/>
      <c r="AG215" s="319"/>
      <c r="AH215" s="319"/>
      <c r="AI215" s="319"/>
      <c r="AJ215" s="319"/>
    </row>
    <row r="216" ht="15.75" customHeight="1">
      <c r="A216" s="217"/>
      <c r="B216" s="217"/>
      <c r="C216" s="217"/>
      <c r="F216" s="298"/>
      <c r="G216" s="298"/>
      <c r="Q216" s="319"/>
      <c r="R216" s="319"/>
      <c r="S216" s="319"/>
      <c r="T216" s="319"/>
      <c r="U216" s="319"/>
      <c r="V216" s="319"/>
      <c r="W216" s="319"/>
      <c r="X216" s="319"/>
      <c r="Y216" s="319"/>
      <c r="Z216" s="319"/>
      <c r="AA216" s="319"/>
      <c r="AB216" s="319"/>
      <c r="AC216" s="319"/>
      <c r="AD216" s="319"/>
      <c r="AE216" s="319"/>
      <c r="AF216" s="319"/>
      <c r="AG216" s="319"/>
      <c r="AH216" s="319"/>
      <c r="AI216" s="319"/>
      <c r="AJ216" s="319"/>
    </row>
    <row r="217" ht="15.75" customHeight="1">
      <c r="A217" s="217"/>
      <c r="B217" s="217"/>
      <c r="C217" s="217"/>
      <c r="F217" s="298"/>
      <c r="G217" s="298"/>
      <c r="Q217" s="319"/>
      <c r="R217" s="319"/>
      <c r="S217" s="319"/>
      <c r="T217" s="319"/>
      <c r="U217" s="319"/>
      <c r="V217" s="319"/>
      <c r="W217" s="319"/>
      <c r="X217" s="319"/>
      <c r="Y217" s="319"/>
      <c r="Z217" s="319"/>
      <c r="AA217" s="319"/>
      <c r="AB217" s="319"/>
      <c r="AC217" s="319"/>
      <c r="AD217" s="319"/>
      <c r="AE217" s="319"/>
      <c r="AF217" s="319"/>
      <c r="AG217" s="319"/>
      <c r="AH217" s="319"/>
      <c r="AI217" s="319"/>
      <c r="AJ217" s="319"/>
    </row>
    <row r="218" ht="15.75" customHeight="1">
      <c r="A218" s="217"/>
      <c r="B218" s="217"/>
      <c r="C218" s="217"/>
      <c r="F218" s="298"/>
      <c r="G218" s="298"/>
      <c r="Q218" s="319"/>
      <c r="R218" s="319"/>
      <c r="S218" s="319"/>
      <c r="T218" s="319"/>
      <c r="U218" s="319"/>
      <c r="V218" s="319"/>
      <c r="W218" s="319"/>
      <c r="X218" s="319"/>
      <c r="Y218" s="319"/>
      <c r="Z218" s="319"/>
      <c r="AA218" s="319"/>
      <c r="AB218" s="319"/>
      <c r="AC218" s="319"/>
      <c r="AD218" s="319"/>
      <c r="AE218" s="319"/>
      <c r="AF218" s="319"/>
      <c r="AG218" s="319"/>
      <c r="AH218" s="319"/>
      <c r="AI218" s="319"/>
      <c r="AJ218" s="319"/>
    </row>
    <row r="219" ht="15.75" customHeight="1">
      <c r="A219" s="217"/>
      <c r="B219" s="217"/>
      <c r="C219" s="217"/>
      <c r="F219" s="298"/>
      <c r="G219" s="298"/>
      <c r="Q219" s="319"/>
      <c r="R219" s="319"/>
      <c r="S219" s="319"/>
      <c r="T219" s="319"/>
      <c r="U219" s="319"/>
      <c r="V219" s="319"/>
      <c r="W219" s="319"/>
      <c r="X219" s="319"/>
      <c r="Y219" s="319"/>
      <c r="Z219" s="319"/>
      <c r="AA219" s="319"/>
      <c r="AB219" s="319"/>
      <c r="AC219" s="319"/>
      <c r="AD219" s="319"/>
      <c r="AE219" s="319"/>
      <c r="AF219" s="319"/>
      <c r="AG219" s="319"/>
      <c r="AH219" s="319"/>
      <c r="AI219" s="319"/>
      <c r="AJ219" s="319"/>
    </row>
    <row r="220" ht="15.75" customHeight="1">
      <c r="A220" s="217"/>
      <c r="B220" s="217"/>
      <c r="C220" s="217"/>
      <c r="F220" s="298"/>
      <c r="G220" s="298"/>
      <c r="Q220" s="319"/>
      <c r="R220" s="319"/>
      <c r="S220" s="319"/>
      <c r="T220" s="319"/>
      <c r="U220" s="319"/>
      <c r="V220" s="319"/>
      <c r="W220" s="319"/>
      <c r="X220" s="319"/>
      <c r="Y220" s="319"/>
      <c r="Z220" s="319"/>
      <c r="AA220" s="319"/>
      <c r="AB220" s="319"/>
      <c r="AC220" s="319"/>
      <c r="AD220" s="319"/>
      <c r="AE220" s="319"/>
      <c r="AF220" s="319"/>
      <c r="AG220" s="319"/>
      <c r="AH220" s="319"/>
      <c r="AI220" s="319"/>
      <c r="AJ220" s="319"/>
    </row>
    <row r="221" ht="15.75" customHeight="1">
      <c r="A221" s="217"/>
      <c r="B221" s="217"/>
      <c r="C221" s="217"/>
      <c r="F221" s="298"/>
      <c r="G221" s="298"/>
      <c r="Q221" s="319"/>
      <c r="R221" s="319"/>
      <c r="S221" s="319"/>
      <c r="T221" s="319"/>
      <c r="U221" s="319"/>
      <c r="V221" s="319"/>
      <c r="W221" s="319"/>
      <c r="X221" s="319"/>
      <c r="Y221" s="319"/>
      <c r="Z221" s="319"/>
      <c r="AA221" s="319"/>
      <c r="AB221" s="319"/>
      <c r="AC221" s="319"/>
      <c r="AD221" s="319"/>
      <c r="AE221" s="319"/>
      <c r="AF221" s="319"/>
      <c r="AG221" s="319"/>
      <c r="AH221" s="319"/>
      <c r="AI221" s="319"/>
      <c r="AJ221" s="319"/>
    </row>
    <row r="222" ht="15.75" customHeight="1">
      <c r="A222" s="217"/>
      <c r="B222" s="217"/>
      <c r="C222" s="217"/>
      <c r="F222" s="298"/>
      <c r="G222" s="298"/>
      <c r="Q222" s="319"/>
      <c r="R222" s="319"/>
      <c r="S222" s="319"/>
      <c r="T222" s="319"/>
      <c r="U222" s="319"/>
      <c r="V222" s="319"/>
      <c r="W222" s="319"/>
      <c r="X222" s="319"/>
      <c r="Y222" s="319"/>
      <c r="Z222" s="319"/>
      <c r="AA222" s="319"/>
      <c r="AB222" s="319"/>
      <c r="AC222" s="319"/>
      <c r="AD222" s="319"/>
      <c r="AE222" s="319"/>
      <c r="AF222" s="319"/>
      <c r="AG222" s="319"/>
      <c r="AH222" s="319"/>
      <c r="AI222" s="319"/>
      <c r="AJ222" s="319"/>
    </row>
    <row r="223" ht="15.75" customHeight="1">
      <c r="A223" s="217"/>
      <c r="B223" s="217"/>
      <c r="C223" s="217"/>
      <c r="F223" s="298"/>
      <c r="G223" s="298"/>
      <c r="Q223" s="319"/>
      <c r="R223" s="319"/>
      <c r="S223" s="319"/>
      <c r="T223" s="319"/>
      <c r="U223" s="319"/>
      <c r="V223" s="319"/>
      <c r="W223" s="319"/>
      <c r="X223" s="319"/>
      <c r="Y223" s="319"/>
      <c r="Z223" s="319"/>
      <c r="AA223" s="319"/>
      <c r="AB223" s="319"/>
      <c r="AC223" s="319"/>
      <c r="AD223" s="319"/>
      <c r="AE223" s="319"/>
      <c r="AF223" s="319"/>
      <c r="AG223" s="319"/>
      <c r="AH223" s="319"/>
      <c r="AI223" s="319"/>
      <c r="AJ223" s="319"/>
    </row>
    <row r="224" ht="15.75" customHeight="1">
      <c r="A224" s="217"/>
      <c r="B224" s="217"/>
      <c r="C224" s="217"/>
      <c r="F224" s="298"/>
      <c r="G224" s="298"/>
      <c r="Q224" s="319"/>
      <c r="R224" s="319"/>
      <c r="S224" s="319"/>
      <c r="T224" s="319"/>
      <c r="U224" s="319"/>
      <c r="V224" s="319"/>
      <c r="W224" s="319"/>
      <c r="X224" s="319"/>
      <c r="Y224" s="319"/>
      <c r="Z224" s="319"/>
      <c r="AA224" s="319"/>
      <c r="AB224" s="319"/>
      <c r="AC224" s="319"/>
      <c r="AD224" s="319"/>
      <c r="AE224" s="319"/>
      <c r="AF224" s="319"/>
      <c r="AG224" s="319"/>
      <c r="AH224" s="319"/>
      <c r="AI224" s="319"/>
      <c r="AJ224" s="319"/>
    </row>
    <row r="225" ht="15.75" customHeight="1">
      <c r="A225" s="217"/>
      <c r="B225" s="217"/>
      <c r="C225" s="217"/>
      <c r="F225" s="298"/>
      <c r="G225" s="298"/>
      <c r="Q225" s="319"/>
      <c r="R225" s="319"/>
      <c r="S225" s="319"/>
      <c r="T225" s="319"/>
      <c r="U225" s="319"/>
      <c r="V225" s="319"/>
      <c r="W225" s="319"/>
      <c r="X225" s="319"/>
      <c r="Y225" s="319"/>
      <c r="Z225" s="319"/>
      <c r="AA225" s="319"/>
      <c r="AB225" s="319"/>
      <c r="AC225" s="319"/>
      <c r="AD225" s="319"/>
      <c r="AE225" s="319"/>
      <c r="AF225" s="319"/>
      <c r="AG225" s="319"/>
      <c r="AH225" s="319"/>
      <c r="AI225" s="319"/>
      <c r="AJ225" s="319"/>
    </row>
    <row r="226" ht="15.75" customHeight="1">
      <c r="A226" s="217"/>
      <c r="B226" s="217"/>
      <c r="C226" s="217"/>
      <c r="F226" s="298"/>
      <c r="G226" s="298"/>
      <c r="Q226" s="319"/>
      <c r="R226" s="319"/>
      <c r="S226" s="319"/>
      <c r="T226" s="319"/>
      <c r="U226" s="319"/>
      <c r="V226" s="319"/>
      <c r="W226" s="319"/>
      <c r="X226" s="319"/>
      <c r="Y226" s="319"/>
      <c r="Z226" s="319"/>
      <c r="AA226" s="319"/>
      <c r="AB226" s="319"/>
      <c r="AC226" s="319"/>
      <c r="AD226" s="319"/>
      <c r="AE226" s="319"/>
      <c r="AF226" s="319"/>
      <c r="AG226" s="319"/>
      <c r="AH226" s="319"/>
      <c r="AI226" s="319"/>
      <c r="AJ226" s="319"/>
    </row>
    <row r="227" ht="15.75" customHeight="1">
      <c r="A227" s="217"/>
      <c r="B227" s="217"/>
      <c r="C227" s="217"/>
      <c r="F227" s="298"/>
      <c r="G227" s="298"/>
      <c r="Q227" s="319"/>
      <c r="R227" s="319"/>
      <c r="S227" s="319"/>
      <c r="T227" s="319"/>
      <c r="U227" s="319"/>
      <c r="V227" s="319"/>
      <c r="W227" s="319"/>
      <c r="X227" s="319"/>
      <c r="Y227" s="319"/>
      <c r="Z227" s="319"/>
      <c r="AA227" s="319"/>
      <c r="AB227" s="319"/>
      <c r="AC227" s="319"/>
      <c r="AD227" s="319"/>
      <c r="AE227" s="319"/>
      <c r="AF227" s="319"/>
      <c r="AG227" s="319"/>
      <c r="AH227" s="319"/>
      <c r="AI227" s="319"/>
      <c r="AJ227" s="319"/>
    </row>
    <row r="228" ht="15.75" customHeight="1">
      <c r="A228" s="217"/>
      <c r="B228" s="217"/>
      <c r="C228" s="217"/>
      <c r="F228" s="298"/>
      <c r="G228" s="298"/>
      <c r="Q228" s="319"/>
      <c r="R228" s="319"/>
      <c r="S228" s="319"/>
      <c r="T228" s="319"/>
      <c r="U228" s="319"/>
      <c r="V228" s="319"/>
      <c r="W228" s="319"/>
      <c r="X228" s="319"/>
      <c r="Y228" s="319"/>
      <c r="Z228" s="319"/>
      <c r="AA228" s="319"/>
      <c r="AB228" s="319"/>
      <c r="AC228" s="319"/>
      <c r="AD228" s="319"/>
      <c r="AE228" s="319"/>
      <c r="AF228" s="319"/>
      <c r="AG228" s="319"/>
      <c r="AH228" s="319"/>
      <c r="AI228" s="319"/>
      <c r="AJ228" s="319"/>
    </row>
    <row r="229" ht="15.75" customHeight="1">
      <c r="A229" s="217"/>
      <c r="B229" s="217"/>
      <c r="C229" s="217"/>
      <c r="F229" s="298"/>
      <c r="G229" s="298"/>
      <c r="Q229" s="319"/>
      <c r="R229" s="319"/>
      <c r="S229" s="319"/>
      <c r="T229" s="319"/>
      <c r="U229" s="319"/>
      <c r="V229" s="319"/>
      <c r="W229" s="319"/>
      <c r="X229" s="319"/>
      <c r="Y229" s="319"/>
      <c r="Z229" s="319"/>
      <c r="AA229" s="319"/>
      <c r="AB229" s="319"/>
      <c r="AC229" s="319"/>
      <c r="AD229" s="319"/>
      <c r="AE229" s="319"/>
      <c r="AF229" s="319"/>
      <c r="AG229" s="319"/>
      <c r="AH229" s="319"/>
      <c r="AI229" s="319"/>
      <c r="AJ229" s="319"/>
    </row>
    <row r="230" ht="15.75" customHeight="1">
      <c r="A230" s="217"/>
      <c r="B230" s="217"/>
      <c r="C230" s="217"/>
      <c r="F230" s="298"/>
      <c r="G230" s="298"/>
      <c r="Q230" s="319"/>
      <c r="R230" s="319"/>
      <c r="S230" s="319"/>
      <c r="T230" s="319"/>
      <c r="U230" s="319"/>
      <c r="V230" s="319"/>
      <c r="W230" s="319"/>
      <c r="X230" s="319"/>
      <c r="Y230" s="319"/>
      <c r="Z230" s="319"/>
      <c r="AA230" s="319"/>
      <c r="AB230" s="319"/>
      <c r="AC230" s="319"/>
      <c r="AD230" s="319"/>
      <c r="AE230" s="319"/>
      <c r="AF230" s="319"/>
      <c r="AG230" s="319"/>
      <c r="AH230" s="319"/>
      <c r="AI230" s="319"/>
      <c r="AJ230" s="319"/>
    </row>
    <row r="231" ht="15.75" customHeight="1">
      <c r="A231" s="217"/>
      <c r="B231" s="217"/>
      <c r="C231" s="217"/>
      <c r="F231" s="298"/>
      <c r="G231" s="298"/>
      <c r="Q231" s="319"/>
      <c r="R231" s="319"/>
      <c r="S231" s="319"/>
      <c r="T231" s="319"/>
      <c r="U231" s="319"/>
      <c r="V231" s="319"/>
      <c r="W231" s="319"/>
      <c r="X231" s="319"/>
      <c r="Y231" s="319"/>
      <c r="Z231" s="319"/>
      <c r="AA231" s="319"/>
      <c r="AB231" s="319"/>
      <c r="AC231" s="319"/>
      <c r="AD231" s="319"/>
      <c r="AE231" s="319"/>
      <c r="AF231" s="319"/>
      <c r="AG231" s="319"/>
      <c r="AH231" s="319"/>
      <c r="AI231" s="319"/>
      <c r="AJ231" s="319"/>
    </row>
    <row r="232" ht="15.75" customHeight="1">
      <c r="A232" s="217"/>
      <c r="B232" s="217"/>
      <c r="C232" s="217"/>
      <c r="F232" s="298"/>
      <c r="G232" s="298"/>
      <c r="Q232" s="319"/>
      <c r="R232" s="319"/>
      <c r="S232" s="319"/>
      <c r="T232" s="319"/>
      <c r="U232" s="319"/>
      <c r="V232" s="319"/>
      <c r="W232" s="319"/>
      <c r="X232" s="319"/>
      <c r="Y232" s="319"/>
      <c r="Z232" s="319"/>
      <c r="AA232" s="319"/>
      <c r="AB232" s="319"/>
      <c r="AC232" s="319"/>
      <c r="AD232" s="319"/>
      <c r="AE232" s="319"/>
      <c r="AF232" s="319"/>
      <c r="AG232" s="319"/>
      <c r="AH232" s="319"/>
      <c r="AI232" s="319"/>
      <c r="AJ232" s="319"/>
    </row>
    <row r="233" ht="15.75" customHeight="1">
      <c r="A233" s="217"/>
      <c r="B233" s="217"/>
      <c r="C233" s="217"/>
      <c r="F233" s="298"/>
      <c r="G233" s="298"/>
      <c r="Q233" s="319"/>
      <c r="R233" s="319"/>
      <c r="S233" s="319"/>
      <c r="T233" s="319"/>
      <c r="U233" s="319"/>
      <c r="V233" s="319"/>
      <c r="W233" s="319"/>
      <c r="X233" s="319"/>
      <c r="Y233" s="319"/>
      <c r="Z233" s="319"/>
      <c r="AA233" s="319"/>
      <c r="AB233" s="319"/>
      <c r="AC233" s="319"/>
      <c r="AD233" s="319"/>
      <c r="AE233" s="319"/>
      <c r="AF233" s="319"/>
      <c r="AG233" s="319"/>
      <c r="AH233" s="319"/>
      <c r="AI233" s="319"/>
      <c r="AJ233" s="319"/>
    </row>
    <row r="234" ht="15.75" customHeight="1">
      <c r="A234" s="217"/>
      <c r="B234" s="217"/>
      <c r="C234" s="217"/>
      <c r="F234" s="298"/>
      <c r="G234" s="298"/>
      <c r="Q234" s="319"/>
      <c r="R234" s="319"/>
      <c r="S234" s="319"/>
      <c r="T234" s="319"/>
      <c r="U234" s="319"/>
      <c r="V234" s="319"/>
      <c r="W234" s="319"/>
      <c r="X234" s="319"/>
      <c r="Y234" s="319"/>
      <c r="Z234" s="319"/>
      <c r="AA234" s="319"/>
      <c r="AB234" s="319"/>
      <c r="AC234" s="319"/>
      <c r="AD234" s="319"/>
      <c r="AE234" s="319"/>
      <c r="AF234" s="319"/>
      <c r="AG234" s="319"/>
      <c r="AH234" s="319"/>
      <c r="AI234" s="319"/>
      <c r="AJ234" s="319"/>
    </row>
    <row r="235" ht="15.75" customHeight="1">
      <c r="A235" s="217"/>
      <c r="B235" s="217"/>
      <c r="C235" s="217"/>
      <c r="F235" s="298"/>
      <c r="G235" s="298"/>
      <c r="Q235" s="319"/>
      <c r="R235" s="319"/>
      <c r="S235" s="319"/>
      <c r="T235" s="319"/>
      <c r="U235" s="319"/>
      <c r="V235" s="319"/>
      <c r="W235" s="319"/>
      <c r="X235" s="319"/>
      <c r="Y235" s="319"/>
      <c r="Z235" s="319"/>
      <c r="AA235" s="319"/>
      <c r="AB235" s="319"/>
      <c r="AC235" s="319"/>
      <c r="AD235" s="319"/>
      <c r="AE235" s="319"/>
      <c r="AF235" s="319"/>
      <c r="AG235" s="319"/>
      <c r="AH235" s="319"/>
      <c r="AI235" s="319"/>
      <c r="AJ235" s="319"/>
    </row>
    <row r="236" ht="15.75" customHeight="1">
      <c r="A236" s="217"/>
      <c r="B236" s="217"/>
      <c r="C236" s="217"/>
      <c r="F236" s="298"/>
      <c r="G236" s="298"/>
      <c r="Q236" s="319"/>
      <c r="R236" s="319"/>
      <c r="S236" s="319"/>
      <c r="T236" s="319"/>
      <c r="U236" s="319"/>
      <c r="V236" s="319"/>
      <c r="W236" s="319"/>
      <c r="X236" s="319"/>
      <c r="Y236" s="319"/>
      <c r="Z236" s="319"/>
      <c r="AA236" s="319"/>
      <c r="AB236" s="319"/>
      <c r="AC236" s="319"/>
      <c r="AD236" s="319"/>
      <c r="AE236" s="319"/>
      <c r="AF236" s="319"/>
      <c r="AG236" s="319"/>
      <c r="AH236" s="319"/>
      <c r="AI236" s="319"/>
      <c r="AJ236" s="319"/>
    </row>
    <row r="237" ht="15.75" customHeight="1">
      <c r="A237" s="217"/>
      <c r="B237" s="217"/>
      <c r="C237" s="217"/>
      <c r="F237" s="298"/>
      <c r="G237" s="298"/>
      <c r="Q237" s="319"/>
      <c r="R237" s="319"/>
      <c r="S237" s="319"/>
      <c r="T237" s="319"/>
      <c r="U237" s="319"/>
      <c r="V237" s="319"/>
      <c r="W237" s="319"/>
      <c r="X237" s="319"/>
      <c r="Y237" s="319"/>
      <c r="Z237" s="319"/>
      <c r="AA237" s="319"/>
      <c r="AB237" s="319"/>
      <c r="AC237" s="319"/>
      <c r="AD237" s="319"/>
      <c r="AE237" s="319"/>
      <c r="AF237" s="319"/>
      <c r="AG237" s="319"/>
      <c r="AH237" s="319"/>
      <c r="AI237" s="319"/>
      <c r="AJ237" s="319"/>
    </row>
    <row r="238" ht="15.75" customHeight="1">
      <c r="A238" s="217"/>
      <c r="B238" s="217"/>
      <c r="C238" s="217"/>
      <c r="F238" s="298"/>
      <c r="G238" s="298"/>
      <c r="Q238" s="319"/>
      <c r="R238" s="319"/>
      <c r="S238" s="319"/>
      <c r="T238" s="319"/>
      <c r="U238" s="319"/>
      <c r="V238" s="319"/>
      <c r="W238" s="319"/>
      <c r="X238" s="319"/>
      <c r="Y238" s="319"/>
      <c r="Z238" s="319"/>
      <c r="AA238" s="319"/>
      <c r="AB238" s="319"/>
      <c r="AC238" s="319"/>
      <c r="AD238" s="319"/>
      <c r="AE238" s="319"/>
      <c r="AF238" s="319"/>
      <c r="AG238" s="319"/>
      <c r="AH238" s="319"/>
      <c r="AI238" s="319"/>
      <c r="AJ238" s="319"/>
    </row>
    <row r="239" ht="15.75" customHeight="1">
      <c r="A239" s="217"/>
      <c r="B239" s="217"/>
      <c r="C239" s="217"/>
      <c r="F239" s="298"/>
      <c r="G239" s="298"/>
      <c r="Q239" s="319"/>
      <c r="R239" s="319"/>
      <c r="S239" s="319"/>
      <c r="T239" s="319"/>
      <c r="U239" s="319"/>
      <c r="V239" s="319"/>
      <c r="W239" s="319"/>
      <c r="X239" s="319"/>
      <c r="Y239" s="319"/>
      <c r="Z239" s="319"/>
      <c r="AA239" s="319"/>
      <c r="AB239" s="319"/>
      <c r="AC239" s="319"/>
      <c r="AD239" s="319"/>
      <c r="AE239" s="319"/>
      <c r="AF239" s="319"/>
      <c r="AG239" s="319"/>
      <c r="AH239" s="319"/>
      <c r="AI239" s="319"/>
      <c r="AJ239" s="319"/>
    </row>
    <row r="240" ht="15.75" customHeight="1">
      <c r="A240" s="217"/>
      <c r="B240" s="217"/>
      <c r="C240" s="217"/>
      <c r="F240" s="298"/>
      <c r="G240" s="298"/>
      <c r="Q240" s="319"/>
      <c r="R240" s="319"/>
      <c r="S240" s="319"/>
      <c r="T240" s="319"/>
      <c r="U240" s="319"/>
      <c r="V240" s="319"/>
      <c r="W240" s="319"/>
      <c r="X240" s="319"/>
      <c r="Y240" s="319"/>
      <c r="Z240" s="319"/>
      <c r="AA240" s="319"/>
      <c r="AB240" s="319"/>
      <c r="AC240" s="319"/>
      <c r="AD240" s="319"/>
      <c r="AE240" s="319"/>
      <c r="AF240" s="319"/>
      <c r="AG240" s="319"/>
      <c r="AH240" s="319"/>
      <c r="AI240" s="319"/>
      <c r="AJ240" s="319"/>
    </row>
    <row r="241" ht="15.75" customHeight="1">
      <c r="A241" s="217"/>
      <c r="B241" s="217"/>
      <c r="C241" s="217"/>
      <c r="F241" s="298"/>
      <c r="G241" s="298"/>
      <c r="Q241" s="319"/>
      <c r="R241" s="319"/>
      <c r="S241" s="319"/>
      <c r="T241" s="319"/>
      <c r="U241" s="319"/>
      <c r="V241" s="319"/>
      <c r="W241" s="319"/>
      <c r="X241" s="319"/>
      <c r="Y241" s="319"/>
      <c r="Z241" s="319"/>
      <c r="AA241" s="319"/>
      <c r="AB241" s="319"/>
      <c r="AC241" s="319"/>
      <c r="AD241" s="319"/>
      <c r="AE241" s="319"/>
      <c r="AF241" s="319"/>
      <c r="AG241" s="319"/>
      <c r="AH241" s="319"/>
      <c r="AI241" s="319"/>
      <c r="AJ241" s="319"/>
    </row>
    <row r="242" ht="15.75" customHeight="1">
      <c r="A242" s="217"/>
      <c r="B242" s="217"/>
      <c r="C242" s="217"/>
      <c r="F242" s="298"/>
      <c r="G242" s="298"/>
      <c r="Q242" s="319"/>
      <c r="R242" s="319"/>
      <c r="S242" s="319"/>
      <c r="T242" s="319"/>
      <c r="U242" s="319"/>
      <c r="V242" s="319"/>
      <c r="W242" s="319"/>
      <c r="X242" s="319"/>
      <c r="Y242" s="319"/>
      <c r="Z242" s="319"/>
      <c r="AA242" s="319"/>
      <c r="AB242" s="319"/>
      <c r="AC242" s="319"/>
      <c r="AD242" s="319"/>
      <c r="AE242" s="319"/>
      <c r="AF242" s="319"/>
      <c r="AG242" s="319"/>
      <c r="AH242" s="319"/>
      <c r="AI242" s="319"/>
      <c r="AJ242" s="319"/>
    </row>
    <row r="243" ht="15.75" customHeight="1">
      <c r="A243" s="217"/>
      <c r="B243" s="217"/>
      <c r="C243" s="217"/>
      <c r="F243" s="298"/>
      <c r="G243" s="298"/>
      <c r="Q243" s="319"/>
      <c r="R243" s="319"/>
      <c r="S243" s="319"/>
      <c r="T243" s="319"/>
      <c r="U243" s="319"/>
      <c r="V243" s="319"/>
      <c r="W243" s="319"/>
      <c r="X243" s="319"/>
      <c r="Y243" s="319"/>
      <c r="Z243" s="319"/>
      <c r="AA243" s="319"/>
      <c r="AB243" s="319"/>
      <c r="AC243" s="319"/>
      <c r="AD243" s="319"/>
      <c r="AE243" s="319"/>
      <c r="AF243" s="319"/>
      <c r="AG243" s="319"/>
      <c r="AH243" s="319"/>
      <c r="AI243" s="319"/>
      <c r="AJ243" s="319"/>
    </row>
    <row r="244" ht="15.75" customHeight="1">
      <c r="A244" s="217"/>
      <c r="B244" s="217"/>
      <c r="C244" s="217"/>
      <c r="F244" s="298"/>
      <c r="G244" s="298"/>
      <c r="Q244" s="319"/>
      <c r="R244" s="319"/>
      <c r="S244" s="319"/>
      <c r="T244" s="319"/>
      <c r="U244" s="319"/>
      <c r="V244" s="319"/>
      <c r="W244" s="319"/>
      <c r="X244" s="319"/>
      <c r="Y244" s="319"/>
      <c r="Z244" s="319"/>
      <c r="AA244" s="319"/>
      <c r="AB244" s="319"/>
      <c r="AC244" s="319"/>
      <c r="AD244" s="319"/>
      <c r="AE244" s="319"/>
      <c r="AF244" s="319"/>
      <c r="AG244" s="319"/>
      <c r="AH244" s="319"/>
      <c r="AI244" s="319"/>
      <c r="AJ244" s="319"/>
    </row>
    <row r="245" ht="15.75" customHeight="1">
      <c r="A245" s="217"/>
      <c r="B245" s="217"/>
      <c r="C245" s="217"/>
      <c r="F245" s="298"/>
      <c r="G245" s="298"/>
      <c r="Q245" s="319"/>
      <c r="R245" s="319"/>
      <c r="S245" s="319"/>
      <c r="T245" s="319"/>
      <c r="U245" s="319"/>
      <c r="V245" s="319"/>
      <c r="W245" s="319"/>
      <c r="X245" s="319"/>
      <c r="Y245" s="319"/>
      <c r="Z245" s="319"/>
      <c r="AA245" s="319"/>
      <c r="AB245" s="319"/>
      <c r="AC245" s="319"/>
      <c r="AD245" s="319"/>
      <c r="AE245" s="319"/>
      <c r="AF245" s="319"/>
      <c r="AG245" s="319"/>
      <c r="AH245" s="319"/>
      <c r="AI245" s="319"/>
      <c r="AJ245" s="319"/>
    </row>
    <row r="246" ht="15.75" customHeight="1">
      <c r="A246" s="217"/>
      <c r="B246" s="217"/>
      <c r="C246" s="217"/>
      <c r="F246" s="298"/>
      <c r="G246" s="298"/>
      <c r="Q246" s="319"/>
      <c r="R246" s="319"/>
      <c r="S246" s="319"/>
      <c r="T246" s="319"/>
      <c r="U246" s="319"/>
      <c r="V246" s="319"/>
      <c r="W246" s="319"/>
      <c r="X246" s="319"/>
      <c r="Y246" s="319"/>
      <c r="Z246" s="319"/>
      <c r="AA246" s="319"/>
      <c r="AB246" s="319"/>
      <c r="AC246" s="319"/>
      <c r="AD246" s="319"/>
      <c r="AE246" s="319"/>
      <c r="AF246" s="319"/>
      <c r="AG246" s="319"/>
      <c r="AH246" s="319"/>
      <c r="AI246" s="319"/>
      <c r="AJ246" s="319"/>
    </row>
    <row r="247" ht="15.75" customHeight="1">
      <c r="A247" s="217"/>
      <c r="B247" s="217"/>
      <c r="C247" s="217"/>
      <c r="F247" s="298"/>
      <c r="G247" s="298"/>
      <c r="Q247" s="319"/>
      <c r="R247" s="319"/>
      <c r="S247" s="319"/>
      <c r="T247" s="319"/>
      <c r="U247" s="319"/>
      <c r="V247" s="319"/>
      <c r="W247" s="319"/>
      <c r="X247" s="319"/>
      <c r="Y247" s="319"/>
      <c r="Z247" s="319"/>
      <c r="AA247" s="319"/>
      <c r="AB247" s="319"/>
      <c r="AC247" s="319"/>
      <c r="AD247" s="319"/>
      <c r="AE247" s="319"/>
      <c r="AF247" s="319"/>
      <c r="AG247" s="319"/>
      <c r="AH247" s="319"/>
      <c r="AI247" s="319"/>
      <c r="AJ247" s="319"/>
    </row>
    <row r="248" ht="15.75" customHeight="1">
      <c r="A248" s="217"/>
      <c r="B248" s="217"/>
      <c r="C248" s="217"/>
      <c r="F248" s="298"/>
      <c r="G248" s="298"/>
      <c r="Q248" s="319"/>
      <c r="R248" s="319"/>
      <c r="S248" s="319"/>
      <c r="T248" s="319"/>
      <c r="U248" s="319"/>
      <c r="V248" s="319"/>
      <c r="W248" s="319"/>
      <c r="X248" s="319"/>
      <c r="Y248" s="319"/>
      <c r="Z248" s="319"/>
      <c r="AA248" s="319"/>
      <c r="AB248" s="319"/>
      <c r="AC248" s="319"/>
      <c r="AD248" s="319"/>
      <c r="AE248" s="319"/>
      <c r="AF248" s="319"/>
      <c r="AG248" s="319"/>
      <c r="AH248" s="319"/>
      <c r="AI248" s="319"/>
      <c r="AJ248" s="319"/>
    </row>
    <row r="249" ht="15.75" customHeight="1">
      <c r="A249" s="217"/>
      <c r="B249" s="217"/>
      <c r="C249" s="217"/>
      <c r="F249" s="298"/>
      <c r="G249" s="298"/>
      <c r="Q249" s="319"/>
      <c r="R249" s="319"/>
      <c r="S249" s="319"/>
      <c r="T249" s="319"/>
      <c r="U249" s="319"/>
      <c r="V249" s="319"/>
      <c r="W249" s="319"/>
      <c r="X249" s="319"/>
      <c r="Y249" s="319"/>
      <c r="Z249" s="319"/>
      <c r="AA249" s="319"/>
      <c r="AB249" s="319"/>
      <c r="AC249" s="319"/>
      <c r="AD249" s="319"/>
      <c r="AE249" s="319"/>
      <c r="AF249" s="319"/>
      <c r="AG249" s="319"/>
      <c r="AH249" s="319"/>
      <c r="AI249" s="319"/>
      <c r="AJ249" s="319"/>
    </row>
    <row r="250" ht="15.75" customHeight="1">
      <c r="A250" s="217"/>
      <c r="B250" s="217"/>
      <c r="C250" s="217"/>
      <c r="F250" s="298"/>
      <c r="G250" s="298"/>
      <c r="Q250" s="319"/>
      <c r="R250" s="319"/>
      <c r="S250" s="319"/>
      <c r="T250" s="319"/>
      <c r="U250" s="319"/>
      <c r="V250" s="319"/>
      <c r="W250" s="319"/>
      <c r="X250" s="319"/>
      <c r="Y250" s="319"/>
      <c r="Z250" s="319"/>
      <c r="AA250" s="319"/>
      <c r="AB250" s="319"/>
      <c r="AC250" s="319"/>
      <c r="AD250" s="319"/>
      <c r="AE250" s="319"/>
      <c r="AF250" s="319"/>
      <c r="AG250" s="319"/>
      <c r="AH250" s="319"/>
      <c r="AI250" s="319"/>
      <c r="AJ250" s="319"/>
    </row>
    <row r="251" ht="15.75" customHeight="1">
      <c r="A251" s="217"/>
      <c r="B251" s="217"/>
      <c r="C251" s="217"/>
      <c r="F251" s="298"/>
      <c r="G251" s="298"/>
      <c r="Q251" s="319"/>
      <c r="R251" s="319"/>
      <c r="S251" s="319"/>
      <c r="T251" s="319"/>
      <c r="U251" s="319"/>
      <c r="V251" s="319"/>
      <c r="W251" s="319"/>
      <c r="X251" s="319"/>
      <c r="Y251" s="319"/>
      <c r="Z251" s="319"/>
      <c r="AA251" s="319"/>
      <c r="AB251" s="319"/>
      <c r="AC251" s="319"/>
      <c r="AD251" s="319"/>
      <c r="AE251" s="319"/>
      <c r="AF251" s="319"/>
      <c r="AG251" s="319"/>
      <c r="AH251" s="319"/>
      <c r="AI251" s="319"/>
      <c r="AJ251" s="319"/>
    </row>
    <row r="252" ht="15.75" customHeight="1">
      <c r="A252" s="217"/>
      <c r="B252" s="217"/>
      <c r="C252" s="217"/>
      <c r="F252" s="298"/>
      <c r="G252" s="298"/>
      <c r="Q252" s="319"/>
      <c r="R252" s="319"/>
      <c r="S252" s="319"/>
      <c r="T252" s="319"/>
      <c r="U252" s="319"/>
      <c r="V252" s="319"/>
      <c r="W252" s="319"/>
      <c r="X252" s="319"/>
      <c r="Y252" s="319"/>
      <c r="Z252" s="319"/>
      <c r="AA252" s="319"/>
      <c r="AB252" s="319"/>
      <c r="AC252" s="319"/>
      <c r="AD252" s="319"/>
      <c r="AE252" s="319"/>
      <c r="AF252" s="319"/>
      <c r="AG252" s="319"/>
      <c r="AH252" s="319"/>
      <c r="AI252" s="319"/>
      <c r="AJ252" s="319"/>
    </row>
    <row r="253" ht="15.75" customHeight="1">
      <c r="A253" s="217"/>
      <c r="B253" s="217"/>
      <c r="C253" s="217"/>
      <c r="F253" s="298"/>
      <c r="G253" s="298"/>
      <c r="Q253" s="319"/>
      <c r="R253" s="319"/>
      <c r="S253" s="319"/>
      <c r="T253" s="319"/>
      <c r="U253" s="319"/>
      <c r="V253" s="319"/>
      <c r="W253" s="319"/>
      <c r="X253" s="319"/>
      <c r="Y253" s="319"/>
      <c r="Z253" s="319"/>
      <c r="AA253" s="319"/>
      <c r="AB253" s="319"/>
      <c r="AC253" s="319"/>
      <c r="AD253" s="319"/>
      <c r="AE253" s="319"/>
      <c r="AF253" s="319"/>
      <c r="AG253" s="319"/>
      <c r="AH253" s="319"/>
      <c r="AI253" s="319"/>
      <c r="AJ253" s="319"/>
    </row>
    <row r="254" ht="15.75" customHeight="1">
      <c r="A254" s="217"/>
      <c r="B254" s="217"/>
      <c r="C254" s="217"/>
      <c r="F254" s="298"/>
      <c r="G254" s="298"/>
      <c r="Q254" s="319"/>
      <c r="R254" s="319"/>
      <c r="S254" s="319"/>
      <c r="T254" s="319"/>
      <c r="U254" s="319"/>
      <c r="V254" s="319"/>
      <c r="W254" s="319"/>
      <c r="X254" s="319"/>
      <c r="Y254" s="319"/>
      <c r="Z254" s="319"/>
      <c r="AA254" s="319"/>
      <c r="AB254" s="319"/>
      <c r="AC254" s="319"/>
      <c r="AD254" s="319"/>
      <c r="AE254" s="319"/>
      <c r="AF254" s="319"/>
      <c r="AG254" s="319"/>
      <c r="AH254" s="319"/>
      <c r="AI254" s="319"/>
      <c r="AJ254" s="319"/>
    </row>
    <row r="255" ht="15.75" customHeight="1">
      <c r="A255" s="217"/>
      <c r="B255" s="217"/>
      <c r="C255" s="217"/>
      <c r="F255" s="298"/>
      <c r="G255" s="298"/>
      <c r="Q255" s="319"/>
      <c r="R255" s="319"/>
      <c r="S255" s="319"/>
      <c r="T255" s="319"/>
      <c r="U255" s="319"/>
      <c r="V255" s="319"/>
      <c r="W255" s="319"/>
      <c r="X255" s="319"/>
      <c r="Y255" s="319"/>
      <c r="Z255" s="319"/>
      <c r="AA255" s="319"/>
      <c r="AB255" s="319"/>
      <c r="AC255" s="319"/>
      <c r="AD255" s="319"/>
      <c r="AE255" s="319"/>
      <c r="AF255" s="319"/>
      <c r="AG255" s="319"/>
      <c r="AH255" s="319"/>
      <c r="AI255" s="319"/>
      <c r="AJ255" s="319"/>
    </row>
    <row r="256" ht="15.75" customHeight="1">
      <c r="A256" s="217"/>
      <c r="B256" s="217"/>
      <c r="C256" s="217"/>
      <c r="F256" s="298"/>
      <c r="G256" s="298"/>
      <c r="Q256" s="319"/>
      <c r="R256" s="319"/>
      <c r="S256" s="319"/>
      <c r="T256" s="319"/>
      <c r="U256" s="319"/>
      <c r="V256" s="319"/>
      <c r="W256" s="319"/>
      <c r="X256" s="319"/>
      <c r="Y256" s="319"/>
      <c r="Z256" s="319"/>
      <c r="AA256" s="319"/>
      <c r="AB256" s="319"/>
      <c r="AC256" s="319"/>
      <c r="AD256" s="319"/>
      <c r="AE256" s="319"/>
      <c r="AF256" s="319"/>
      <c r="AG256" s="319"/>
      <c r="AH256" s="319"/>
      <c r="AI256" s="319"/>
      <c r="AJ256" s="319"/>
    </row>
    <row r="257" ht="15.75" customHeight="1">
      <c r="A257" s="217"/>
      <c r="B257" s="217"/>
      <c r="C257" s="217"/>
      <c r="F257" s="298"/>
      <c r="G257" s="298"/>
      <c r="Q257" s="319"/>
      <c r="R257" s="319"/>
      <c r="S257" s="319"/>
      <c r="T257" s="319"/>
      <c r="U257" s="319"/>
      <c r="V257" s="319"/>
      <c r="W257" s="319"/>
      <c r="X257" s="319"/>
      <c r="Y257" s="319"/>
      <c r="Z257" s="319"/>
      <c r="AA257" s="319"/>
      <c r="AB257" s="319"/>
      <c r="AC257" s="319"/>
      <c r="AD257" s="319"/>
      <c r="AE257" s="319"/>
      <c r="AF257" s="319"/>
      <c r="AG257" s="319"/>
      <c r="AH257" s="319"/>
      <c r="AI257" s="319"/>
      <c r="AJ257" s="319"/>
    </row>
    <row r="258" ht="15.75" customHeight="1">
      <c r="A258" s="217"/>
      <c r="B258" s="217"/>
      <c r="C258" s="217"/>
      <c r="F258" s="298"/>
      <c r="G258" s="298"/>
      <c r="Q258" s="319"/>
      <c r="R258" s="319"/>
      <c r="S258" s="319"/>
      <c r="T258" s="319"/>
      <c r="U258" s="319"/>
      <c r="V258" s="319"/>
      <c r="W258" s="319"/>
      <c r="X258" s="319"/>
      <c r="Y258" s="319"/>
      <c r="Z258" s="319"/>
      <c r="AA258" s="319"/>
      <c r="AB258" s="319"/>
      <c r="AC258" s="319"/>
      <c r="AD258" s="319"/>
      <c r="AE258" s="319"/>
      <c r="AF258" s="319"/>
      <c r="AG258" s="319"/>
      <c r="AH258" s="319"/>
      <c r="AI258" s="319"/>
      <c r="AJ258" s="319"/>
    </row>
    <row r="259" ht="15.75" customHeight="1">
      <c r="A259" s="217"/>
      <c r="B259" s="217"/>
      <c r="C259" s="217"/>
      <c r="F259" s="298"/>
      <c r="G259" s="298"/>
      <c r="Q259" s="319"/>
      <c r="R259" s="319"/>
      <c r="S259" s="319"/>
      <c r="T259" s="319"/>
      <c r="U259" s="319"/>
      <c r="V259" s="319"/>
      <c r="W259" s="319"/>
      <c r="X259" s="319"/>
      <c r="Y259" s="319"/>
      <c r="Z259" s="319"/>
      <c r="AA259" s="319"/>
      <c r="AB259" s="319"/>
      <c r="AC259" s="319"/>
      <c r="AD259" s="319"/>
      <c r="AE259" s="319"/>
      <c r="AF259" s="319"/>
      <c r="AG259" s="319"/>
      <c r="AH259" s="319"/>
      <c r="AI259" s="319"/>
      <c r="AJ259" s="319"/>
    </row>
    <row r="260" ht="15.75" customHeight="1">
      <c r="A260" s="217"/>
      <c r="B260" s="217"/>
      <c r="C260" s="217"/>
      <c r="F260" s="298"/>
      <c r="G260" s="298"/>
      <c r="Q260" s="319"/>
      <c r="R260" s="319"/>
      <c r="S260" s="319"/>
      <c r="T260" s="319"/>
      <c r="U260" s="319"/>
      <c r="V260" s="319"/>
      <c r="W260" s="319"/>
      <c r="X260" s="319"/>
      <c r="Y260" s="319"/>
      <c r="Z260" s="319"/>
      <c r="AA260" s="319"/>
      <c r="AB260" s="319"/>
      <c r="AC260" s="319"/>
      <c r="AD260" s="319"/>
      <c r="AE260" s="319"/>
      <c r="AF260" s="319"/>
      <c r="AG260" s="319"/>
      <c r="AH260" s="319"/>
      <c r="AI260" s="319"/>
      <c r="AJ260" s="319"/>
    </row>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C2:H2"/>
    <mergeCell ref="I3:L3"/>
    <mergeCell ref="M3:P3"/>
  </mergeCell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32.13"/>
    <col customWidth="1" min="3" max="3" width="17.0"/>
    <col customWidth="1" min="4" max="4" width="20.0"/>
    <col customWidth="1" min="5" max="5" width="15.25"/>
    <col customWidth="1" min="6" max="6" width="16.88"/>
    <col customWidth="1" min="7" max="7" width="17.88"/>
    <col customWidth="1" min="8" max="8" width="18.63"/>
    <col customWidth="1" min="9" max="26" width="10.5"/>
  </cols>
  <sheetData>
    <row r="1">
      <c r="A1" s="240" t="s">
        <v>4213</v>
      </c>
    </row>
    <row r="3" ht="36.0" customHeight="1">
      <c r="B3" s="423" t="s">
        <v>0</v>
      </c>
      <c r="C3" s="32"/>
      <c r="D3" s="32"/>
      <c r="E3" s="32"/>
      <c r="F3" s="32"/>
      <c r="G3" s="32"/>
      <c r="H3" s="37"/>
    </row>
    <row r="4">
      <c r="B4" s="428" t="s">
        <v>25</v>
      </c>
      <c r="C4" s="430" t="s">
        <v>4231</v>
      </c>
      <c r="D4" s="32"/>
      <c r="E4" s="37"/>
      <c r="F4" s="431" t="s">
        <v>4208</v>
      </c>
      <c r="G4" s="431" t="s">
        <v>4242</v>
      </c>
      <c r="H4" s="428" t="s">
        <v>4243</v>
      </c>
    </row>
    <row r="5">
      <c r="B5" s="433"/>
      <c r="C5" s="434" t="s">
        <v>4239</v>
      </c>
      <c r="D5" s="434" t="s">
        <v>4255</v>
      </c>
      <c r="E5" s="434" t="s">
        <v>4258</v>
      </c>
      <c r="F5" s="433"/>
      <c r="G5" s="433"/>
      <c r="H5" s="433"/>
    </row>
    <row r="6" ht="60.0" customHeight="1">
      <c r="B6" s="435" t="s">
        <v>50</v>
      </c>
      <c r="C6" s="438">
        <f>'BS I A'!AC7</f>
        <v>48</v>
      </c>
      <c r="D6" s="438">
        <f>'BS I B'!AB6</f>
        <v>23</v>
      </c>
      <c r="E6" s="438">
        <f>'BS I C'!AB6</f>
        <v>6</v>
      </c>
      <c r="F6" s="438">
        <f>'BS II'!AB7</f>
        <v>51</v>
      </c>
      <c r="G6" s="438">
        <f>'BS III'!Z6</f>
        <v>0</v>
      </c>
      <c r="H6" s="447">
        <f t="shared" ref="H6:H11" si="1">SUM(C6:G6)</f>
        <v>128</v>
      </c>
      <c r="K6" s="159"/>
    </row>
    <row r="7" ht="52.5" customHeight="1">
      <c r="B7" s="435" t="s">
        <v>69</v>
      </c>
      <c r="C7" s="438">
        <f>'BS I A'!AC8</f>
        <v>22</v>
      </c>
      <c r="D7" s="438">
        <f>'BS I B'!AB7</f>
        <v>19</v>
      </c>
      <c r="E7" s="438">
        <f>'BS I C'!AB7</f>
        <v>7</v>
      </c>
      <c r="F7" s="438">
        <f>'BS II'!AB8</f>
        <v>18</v>
      </c>
      <c r="G7" s="438">
        <f>'BS III'!Z7</f>
        <v>0</v>
      </c>
      <c r="H7" s="447">
        <f t="shared" si="1"/>
        <v>66</v>
      </c>
    </row>
    <row r="8" ht="56.25" customHeight="1">
      <c r="B8" s="435" t="s">
        <v>146</v>
      </c>
      <c r="C8" s="438">
        <f>'BS I A'!AC9</f>
        <v>3</v>
      </c>
      <c r="D8" s="438">
        <f>'BS I B'!AB8</f>
        <v>0</v>
      </c>
      <c r="E8" s="438">
        <f>'BS I C'!AB8</f>
        <v>0</v>
      </c>
      <c r="F8" s="438">
        <f>'BS II'!AB9</f>
        <v>3</v>
      </c>
      <c r="G8" s="438">
        <f>'BS III'!Z8</f>
        <v>0</v>
      </c>
      <c r="H8" s="447">
        <f t="shared" si="1"/>
        <v>6</v>
      </c>
    </row>
    <row r="9" ht="50.25" customHeight="1">
      <c r="B9" s="435" t="s">
        <v>221</v>
      </c>
      <c r="C9" s="438">
        <f>'BS I A'!AC10</f>
        <v>0</v>
      </c>
      <c r="D9" s="438">
        <f>'BS I B'!AB9</f>
        <v>0</v>
      </c>
      <c r="E9" s="438">
        <f>'BS I C'!AB10</f>
        <v>0</v>
      </c>
      <c r="F9" s="438">
        <f>'BS II'!AB10</f>
        <v>1</v>
      </c>
      <c r="G9" s="438">
        <f>'BS III'!Z9</f>
        <v>0</v>
      </c>
      <c r="H9" s="447">
        <f t="shared" si="1"/>
        <v>1</v>
      </c>
    </row>
    <row r="10" ht="45.0" customHeight="1">
      <c r="B10" s="435" t="s">
        <v>32</v>
      </c>
      <c r="C10" s="438">
        <f>'BS I A'!AC6</f>
        <v>236</v>
      </c>
      <c r="D10" s="438">
        <f>'BS I B'!AB5</f>
        <v>39</v>
      </c>
      <c r="E10" s="438">
        <f>'BS I C'!AB5</f>
        <v>7</v>
      </c>
      <c r="F10" s="438">
        <f>'BS II'!AB6</f>
        <v>7</v>
      </c>
      <c r="G10" s="438">
        <f>'BS III'!Z5</f>
        <v>0</v>
      </c>
      <c r="H10" s="447">
        <f t="shared" si="1"/>
        <v>289</v>
      </c>
    </row>
    <row r="11" ht="50.25" customHeight="1">
      <c r="B11" s="435" t="s">
        <v>195</v>
      </c>
      <c r="C11" s="447">
        <f>'BS I A'!AC11</f>
        <v>0</v>
      </c>
      <c r="D11" s="447">
        <f>'BS I B'!AB10</f>
        <v>0</v>
      </c>
      <c r="E11" s="447">
        <f>'BS I C'!AB9</f>
        <v>1</v>
      </c>
      <c r="F11" s="447">
        <f>'BS II'!AB11</f>
        <v>1</v>
      </c>
      <c r="G11" s="447">
        <f>'BS III'!Z10</f>
        <v>0</v>
      </c>
      <c r="H11" s="447">
        <f t="shared" si="1"/>
        <v>2</v>
      </c>
    </row>
    <row r="12" ht="50.25" customHeight="1">
      <c r="B12" s="463" t="s">
        <v>4243</v>
      </c>
      <c r="C12" s="447">
        <f t="shared" ref="C12:H12" si="2">SUM(C6:C11)</f>
        <v>309</v>
      </c>
      <c r="D12" s="447">
        <f t="shared" si="2"/>
        <v>81</v>
      </c>
      <c r="E12" s="447">
        <f t="shared" si="2"/>
        <v>21</v>
      </c>
      <c r="F12" s="447">
        <f t="shared" si="2"/>
        <v>81</v>
      </c>
      <c r="G12" s="447">
        <f t="shared" si="2"/>
        <v>0</v>
      </c>
      <c r="H12" s="447">
        <f t="shared" si="2"/>
        <v>492</v>
      </c>
      <c r="J12" s="466">
        <f>H12/417*100</f>
        <v>117.9856115</v>
      </c>
      <c r="K12" s="467"/>
    </row>
    <row r="16" ht="34.5" customHeight="1">
      <c r="B16" s="423" t="s">
        <v>4352</v>
      </c>
      <c r="C16" s="32"/>
      <c r="D16" s="32"/>
      <c r="E16" s="32"/>
      <c r="F16" s="32"/>
      <c r="G16" s="32"/>
      <c r="H16" s="37"/>
    </row>
    <row r="17">
      <c r="B17" s="428" t="s">
        <v>4357</v>
      </c>
      <c r="C17" s="430" t="s">
        <v>4231</v>
      </c>
      <c r="D17" s="32"/>
      <c r="E17" s="37"/>
      <c r="F17" s="431" t="s">
        <v>4208</v>
      </c>
      <c r="G17" s="431" t="s">
        <v>4242</v>
      </c>
      <c r="H17" s="428" t="s">
        <v>4243</v>
      </c>
      <c r="M17" s="240" t="s">
        <v>4363</v>
      </c>
    </row>
    <row r="18">
      <c r="B18" s="433"/>
      <c r="C18" s="434" t="s">
        <v>4239</v>
      </c>
      <c r="D18" s="434" t="s">
        <v>4255</v>
      </c>
      <c r="E18" s="434" t="s">
        <v>4258</v>
      </c>
      <c r="F18" s="433"/>
      <c r="G18" s="433"/>
      <c r="H18" s="433"/>
      <c r="M18" s="240" t="s">
        <v>4366</v>
      </c>
    </row>
    <row r="19">
      <c r="A19" s="1">
        <v>1.0</v>
      </c>
      <c r="B19" s="435" t="s">
        <v>663</v>
      </c>
      <c r="C19" s="438">
        <f>'BS I A'!$AC$34</f>
        <v>7</v>
      </c>
      <c r="D19" s="438">
        <f>'BS I B'!$AB$35</f>
        <v>0</v>
      </c>
      <c r="E19" s="438">
        <f>'BS I C'!$AB$34</f>
        <v>0</v>
      </c>
      <c r="F19" s="438">
        <f>'BS II'!$AB$37</f>
        <v>2</v>
      </c>
      <c r="G19" s="438">
        <v>0.0</v>
      </c>
      <c r="H19" s="447">
        <f t="shared" ref="H19:H43" si="3">SUM(C19:G19)</f>
        <v>9</v>
      </c>
      <c r="M19" s="240" t="s">
        <v>4384</v>
      </c>
    </row>
    <row r="20">
      <c r="A20" s="1">
        <v>2.0</v>
      </c>
      <c r="B20" s="435" t="s">
        <v>948</v>
      </c>
      <c r="C20" s="438">
        <f>'BS I A'!$AC$33</f>
        <v>14</v>
      </c>
      <c r="D20" s="438">
        <f>'BS I B'!$AB$34</f>
        <v>3</v>
      </c>
      <c r="E20" s="438">
        <f>'BS I C'!$AB$33</f>
        <v>0</v>
      </c>
      <c r="F20" s="438">
        <f>'BS II'!$AB$36</f>
        <v>3</v>
      </c>
      <c r="G20" s="438">
        <v>0.0</v>
      </c>
      <c r="H20" s="447">
        <f t="shared" si="3"/>
        <v>20</v>
      </c>
      <c r="M20" s="240" t="s">
        <v>4384</v>
      </c>
    </row>
    <row r="21" ht="15.75" customHeight="1">
      <c r="A21" s="1">
        <v>3.0</v>
      </c>
      <c r="B21" s="435" t="s">
        <v>1024</v>
      </c>
      <c r="C21" s="438">
        <f>'BS I A'!$AC$37</f>
        <v>3</v>
      </c>
      <c r="D21" s="438">
        <f>'BS I B'!$AB$39</f>
        <v>1</v>
      </c>
      <c r="E21" s="438">
        <f>'BS I C'!$AB$38</f>
        <v>0</v>
      </c>
      <c r="F21" s="438">
        <f>'BS II'!$AB$41</f>
        <v>3</v>
      </c>
      <c r="G21" s="438">
        <v>0.0</v>
      </c>
      <c r="H21" s="447">
        <f t="shared" si="3"/>
        <v>7</v>
      </c>
      <c r="M21" s="240" t="s">
        <v>4398</v>
      </c>
    </row>
    <row r="22" ht="15.75" customHeight="1">
      <c r="A22" s="1">
        <v>4.0</v>
      </c>
      <c r="B22" s="435" t="s">
        <v>142</v>
      </c>
      <c r="C22" s="438">
        <f>'BS I A'!$AC$16</f>
        <v>27</v>
      </c>
      <c r="D22" s="438">
        <f>'BS I B'!$AB$15</f>
        <v>5</v>
      </c>
      <c r="E22" s="438">
        <f>'BS I C'!$AB$15</f>
        <v>0</v>
      </c>
      <c r="F22" s="438">
        <f>'BS II'!$AB$18</f>
        <v>3</v>
      </c>
      <c r="G22" s="438">
        <v>0.0</v>
      </c>
      <c r="H22" s="447">
        <f t="shared" si="3"/>
        <v>35</v>
      </c>
      <c r="M22" s="240" t="s">
        <v>4405</v>
      </c>
    </row>
    <row r="23" ht="30.0" customHeight="1">
      <c r="A23" s="1">
        <v>5.0</v>
      </c>
      <c r="B23" s="435" t="s">
        <v>1293</v>
      </c>
      <c r="C23" s="438">
        <f>'BS I A'!$AC$38</f>
        <v>7</v>
      </c>
      <c r="D23" s="438">
        <f>'BS I B'!$AB$40</f>
        <v>0</v>
      </c>
      <c r="E23" s="438">
        <f>'BS I C'!$AB$39</f>
        <v>0</v>
      </c>
      <c r="F23" s="438">
        <f>'BS II'!$AB$42</f>
        <v>1</v>
      </c>
      <c r="G23" s="438">
        <v>0.0</v>
      </c>
      <c r="H23" s="447">
        <f t="shared" si="3"/>
        <v>8</v>
      </c>
    </row>
    <row r="24" ht="15.75" customHeight="1">
      <c r="A24" s="1">
        <v>6.0</v>
      </c>
      <c r="B24" s="435" t="s">
        <v>496</v>
      </c>
      <c r="C24" s="438">
        <f>'BS I A'!$AC$17</f>
        <v>17</v>
      </c>
      <c r="D24" s="438">
        <f>'BS I B'!$AB$17</f>
        <v>2</v>
      </c>
      <c r="E24" s="438">
        <f>'BS I C'!$AB$16</f>
        <v>1</v>
      </c>
      <c r="F24" s="438">
        <f>'BS II'!$AB$19</f>
        <v>2</v>
      </c>
      <c r="G24" s="438">
        <v>0.0</v>
      </c>
      <c r="H24" s="447">
        <f t="shared" si="3"/>
        <v>22</v>
      </c>
    </row>
    <row r="25" ht="15.75" customHeight="1">
      <c r="A25" s="240">
        <v>7.0</v>
      </c>
      <c r="B25" s="435" t="s">
        <v>240</v>
      </c>
      <c r="C25" s="438">
        <f>'BS I A'!$AC$18</f>
        <v>2</v>
      </c>
      <c r="D25" s="438">
        <f>'BS I B'!$AB$18</f>
        <v>3</v>
      </c>
      <c r="E25" s="438">
        <f>'BS I C'!$AB$17</f>
        <v>2</v>
      </c>
      <c r="F25" s="438">
        <f>'BS II'!$AB$20</f>
        <v>3</v>
      </c>
      <c r="G25" s="438">
        <v>0.0</v>
      </c>
      <c r="H25" s="447">
        <f t="shared" si="3"/>
        <v>10</v>
      </c>
    </row>
    <row r="26" ht="15.75" customHeight="1">
      <c r="A26" s="1">
        <v>8.0</v>
      </c>
      <c r="B26" s="435" t="s">
        <v>586</v>
      </c>
      <c r="C26" s="438">
        <f>'BS I A'!$AC$19</f>
        <v>22</v>
      </c>
      <c r="D26" s="438">
        <f>'BS I B'!$AB$19</f>
        <v>0</v>
      </c>
      <c r="E26" s="438">
        <f>'BS I C'!$AB$18</f>
        <v>0</v>
      </c>
      <c r="F26" s="438">
        <f>'BS II'!$AB$21</f>
        <v>3</v>
      </c>
      <c r="G26" s="438">
        <v>0.0</v>
      </c>
      <c r="H26" s="447">
        <f t="shared" si="3"/>
        <v>25</v>
      </c>
    </row>
    <row r="27" ht="15.75" customHeight="1">
      <c r="A27" s="1">
        <v>9.0</v>
      </c>
      <c r="B27" s="435" t="s">
        <v>634</v>
      </c>
      <c r="C27" s="438">
        <f>'BS I A'!$AC$20</f>
        <v>4</v>
      </c>
      <c r="D27" s="438">
        <f>'BS I B'!$AB$20</f>
        <v>0</v>
      </c>
      <c r="E27" s="438">
        <f>'BS I C'!$AB$19</f>
        <v>0</v>
      </c>
      <c r="F27" s="438">
        <f>'BS II'!$AB$22</f>
        <v>1</v>
      </c>
      <c r="G27" s="438">
        <v>0.0</v>
      </c>
      <c r="H27" s="447">
        <f t="shared" si="3"/>
        <v>5</v>
      </c>
    </row>
    <row r="28" ht="15.75" customHeight="1">
      <c r="A28" s="1">
        <v>10.0</v>
      </c>
      <c r="B28" s="435" t="s">
        <v>419</v>
      </c>
      <c r="C28" s="438">
        <f>'BS I A'!$AC$21</f>
        <v>6</v>
      </c>
      <c r="D28" s="438">
        <f>'BS I B'!$AB$21</f>
        <v>0</v>
      </c>
      <c r="E28" s="438">
        <f>'BS I C'!$AB$20</f>
        <v>1</v>
      </c>
      <c r="F28" s="438">
        <f>'BS II'!$AB$23</f>
        <v>2</v>
      </c>
      <c r="G28" s="438">
        <v>0.0</v>
      </c>
      <c r="H28" s="447">
        <f t="shared" si="3"/>
        <v>9</v>
      </c>
    </row>
    <row r="29" ht="15.75" customHeight="1">
      <c r="A29" s="1">
        <v>11.0</v>
      </c>
      <c r="B29" s="435" t="s">
        <v>210</v>
      </c>
      <c r="C29" s="438">
        <f>'BS I A'!$AC$22</f>
        <v>11</v>
      </c>
      <c r="D29" s="438">
        <f>'BS I B'!$AB$22</f>
        <v>4</v>
      </c>
      <c r="E29" s="438">
        <f>'BS I C'!$AB$21</f>
        <v>1</v>
      </c>
      <c r="F29" s="438">
        <f>'BS II'!$AB$24</f>
        <v>2</v>
      </c>
      <c r="G29" s="438">
        <v>0.0</v>
      </c>
      <c r="H29" s="447">
        <f t="shared" si="3"/>
        <v>18</v>
      </c>
    </row>
    <row r="30" ht="15.75" customHeight="1">
      <c r="A30" s="1">
        <v>12.0</v>
      </c>
      <c r="B30" s="435" t="s">
        <v>179</v>
      </c>
      <c r="C30" s="438">
        <f>'BS I A'!$AC$23</f>
        <v>10</v>
      </c>
      <c r="D30" s="438">
        <f>'BS I B'!$AB$23+'BS I B'!$AB$24</f>
        <v>5</v>
      </c>
      <c r="E30" s="438">
        <f>'BS I C'!$AB$22+'BS I C'!$AB$23</f>
        <v>0</v>
      </c>
      <c r="F30" s="438">
        <f>'BS II'!$AB$25+'BS II'!$AB$26</f>
        <v>4</v>
      </c>
      <c r="G30" s="438">
        <v>0.0</v>
      </c>
      <c r="H30" s="447">
        <f t="shared" si="3"/>
        <v>19</v>
      </c>
    </row>
    <row r="31" ht="15.75" customHeight="1">
      <c r="A31" s="1">
        <v>14.0</v>
      </c>
      <c r="B31" s="435" t="s">
        <v>281</v>
      </c>
      <c r="C31" s="438">
        <f>'BS I A'!$AC$25</f>
        <v>9</v>
      </c>
      <c r="D31" s="438">
        <f>'BS I B'!$AB$26</f>
        <v>6</v>
      </c>
      <c r="E31" s="438">
        <f>'BS I C'!$AB$25</f>
        <v>0</v>
      </c>
      <c r="F31" s="438">
        <f>'BS II'!$AB$28</f>
        <v>2</v>
      </c>
      <c r="G31" s="438">
        <v>0.0</v>
      </c>
      <c r="H31" s="447">
        <f t="shared" si="3"/>
        <v>17</v>
      </c>
    </row>
    <row r="32" ht="15.75" customHeight="1">
      <c r="A32" s="1">
        <v>15.0</v>
      </c>
      <c r="B32" s="435" t="s">
        <v>88</v>
      </c>
      <c r="C32" s="438">
        <f>'BS I A'!$AC$24</f>
        <v>18</v>
      </c>
      <c r="D32" s="438">
        <f>'BS I B'!$AB$25</f>
        <v>7</v>
      </c>
      <c r="E32" s="438">
        <f>'BS I C'!$AB$24</f>
        <v>1</v>
      </c>
      <c r="F32" s="438">
        <f>'BS II'!$AB$27</f>
        <v>4</v>
      </c>
      <c r="G32" s="438">
        <v>0.0</v>
      </c>
      <c r="H32" s="447">
        <f t="shared" si="3"/>
        <v>30</v>
      </c>
    </row>
    <row r="33" ht="15.75" customHeight="1">
      <c r="A33" s="1"/>
      <c r="B33" s="435" t="s">
        <v>47</v>
      </c>
      <c r="C33" s="438">
        <f>'BS I A'!$AC$26</f>
        <v>98</v>
      </c>
      <c r="D33" s="438">
        <f>'BS I B'!$AB$27</f>
        <v>33</v>
      </c>
      <c r="E33" s="438">
        <f>'BS I C'!$AB$26</f>
        <v>11</v>
      </c>
      <c r="F33" s="438">
        <f>'BS II'!$AB$29</f>
        <v>29</v>
      </c>
      <c r="G33" s="438">
        <v>0.0</v>
      </c>
      <c r="H33" s="447">
        <f t="shared" si="3"/>
        <v>171</v>
      </c>
    </row>
    <row r="34" ht="15.75" customHeight="1">
      <c r="A34" s="1">
        <v>16.0</v>
      </c>
      <c r="B34" s="435" t="s">
        <v>1003</v>
      </c>
      <c r="C34" s="438">
        <f>'BS I A'!$AC$27</f>
        <v>4</v>
      </c>
      <c r="D34" s="438">
        <f>'BS I B'!$AB$28</f>
        <v>0</v>
      </c>
      <c r="E34" s="438">
        <f>'BS I C'!$AB$27</f>
        <v>0</v>
      </c>
      <c r="F34" s="438">
        <f>'BS II'!$AB$30</f>
        <v>2</v>
      </c>
      <c r="G34" s="438">
        <v>0.0</v>
      </c>
      <c r="H34" s="447">
        <f t="shared" si="3"/>
        <v>6</v>
      </c>
    </row>
    <row r="35" ht="15.75" customHeight="1">
      <c r="A35" s="1">
        <v>17.0</v>
      </c>
      <c r="B35" s="435" t="s">
        <v>469</v>
      </c>
      <c r="C35" s="438">
        <f>'BS I A'!$AC$32</f>
        <v>2</v>
      </c>
      <c r="D35" s="438">
        <f>'BS I B'!$AB$33</f>
        <v>0</v>
      </c>
      <c r="E35" s="438">
        <f>'BS I C'!$AB$32</f>
        <v>1</v>
      </c>
      <c r="F35" s="438">
        <f>'BS II'!$AB$35</f>
        <v>1</v>
      </c>
      <c r="G35" s="438">
        <v>0.0</v>
      </c>
      <c r="H35" s="447">
        <f t="shared" si="3"/>
        <v>4</v>
      </c>
    </row>
    <row r="36" ht="27.75" customHeight="1">
      <c r="A36" s="1">
        <v>18.0</v>
      </c>
      <c r="B36" s="435" t="s">
        <v>1319</v>
      </c>
      <c r="C36" s="438">
        <f>'BS I A'!$AC$39</f>
        <v>3</v>
      </c>
      <c r="D36" s="438">
        <f>'BS I B'!$AB$41</f>
        <v>0</v>
      </c>
      <c r="E36" s="438">
        <f>'BS I C'!$AB$40</f>
        <v>0</v>
      </c>
      <c r="F36" s="438">
        <f>'BS II'!$AB$43</f>
        <v>1</v>
      </c>
      <c r="G36" s="438">
        <v>0.0</v>
      </c>
      <c r="H36" s="447">
        <f t="shared" si="3"/>
        <v>4</v>
      </c>
    </row>
    <row r="37" ht="27.75" customHeight="1">
      <c r="A37" s="1">
        <v>19.0</v>
      </c>
      <c r="B37" s="435" t="s">
        <v>610</v>
      </c>
      <c r="C37" s="438">
        <f>'BS I A'!$AC$28</f>
        <v>17</v>
      </c>
      <c r="D37" s="438">
        <f>'BS I B'!$AB$29</f>
        <v>5</v>
      </c>
      <c r="E37" s="438">
        <f>'BS I C'!$AB$28</f>
        <v>2</v>
      </c>
      <c r="F37" s="438">
        <f>'BS II'!$AB$31</f>
        <v>5</v>
      </c>
      <c r="G37" s="438">
        <v>0.0</v>
      </c>
      <c r="H37" s="447">
        <f t="shared" si="3"/>
        <v>29</v>
      </c>
    </row>
    <row r="38" ht="15.75" customHeight="1">
      <c r="A38" s="1">
        <v>20.0</v>
      </c>
      <c r="B38" s="435" t="s">
        <v>322</v>
      </c>
      <c r="C38" s="447">
        <f>'BS I A'!$AC$29</f>
        <v>13</v>
      </c>
      <c r="D38" s="447">
        <f>'BS I B'!$AB$30</f>
        <v>6</v>
      </c>
      <c r="E38" s="447">
        <f>'BS I C'!$AB$29</f>
        <v>1</v>
      </c>
      <c r="F38" s="447">
        <f>'BS II'!$AB$32</f>
        <v>1</v>
      </c>
      <c r="G38" s="447">
        <v>0.0</v>
      </c>
      <c r="H38" s="447">
        <f t="shared" si="3"/>
        <v>21</v>
      </c>
    </row>
    <row r="39" ht="15.75" customHeight="1">
      <c r="A39" s="1">
        <v>21.0</v>
      </c>
      <c r="B39" s="435" t="s">
        <v>718</v>
      </c>
      <c r="C39" s="447">
        <f>'BS I A'!$AC$30</f>
        <v>3</v>
      </c>
      <c r="D39" s="447">
        <f>'BS I B'!$AB$31</f>
        <v>0</v>
      </c>
      <c r="E39" s="447">
        <f>'BS I C'!$AB$30</f>
        <v>0</v>
      </c>
      <c r="F39" s="447">
        <f>'BS II'!$AB$33</f>
        <v>2</v>
      </c>
      <c r="G39" s="447">
        <v>0.0</v>
      </c>
      <c r="H39" s="447">
        <f t="shared" si="3"/>
        <v>5</v>
      </c>
    </row>
    <row r="40" ht="33.0" customHeight="1">
      <c r="A40" s="1">
        <v>22.0</v>
      </c>
      <c r="B40" s="435" t="s">
        <v>1103</v>
      </c>
      <c r="C40" s="447">
        <f>'BS I A'!$AC$31</f>
        <v>5</v>
      </c>
      <c r="D40" s="447">
        <f>'BS I B'!$AB$32</f>
        <v>0</v>
      </c>
      <c r="E40" s="447">
        <f>'BS I C'!$AB$31</f>
        <v>0</v>
      </c>
      <c r="F40" s="447">
        <f>'BS II'!$AB$34</f>
        <v>1</v>
      </c>
      <c r="G40" s="447">
        <v>0.0</v>
      </c>
      <c r="H40" s="447">
        <f t="shared" si="3"/>
        <v>6</v>
      </c>
    </row>
    <row r="41" ht="30.75" customHeight="1">
      <c r="A41" s="1">
        <v>23.0</v>
      </c>
      <c r="B41" s="435" t="s">
        <v>1191</v>
      </c>
      <c r="C41" s="447">
        <f>'BS I A'!$AC$35</f>
        <v>1</v>
      </c>
      <c r="D41" s="447">
        <f>'BS I B'!$AB$36</f>
        <v>1</v>
      </c>
      <c r="E41" s="447">
        <f>'BS I C'!$AB$35</f>
        <v>0</v>
      </c>
      <c r="F41" s="447">
        <f>'BS II'!$AB$38</f>
        <v>1</v>
      </c>
      <c r="G41" s="447">
        <v>0.0</v>
      </c>
      <c r="H41" s="447">
        <f t="shared" si="3"/>
        <v>3</v>
      </c>
      <c r="P41" s="240">
        <v>3.0</v>
      </c>
    </row>
    <row r="42" ht="29.25" customHeight="1">
      <c r="A42" s="1">
        <v>24.0</v>
      </c>
      <c r="B42" s="435" t="s">
        <v>1252</v>
      </c>
      <c r="C42" s="447">
        <f>'BS I A'!$AC$36</f>
        <v>1</v>
      </c>
      <c r="D42" s="447">
        <f>'BS I B'!$AB$38</f>
        <v>0</v>
      </c>
      <c r="E42" s="447">
        <f>'BS I C'!$AB$37</f>
        <v>0</v>
      </c>
      <c r="F42" s="447">
        <f>'BS II'!$AB$40</f>
        <v>1</v>
      </c>
      <c r="G42" s="447">
        <v>0.0</v>
      </c>
      <c r="H42" s="447">
        <f t="shared" si="3"/>
        <v>2</v>
      </c>
      <c r="P42" s="240">
        <v>25.0</v>
      </c>
    </row>
    <row r="43" ht="32.25" customHeight="1">
      <c r="A43" s="1">
        <v>25.0</v>
      </c>
      <c r="B43" s="435" t="s">
        <v>1222</v>
      </c>
      <c r="C43" s="447">
        <f>'BS I A'!$AC$40</f>
        <v>4</v>
      </c>
      <c r="D43" s="447">
        <f>'BS I B'!$AB$37</f>
        <v>0</v>
      </c>
      <c r="E43" s="447">
        <f>'BS I C'!$AB$36</f>
        <v>0</v>
      </c>
      <c r="F43" s="447">
        <f>'BS II'!$AB$39</f>
        <v>3</v>
      </c>
      <c r="G43" s="447">
        <v>0.0</v>
      </c>
      <c r="H43" s="447">
        <f t="shared" si="3"/>
        <v>7</v>
      </c>
      <c r="P43" s="240">
        <v>16.0</v>
      </c>
    </row>
    <row r="44" ht="42.75" customHeight="1">
      <c r="B44" s="463" t="s">
        <v>4243</v>
      </c>
      <c r="C44" s="447">
        <f t="shared" ref="C44:H44" si="4">SUM(C19:C43)</f>
        <v>308</v>
      </c>
      <c r="D44" s="447">
        <f t="shared" si="4"/>
        <v>81</v>
      </c>
      <c r="E44" s="447">
        <f t="shared" si="4"/>
        <v>21</v>
      </c>
      <c r="F44" s="447">
        <f t="shared" si="4"/>
        <v>82</v>
      </c>
      <c r="G44" s="447">
        <f t="shared" si="4"/>
        <v>0</v>
      </c>
      <c r="H44" s="447">
        <f t="shared" si="4"/>
        <v>492</v>
      </c>
      <c r="P44" s="240">
        <v>19.0</v>
      </c>
    </row>
    <row r="45" ht="15.75" customHeight="1">
      <c r="P45" s="240">
        <v>29.0</v>
      </c>
    </row>
    <row r="46" ht="15.75" customHeight="1">
      <c r="P46" s="240">
        <v>16.0</v>
      </c>
    </row>
    <row r="47" ht="15.75" customHeight="1">
      <c r="B47" s="319"/>
      <c r="P47" s="240">
        <v>9.0</v>
      </c>
    </row>
    <row r="48" ht="15.75" customHeight="1">
      <c r="B48" s="319"/>
    </row>
    <row r="49" ht="15.75" customHeight="1">
      <c r="B49" s="319"/>
    </row>
    <row r="50" ht="15.75" customHeight="1">
      <c r="B50" s="319"/>
    </row>
    <row r="51" ht="15.75" customHeight="1">
      <c r="B51" s="319"/>
    </row>
    <row r="52" ht="15.75" customHeight="1">
      <c r="B52" s="319"/>
    </row>
    <row r="53" ht="15.75" customHeight="1">
      <c r="B53" s="319"/>
    </row>
    <row r="54" ht="15.75" customHeight="1">
      <c r="B54" s="319"/>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17:B18"/>
    <mergeCell ref="C17:E17"/>
    <mergeCell ref="F17:F18"/>
    <mergeCell ref="G17:G18"/>
    <mergeCell ref="H17:H18"/>
    <mergeCell ref="B3:H3"/>
    <mergeCell ref="B4:B5"/>
    <mergeCell ref="C4:E4"/>
    <mergeCell ref="F4:F5"/>
    <mergeCell ref="G4:G5"/>
    <mergeCell ref="H4:H5"/>
    <mergeCell ref="B16:H1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30.88"/>
    <col customWidth="1" min="3" max="3" width="12.25"/>
    <col customWidth="1" min="4" max="4" width="17.88"/>
    <col customWidth="1" min="5" max="6" width="14.5"/>
    <col customWidth="1" min="7" max="7" width="18.0"/>
    <col customWidth="1" min="8" max="9" width="14.25"/>
    <col customWidth="1" min="10" max="10" width="13.63"/>
    <col customWidth="1" min="11" max="12" width="12.63"/>
    <col customWidth="1" min="13" max="13" width="13.25"/>
    <col customWidth="1" min="14" max="14" width="12.0"/>
    <col customWidth="1" min="15" max="15" width="18.38"/>
    <col customWidth="1" min="16" max="26" width="10.5"/>
  </cols>
  <sheetData>
    <row r="1">
      <c r="B1" s="240"/>
      <c r="C1" s="154"/>
      <c r="E1" s="1" t="s">
        <v>4653</v>
      </c>
    </row>
    <row r="2">
      <c r="B2" s="240"/>
      <c r="C2" s="154"/>
      <c r="G2" s="479"/>
    </row>
    <row r="3">
      <c r="B3" s="480" t="s">
        <v>4655</v>
      </c>
      <c r="C3" s="482" t="s">
        <v>4658</v>
      </c>
      <c r="D3" s="483" t="s">
        <v>4671</v>
      </c>
      <c r="E3" s="484"/>
      <c r="F3" s="483" t="s">
        <v>4675</v>
      </c>
      <c r="G3" s="32"/>
      <c r="H3" s="484"/>
      <c r="I3" s="483" t="s">
        <v>4678</v>
      </c>
      <c r="J3" s="32"/>
      <c r="K3" s="37"/>
      <c r="L3" s="485" t="s">
        <v>4679</v>
      </c>
      <c r="M3" s="486" t="s">
        <v>4682</v>
      </c>
      <c r="N3" s="487"/>
      <c r="O3" s="482" t="s">
        <v>4685</v>
      </c>
    </row>
    <row r="4">
      <c r="B4" s="433"/>
      <c r="C4" s="433"/>
      <c r="D4" s="488" t="s">
        <v>4686</v>
      </c>
      <c r="E4" s="488" t="s">
        <v>4688</v>
      </c>
      <c r="F4" s="488" t="s">
        <v>4686</v>
      </c>
      <c r="G4" s="489" t="s">
        <v>4690</v>
      </c>
      <c r="H4" s="488" t="s">
        <v>4688</v>
      </c>
      <c r="I4" s="489" t="s">
        <v>4696</v>
      </c>
      <c r="J4" s="489" t="s">
        <v>4697</v>
      </c>
      <c r="K4" s="489" t="s">
        <v>4688</v>
      </c>
      <c r="L4" s="490" t="s">
        <v>4699</v>
      </c>
      <c r="M4" s="491" t="s">
        <v>4700</v>
      </c>
      <c r="N4" s="489" t="s">
        <v>4688</v>
      </c>
      <c r="O4" s="433"/>
    </row>
    <row r="5">
      <c r="B5" s="245" t="s">
        <v>44</v>
      </c>
      <c r="C5" s="228" t="s">
        <v>4703</v>
      </c>
      <c r="D5" s="228" t="s">
        <v>4704</v>
      </c>
      <c r="E5" s="228" t="s">
        <v>4688</v>
      </c>
      <c r="F5" s="228" t="s">
        <v>4706</v>
      </c>
      <c r="G5" s="228" t="s">
        <v>4707</v>
      </c>
      <c r="H5" s="228" t="s">
        <v>4708</v>
      </c>
      <c r="I5" s="228" t="s">
        <v>4709</v>
      </c>
      <c r="J5" s="228" t="s">
        <v>4711</v>
      </c>
      <c r="K5" s="228" t="s">
        <v>4708</v>
      </c>
      <c r="L5" s="228" t="s">
        <v>4713</v>
      </c>
      <c r="M5" s="228" t="s">
        <v>4714</v>
      </c>
      <c r="N5" s="228" t="s">
        <v>4708</v>
      </c>
      <c r="O5" s="492" t="s">
        <v>4716</v>
      </c>
    </row>
    <row r="6">
      <c r="B6" s="245" t="s">
        <v>94</v>
      </c>
      <c r="C6" s="228" t="s">
        <v>4719</v>
      </c>
      <c r="D6" s="228" t="s">
        <v>4720</v>
      </c>
      <c r="E6" s="228" t="s">
        <v>4721</v>
      </c>
      <c r="F6" s="493" t="s">
        <v>4722</v>
      </c>
      <c r="G6" s="228" t="s">
        <v>4707</v>
      </c>
      <c r="H6" s="494" t="s">
        <v>4721</v>
      </c>
      <c r="I6" s="228" t="s">
        <v>4725</v>
      </c>
      <c r="J6" s="228" t="s">
        <v>4725</v>
      </c>
      <c r="K6" s="228" t="s">
        <v>4725</v>
      </c>
      <c r="L6" s="228" t="s">
        <v>4728</v>
      </c>
      <c r="M6" s="228" t="s">
        <v>4729</v>
      </c>
      <c r="N6" s="228" t="s">
        <v>4730</v>
      </c>
      <c r="O6" s="492" t="s">
        <v>4731</v>
      </c>
    </row>
    <row r="7">
      <c r="B7" s="245" t="s">
        <v>141</v>
      </c>
      <c r="C7" s="228" t="s">
        <v>4733</v>
      </c>
      <c r="D7" s="228" t="s">
        <v>4735</v>
      </c>
      <c r="E7" s="228" t="s">
        <v>4736</v>
      </c>
      <c r="F7" s="228" t="s">
        <v>4737</v>
      </c>
      <c r="G7" s="228" t="s">
        <v>4707</v>
      </c>
      <c r="H7" s="228" t="s">
        <v>4736</v>
      </c>
      <c r="I7" s="228" t="s">
        <v>4709</v>
      </c>
      <c r="J7" s="228" t="s">
        <v>4741</v>
      </c>
      <c r="K7" s="228" t="s">
        <v>4743</v>
      </c>
      <c r="L7" s="228" t="s">
        <v>4746</v>
      </c>
      <c r="M7" s="228" t="s">
        <v>4749</v>
      </c>
      <c r="N7" s="228" t="s">
        <v>4736</v>
      </c>
      <c r="O7" s="492" t="s">
        <v>4751</v>
      </c>
    </row>
    <row r="8">
      <c r="B8" s="245" t="s">
        <v>4752</v>
      </c>
      <c r="C8" s="228" t="s">
        <v>4754</v>
      </c>
      <c r="D8" s="228" t="s">
        <v>4755</v>
      </c>
      <c r="E8" s="228" t="s">
        <v>4756</v>
      </c>
      <c r="F8" s="228" t="s">
        <v>4757</v>
      </c>
      <c r="G8" s="228" t="s">
        <v>4707</v>
      </c>
      <c r="H8" s="498" t="s">
        <v>4721</v>
      </c>
      <c r="I8" s="228" t="s">
        <v>4760</v>
      </c>
      <c r="J8" s="228" t="s">
        <v>4741</v>
      </c>
      <c r="K8" s="228" t="s">
        <v>4708</v>
      </c>
      <c r="L8" s="228" t="s">
        <v>4762</v>
      </c>
      <c r="M8" s="228" t="s">
        <v>4764</v>
      </c>
      <c r="N8" s="228" t="s">
        <v>4736</v>
      </c>
      <c r="O8" s="228" t="s">
        <v>4766</v>
      </c>
    </row>
    <row r="9">
      <c r="B9" s="245" t="s">
        <v>2459</v>
      </c>
      <c r="C9" s="228" t="s">
        <v>4769</v>
      </c>
      <c r="D9" s="228" t="s">
        <v>4720</v>
      </c>
      <c r="E9" s="228" t="s">
        <v>4756</v>
      </c>
      <c r="F9" s="228" t="s">
        <v>4757</v>
      </c>
      <c r="G9" s="228" t="s">
        <v>4707</v>
      </c>
      <c r="H9" s="498" t="s">
        <v>4721</v>
      </c>
      <c r="I9" s="228" t="s">
        <v>4725</v>
      </c>
      <c r="J9" s="228" t="s">
        <v>4725</v>
      </c>
      <c r="K9" s="228" t="s">
        <v>4725</v>
      </c>
      <c r="L9" s="228" t="s">
        <v>4773</v>
      </c>
      <c r="M9" s="228" t="s">
        <v>4775</v>
      </c>
      <c r="N9" s="228" t="s">
        <v>4736</v>
      </c>
      <c r="O9" s="492" t="s">
        <v>4776</v>
      </c>
    </row>
    <row r="10">
      <c r="B10" s="245" t="s">
        <v>275</v>
      </c>
      <c r="C10" s="228" t="s">
        <v>4780</v>
      </c>
      <c r="D10" s="228"/>
      <c r="E10" s="228"/>
      <c r="F10" s="228"/>
      <c r="G10" s="228"/>
      <c r="H10" s="228"/>
      <c r="I10" s="228"/>
      <c r="J10" s="228"/>
      <c r="K10" s="228"/>
      <c r="L10" s="228"/>
      <c r="M10" s="228"/>
      <c r="N10" s="228"/>
      <c r="O10" s="492"/>
    </row>
    <row r="11">
      <c r="B11" s="245" t="s">
        <v>314</v>
      </c>
      <c r="C11" s="228" t="s">
        <v>4787</v>
      </c>
      <c r="D11" s="228" t="s">
        <v>4788</v>
      </c>
      <c r="E11" s="228" t="s">
        <v>4721</v>
      </c>
      <c r="F11" s="228" t="s">
        <v>4790</v>
      </c>
      <c r="G11" s="228" t="s">
        <v>4707</v>
      </c>
      <c r="H11" s="228" t="s">
        <v>4721</v>
      </c>
      <c r="I11" s="228" t="s">
        <v>4791</v>
      </c>
      <c r="J11" s="228" t="s">
        <v>4793</v>
      </c>
      <c r="K11" s="228" t="s">
        <v>4794</v>
      </c>
      <c r="L11" s="228"/>
      <c r="M11" s="228"/>
      <c r="N11" s="228"/>
      <c r="O11" s="492"/>
    </row>
    <row r="12">
      <c r="B12" s="245" t="s">
        <v>351</v>
      </c>
      <c r="C12" s="228" t="s">
        <v>4797</v>
      </c>
      <c r="D12" s="228" t="s">
        <v>4798</v>
      </c>
      <c r="E12" s="228" t="s">
        <v>4736</v>
      </c>
      <c r="F12" s="228" t="s">
        <v>4799</v>
      </c>
      <c r="G12" s="228" t="s">
        <v>4707</v>
      </c>
      <c r="H12" s="228" t="s">
        <v>4736</v>
      </c>
      <c r="I12" s="228" t="s">
        <v>4709</v>
      </c>
      <c r="J12" s="228"/>
      <c r="K12" s="228"/>
      <c r="L12" s="228" t="s">
        <v>4773</v>
      </c>
      <c r="M12" s="228" t="s">
        <v>4749</v>
      </c>
      <c r="N12" s="228" t="s">
        <v>4736</v>
      </c>
      <c r="O12" s="492" t="s">
        <v>4803</v>
      </c>
    </row>
    <row r="13">
      <c r="B13" s="245" t="s">
        <v>387</v>
      </c>
      <c r="C13" s="228" t="s">
        <v>4806</v>
      </c>
      <c r="D13" s="228" t="s">
        <v>4807</v>
      </c>
      <c r="E13" s="228" t="s">
        <v>4736</v>
      </c>
      <c r="F13" s="228" t="s">
        <v>4706</v>
      </c>
      <c r="G13" s="228" t="s">
        <v>4707</v>
      </c>
      <c r="H13" s="228" t="s">
        <v>4736</v>
      </c>
      <c r="I13" s="228" t="s">
        <v>4760</v>
      </c>
      <c r="J13" s="228" t="s">
        <v>4760</v>
      </c>
      <c r="K13" s="228" t="s">
        <v>4812</v>
      </c>
      <c r="L13" s="228" t="s">
        <v>4773</v>
      </c>
      <c r="M13" s="228" t="s">
        <v>4775</v>
      </c>
      <c r="N13" s="228" t="s">
        <v>4736</v>
      </c>
      <c r="O13" s="492" t="s">
        <v>4814</v>
      </c>
    </row>
    <row r="14">
      <c r="B14" s="245" t="s">
        <v>428</v>
      </c>
      <c r="C14" s="228" t="s">
        <v>4815</v>
      </c>
      <c r="D14" s="228" t="s">
        <v>4807</v>
      </c>
      <c r="E14" s="228" t="s">
        <v>4736</v>
      </c>
      <c r="F14" s="228" t="s">
        <v>4706</v>
      </c>
      <c r="G14" s="228" t="s">
        <v>4707</v>
      </c>
      <c r="H14" s="228" t="s">
        <v>4736</v>
      </c>
      <c r="I14" s="228" t="s">
        <v>4709</v>
      </c>
      <c r="J14" s="228" t="s">
        <v>4711</v>
      </c>
      <c r="K14" s="228" t="s">
        <v>4721</v>
      </c>
      <c r="L14" s="228" t="s">
        <v>4817</v>
      </c>
      <c r="M14" s="228" t="s">
        <v>4775</v>
      </c>
      <c r="N14" s="228" t="s">
        <v>4736</v>
      </c>
      <c r="O14" s="492" t="s">
        <v>4814</v>
      </c>
    </row>
    <row r="15">
      <c r="B15" s="245" t="s">
        <v>486</v>
      </c>
      <c r="C15" s="228" t="s">
        <v>4819</v>
      </c>
      <c r="D15" s="228"/>
      <c r="E15" s="228"/>
      <c r="F15" s="228" t="s">
        <v>4706</v>
      </c>
      <c r="G15" s="228" t="s">
        <v>4707</v>
      </c>
      <c r="H15" s="228" t="s">
        <v>4736</v>
      </c>
      <c r="I15" s="228"/>
      <c r="J15" s="228"/>
      <c r="K15" s="228"/>
      <c r="L15" s="228"/>
      <c r="M15" s="228" t="s">
        <v>4775</v>
      </c>
      <c r="N15" s="228" t="s">
        <v>4736</v>
      </c>
      <c r="O15" s="492"/>
    </row>
    <row r="16">
      <c r="B16" s="245" t="s">
        <v>513</v>
      </c>
      <c r="C16" s="228" t="s">
        <v>4828</v>
      </c>
      <c r="D16" s="224"/>
      <c r="E16" s="224"/>
      <c r="F16" s="224"/>
      <c r="G16" s="224"/>
      <c r="H16" s="224"/>
      <c r="I16" s="224"/>
      <c r="J16" s="224"/>
      <c r="K16" s="224"/>
      <c r="L16" s="224"/>
      <c r="M16" s="224"/>
      <c r="N16" s="224"/>
      <c r="O16" s="492"/>
    </row>
    <row r="17">
      <c r="B17" s="245" t="s">
        <v>552</v>
      </c>
      <c r="C17" s="228" t="s">
        <v>4830</v>
      </c>
      <c r="D17" s="228"/>
      <c r="E17" s="228"/>
      <c r="F17" s="228"/>
      <c r="G17" s="228"/>
      <c r="H17" s="228"/>
      <c r="I17" s="228"/>
      <c r="J17" s="228"/>
      <c r="K17" s="228"/>
      <c r="L17" s="228"/>
      <c r="M17" s="228"/>
      <c r="N17" s="228"/>
      <c r="O17" s="492"/>
    </row>
    <row r="18">
      <c r="B18" s="245" t="s">
        <v>4836</v>
      </c>
      <c r="C18" s="228" t="s">
        <v>4838</v>
      </c>
      <c r="D18" s="228" t="s">
        <v>4807</v>
      </c>
      <c r="E18" s="228" t="s">
        <v>4736</v>
      </c>
      <c r="F18" s="228" t="s">
        <v>4757</v>
      </c>
      <c r="G18" s="228" t="s">
        <v>4707</v>
      </c>
      <c r="H18" s="228" t="s">
        <v>4736</v>
      </c>
      <c r="I18" s="228" t="s">
        <v>4841</v>
      </c>
      <c r="J18" s="228" t="s">
        <v>4711</v>
      </c>
      <c r="K18" s="228" t="s">
        <v>4844</v>
      </c>
      <c r="L18" s="228" t="s">
        <v>4845</v>
      </c>
      <c r="M18" s="228" t="s">
        <v>4749</v>
      </c>
      <c r="N18" s="228" t="s">
        <v>4736</v>
      </c>
      <c r="O18" s="492"/>
    </row>
    <row r="19">
      <c r="B19" s="245" t="s">
        <v>4847</v>
      </c>
      <c r="C19" s="228" t="s">
        <v>4848</v>
      </c>
      <c r="D19" s="228"/>
      <c r="E19" s="228"/>
      <c r="F19" s="228"/>
      <c r="G19" s="228"/>
      <c r="H19" s="228"/>
      <c r="I19" s="228"/>
      <c r="J19" s="228"/>
      <c r="K19" s="228"/>
      <c r="L19" s="228"/>
      <c r="M19" s="228"/>
      <c r="N19" s="228"/>
      <c r="O19" s="492"/>
    </row>
    <row r="20">
      <c r="B20" s="245" t="s">
        <v>4855</v>
      </c>
      <c r="C20" s="228" t="s">
        <v>4830</v>
      </c>
      <c r="D20" s="228"/>
      <c r="E20" s="228"/>
      <c r="F20" s="228"/>
      <c r="G20" s="228"/>
      <c r="H20" s="228"/>
      <c r="I20" s="228"/>
      <c r="J20" s="228"/>
      <c r="K20" s="228"/>
      <c r="L20" s="228"/>
      <c r="M20" s="228"/>
      <c r="N20" s="228"/>
      <c r="O20" s="492"/>
    </row>
    <row r="21" ht="15.75" customHeight="1">
      <c r="B21" s="501" t="s">
        <v>751</v>
      </c>
      <c r="C21" s="228" t="s">
        <v>4769</v>
      </c>
      <c r="D21" s="228"/>
      <c r="E21" s="228"/>
      <c r="F21" s="228"/>
      <c r="G21" s="228"/>
      <c r="H21" s="228"/>
      <c r="I21" s="228"/>
      <c r="J21" s="228"/>
      <c r="K21" s="228"/>
      <c r="L21" s="228"/>
      <c r="M21" s="228"/>
      <c r="N21" s="228"/>
      <c r="O21" s="492"/>
    </row>
    <row r="22" ht="15.75" customHeight="1">
      <c r="B22" s="245" t="s">
        <v>796</v>
      </c>
      <c r="C22" s="228" t="s">
        <v>4868</v>
      </c>
      <c r="D22" s="228"/>
      <c r="E22" s="228"/>
      <c r="F22" s="228"/>
      <c r="G22" s="228"/>
      <c r="H22" s="228"/>
      <c r="I22" s="228"/>
      <c r="J22" s="228"/>
      <c r="K22" s="228"/>
      <c r="L22" s="228"/>
      <c r="M22" s="228"/>
      <c r="N22" s="228"/>
      <c r="O22" s="492"/>
    </row>
    <row r="23" ht="15.75" customHeight="1">
      <c r="B23" s="245" t="s">
        <v>837</v>
      </c>
      <c r="C23" s="228" t="s">
        <v>4872</v>
      </c>
      <c r="D23" s="228"/>
      <c r="E23" s="228"/>
      <c r="F23" s="228"/>
      <c r="G23" s="228"/>
      <c r="H23" s="228"/>
      <c r="I23" s="228"/>
      <c r="J23" s="228"/>
      <c r="K23" s="228"/>
      <c r="L23" s="228"/>
      <c r="M23" s="228"/>
      <c r="N23" s="228"/>
      <c r="O23" s="492"/>
    </row>
    <row r="24" ht="15.75" customHeight="1">
      <c r="B24" s="245" t="s">
        <v>875</v>
      </c>
      <c r="C24" s="228" t="s">
        <v>4880</v>
      </c>
      <c r="D24" s="228"/>
      <c r="E24" s="228"/>
      <c r="F24" s="228"/>
      <c r="G24" s="228"/>
      <c r="H24" s="228"/>
      <c r="I24" s="228"/>
      <c r="J24" s="228"/>
      <c r="K24" s="228"/>
      <c r="L24" s="228"/>
      <c r="M24" s="228"/>
      <c r="N24" s="228"/>
      <c r="O24" s="492"/>
    </row>
    <row r="25" ht="15.75" customHeight="1">
      <c r="B25" s="245" t="s">
        <v>919</v>
      </c>
      <c r="C25" s="228" t="s">
        <v>4787</v>
      </c>
      <c r="D25" s="228"/>
      <c r="E25" s="228"/>
      <c r="F25" s="228"/>
      <c r="G25" s="228"/>
      <c r="H25" s="228"/>
      <c r="I25" s="228"/>
      <c r="J25" s="228"/>
      <c r="K25" s="228"/>
      <c r="L25" s="228"/>
      <c r="M25" s="228"/>
      <c r="N25" s="228"/>
      <c r="O25" s="492"/>
    </row>
    <row r="26" ht="15.75" customHeight="1">
      <c r="B26" s="245" t="s">
        <v>967</v>
      </c>
      <c r="C26" s="228" t="s">
        <v>4893</v>
      </c>
      <c r="D26" s="228"/>
      <c r="E26" s="228"/>
      <c r="F26" s="228"/>
      <c r="G26" s="228"/>
      <c r="H26" s="228"/>
      <c r="I26" s="228"/>
      <c r="J26" s="228"/>
      <c r="K26" s="228"/>
      <c r="L26" s="228"/>
      <c r="M26" s="228"/>
      <c r="N26" s="228"/>
      <c r="O26" s="492"/>
    </row>
    <row r="27" ht="15.75" customHeight="1">
      <c r="B27" s="245" t="s">
        <v>1004</v>
      </c>
      <c r="C27" s="228"/>
      <c r="D27" s="228"/>
      <c r="E27" s="228"/>
      <c r="F27" s="228"/>
      <c r="G27" s="228"/>
      <c r="H27" s="228"/>
      <c r="I27" s="228"/>
      <c r="J27" s="228"/>
      <c r="K27" s="228"/>
      <c r="L27" s="228"/>
      <c r="M27" s="228"/>
      <c r="N27" s="228"/>
      <c r="O27" s="492"/>
    </row>
    <row r="28" ht="15.75" customHeight="1">
      <c r="B28" s="245" t="s">
        <v>966</v>
      </c>
      <c r="C28" s="228"/>
      <c r="D28" s="228"/>
      <c r="E28" s="228"/>
      <c r="F28" s="228"/>
      <c r="G28" s="228"/>
      <c r="H28" s="228"/>
      <c r="I28" s="228"/>
      <c r="J28" s="228"/>
      <c r="K28" s="228"/>
      <c r="L28" s="228"/>
      <c r="M28" s="228"/>
      <c r="N28" s="228"/>
      <c r="O28" s="492"/>
    </row>
    <row r="29" ht="15.75" customHeight="1">
      <c r="B29" s="245" t="s">
        <v>1066</v>
      </c>
      <c r="C29" s="228"/>
      <c r="D29" s="228"/>
      <c r="E29" s="228"/>
      <c r="F29" s="228"/>
      <c r="G29" s="228"/>
      <c r="H29" s="228"/>
      <c r="I29" s="228"/>
      <c r="J29" s="228"/>
      <c r="K29" s="228"/>
      <c r="L29" s="228"/>
      <c r="M29" s="228"/>
      <c r="N29" s="228"/>
      <c r="O29" s="492"/>
    </row>
    <row r="30" ht="15.75" customHeight="1">
      <c r="B30" s="245" t="s">
        <v>1090</v>
      </c>
      <c r="C30" s="228"/>
      <c r="D30" s="228"/>
      <c r="E30" s="228"/>
      <c r="F30" s="228"/>
      <c r="G30" s="228"/>
      <c r="H30" s="228"/>
      <c r="I30" s="228"/>
      <c r="J30" s="228"/>
      <c r="K30" s="228"/>
      <c r="L30" s="228"/>
      <c r="M30" s="228"/>
      <c r="N30" s="228"/>
      <c r="O30" s="492"/>
    </row>
    <row r="31" ht="15.75" customHeight="1">
      <c r="B31" s="245" t="s">
        <v>1121</v>
      </c>
      <c r="C31" s="228"/>
      <c r="D31" s="228"/>
      <c r="E31" s="228"/>
      <c r="F31" s="228"/>
      <c r="G31" s="228"/>
      <c r="H31" s="228"/>
      <c r="I31" s="228"/>
      <c r="J31" s="228"/>
      <c r="K31" s="228"/>
      <c r="L31" s="228"/>
      <c r="M31" s="228"/>
      <c r="N31" s="228"/>
      <c r="O31" s="492"/>
    </row>
    <row r="32" ht="15.75" customHeight="1">
      <c r="B32" s="245" t="s">
        <v>1151</v>
      </c>
      <c r="C32" s="228"/>
      <c r="D32" s="228"/>
      <c r="E32" s="228"/>
      <c r="F32" s="228"/>
      <c r="G32" s="228"/>
      <c r="H32" s="228"/>
      <c r="I32" s="228"/>
      <c r="J32" s="228"/>
      <c r="K32" s="228"/>
      <c r="L32" s="228"/>
      <c r="M32" s="228"/>
      <c r="N32" s="228"/>
      <c r="O32" s="492"/>
    </row>
    <row r="33" ht="15.75" customHeight="1">
      <c r="B33" s="245" t="s">
        <v>1177</v>
      </c>
      <c r="C33" s="228"/>
      <c r="D33" s="228"/>
      <c r="E33" s="228"/>
      <c r="F33" s="228"/>
      <c r="G33" s="228"/>
      <c r="H33" s="228"/>
      <c r="I33" s="228"/>
      <c r="J33" s="228"/>
      <c r="K33" s="228"/>
      <c r="L33" s="228"/>
      <c r="M33" s="228"/>
      <c r="N33" s="228"/>
      <c r="O33" s="492"/>
    </row>
    <row r="34" ht="15.75" customHeight="1">
      <c r="B34" s="245" t="s">
        <v>1203</v>
      </c>
      <c r="C34" s="228"/>
      <c r="D34" s="228"/>
      <c r="E34" s="228"/>
      <c r="F34" s="228"/>
      <c r="G34" s="228"/>
      <c r="H34" s="228"/>
      <c r="I34" s="228"/>
      <c r="J34" s="228"/>
      <c r="K34" s="228"/>
      <c r="L34" s="228"/>
      <c r="M34" s="228"/>
      <c r="N34" s="228"/>
      <c r="O34" s="492"/>
    </row>
    <row r="35" ht="15.75" customHeight="1">
      <c r="B35" s="240"/>
      <c r="C35" s="154"/>
    </row>
    <row r="36" ht="15.75" customHeight="1">
      <c r="B36" s="240"/>
      <c r="C36" s="154"/>
    </row>
    <row r="37" ht="15.75" customHeight="1">
      <c r="B37" s="240"/>
      <c r="C37" s="154"/>
    </row>
    <row r="38" ht="15.75" customHeight="1">
      <c r="B38" s="240"/>
      <c r="C38" s="154"/>
    </row>
    <row r="39" ht="15.75" customHeight="1">
      <c r="B39" s="240"/>
      <c r="C39" s="154"/>
    </row>
    <row r="40" ht="15.75" customHeight="1">
      <c r="B40" s="240"/>
      <c r="C40" s="154"/>
    </row>
    <row r="41" ht="15.75" customHeight="1">
      <c r="B41" s="240"/>
      <c r="C41" s="154"/>
    </row>
    <row r="42" ht="15.75" customHeight="1">
      <c r="B42" s="240"/>
      <c r="C42" s="154"/>
    </row>
    <row r="43" ht="15.75" customHeight="1">
      <c r="B43" s="240"/>
      <c r="C43" s="154"/>
    </row>
    <row r="44" ht="15.75" customHeight="1">
      <c r="B44" s="240"/>
      <c r="C44" s="154"/>
    </row>
    <row r="45" ht="15.75" customHeight="1">
      <c r="B45" s="240"/>
      <c r="C45" s="154"/>
    </row>
    <row r="46" ht="15.75" customHeight="1">
      <c r="B46" s="240"/>
      <c r="C46" s="154"/>
    </row>
    <row r="47" ht="15.75" customHeight="1">
      <c r="B47" s="240"/>
      <c r="C47" s="154"/>
    </row>
    <row r="48" ht="15.75" customHeight="1">
      <c r="B48" s="240"/>
      <c r="C48" s="154"/>
    </row>
    <row r="49" ht="15.75" customHeight="1">
      <c r="B49" s="240"/>
      <c r="C49" s="154"/>
    </row>
    <row r="50" ht="15.75" customHeight="1">
      <c r="B50" s="240"/>
      <c r="C50" s="154"/>
    </row>
    <row r="51" ht="15.75" customHeight="1">
      <c r="B51" s="240"/>
      <c r="C51" s="154"/>
    </row>
    <row r="52" ht="15.75" customHeight="1">
      <c r="B52" s="240"/>
      <c r="C52" s="154"/>
    </row>
    <row r="53" ht="15.75" customHeight="1">
      <c r="B53" s="240"/>
      <c r="C53" s="154"/>
    </row>
    <row r="54" ht="15.75" customHeight="1">
      <c r="B54" s="240"/>
      <c r="C54" s="154"/>
    </row>
    <row r="55" ht="15.75" customHeight="1">
      <c r="B55" s="240"/>
      <c r="C55" s="154"/>
    </row>
    <row r="56" ht="15.75" customHeight="1">
      <c r="B56" s="240"/>
      <c r="C56" s="154"/>
    </row>
    <row r="57" ht="15.75" customHeight="1">
      <c r="B57" s="240"/>
      <c r="C57" s="154"/>
    </row>
    <row r="58" ht="15.75" customHeight="1">
      <c r="B58" s="240"/>
      <c r="C58" s="154"/>
    </row>
    <row r="59" ht="15.75" customHeight="1">
      <c r="B59" s="240"/>
      <c r="C59" s="154"/>
    </row>
    <row r="60" ht="15.75" customHeight="1">
      <c r="B60" s="240"/>
      <c r="C60" s="154"/>
    </row>
    <row r="61" ht="15.75" customHeight="1">
      <c r="B61" s="240"/>
      <c r="C61" s="154"/>
    </row>
    <row r="62" ht="15.75" customHeight="1">
      <c r="B62" s="240"/>
      <c r="C62" s="154"/>
    </row>
    <row r="63" ht="15.75" customHeight="1">
      <c r="B63" s="240"/>
      <c r="C63" s="154"/>
    </row>
    <row r="64" ht="15.75" customHeight="1">
      <c r="B64" s="240"/>
      <c r="C64" s="154"/>
    </row>
    <row r="65" ht="15.75" customHeight="1">
      <c r="B65" s="240"/>
      <c r="C65" s="154"/>
    </row>
    <row r="66" ht="15.75" customHeight="1">
      <c r="B66" s="240"/>
      <c r="C66" s="154"/>
    </row>
    <row r="67" ht="15.75" customHeight="1">
      <c r="B67" s="240"/>
      <c r="C67" s="154"/>
    </row>
    <row r="68" ht="15.75" customHeight="1">
      <c r="B68" s="240"/>
      <c r="C68" s="154"/>
    </row>
    <row r="69" ht="15.75" customHeight="1">
      <c r="B69" s="240"/>
      <c r="C69" s="154"/>
    </row>
    <row r="70" ht="15.75" customHeight="1">
      <c r="B70" s="240"/>
      <c r="C70" s="154"/>
    </row>
    <row r="71" ht="15.75" customHeight="1">
      <c r="B71" s="240"/>
      <c r="C71" s="154"/>
    </row>
    <row r="72" ht="15.75" customHeight="1">
      <c r="B72" s="240"/>
      <c r="C72" s="154"/>
    </row>
    <row r="73" ht="15.75" customHeight="1">
      <c r="B73" s="240"/>
      <c r="C73" s="154"/>
    </row>
    <row r="74" ht="15.75" customHeight="1">
      <c r="B74" s="240"/>
      <c r="C74" s="154"/>
    </row>
    <row r="75" ht="15.75" customHeight="1">
      <c r="B75" s="240"/>
      <c r="C75" s="154"/>
    </row>
    <row r="76" ht="15.75" customHeight="1">
      <c r="B76" s="240"/>
      <c r="C76" s="154"/>
    </row>
    <row r="77" ht="15.75" customHeight="1">
      <c r="B77" s="240"/>
      <c r="C77" s="154"/>
    </row>
    <row r="78" ht="15.75" customHeight="1">
      <c r="B78" s="240"/>
      <c r="C78" s="154"/>
    </row>
    <row r="79" ht="15.75" customHeight="1">
      <c r="B79" s="240"/>
      <c r="C79" s="154"/>
    </row>
    <row r="80" ht="15.75" customHeight="1">
      <c r="B80" s="240"/>
      <c r="C80" s="154"/>
    </row>
    <row r="81" ht="15.75" customHeight="1">
      <c r="B81" s="240"/>
      <c r="C81" s="154"/>
    </row>
    <row r="82" ht="15.75" customHeight="1">
      <c r="B82" s="240"/>
      <c r="C82" s="154"/>
    </row>
    <row r="83" ht="15.75" customHeight="1">
      <c r="B83" s="240"/>
      <c r="C83" s="154"/>
    </row>
    <row r="84" ht="15.75" customHeight="1">
      <c r="B84" s="240"/>
      <c r="C84" s="154"/>
    </row>
    <row r="85" ht="15.75" customHeight="1">
      <c r="B85" s="240"/>
      <c r="C85" s="154"/>
    </row>
    <row r="86" ht="15.75" customHeight="1">
      <c r="B86" s="240"/>
      <c r="C86" s="154"/>
    </row>
    <row r="87" ht="15.75" customHeight="1">
      <c r="B87" s="240"/>
      <c r="C87" s="154"/>
    </row>
    <row r="88" ht="15.75" customHeight="1">
      <c r="B88" s="240"/>
      <c r="C88" s="154"/>
    </row>
    <row r="89" ht="15.75" customHeight="1">
      <c r="A89" s="515"/>
      <c r="B89" s="240"/>
      <c r="C89" s="154"/>
    </row>
    <row r="90" ht="15.75" customHeight="1">
      <c r="B90" s="240"/>
      <c r="C90" s="154"/>
    </row>
    <row r="91" ht="15.75" customHeight="1">
      <c r="B91" s="240"/>
      <c r="C91" s="154"/>
    </row>
    <row r="92" ht="15.75" customHeight="1">
      <c r="B92" s="240"/>
      <c r="C92" s="154"/>
    </row>
    <row r="93" ht="15.75" customHeight="1">
      <c r="B93" s="240"/>
      <c r="C93" s="154"/>
    </row>
    <row r="94" ht="15.75" customHeight="1">
      <c r="B94" s="240"/>
      <c r="C94" s="154"/>
    </row>
    <row r="95" ht="15.75" customHeight="1">
      <c r="B95" s="240"/>
      <c r="C95" s="154"/>
    </row>
    <row r="96" ht="15.75" customHeight="1">
      <c r="B96" s="240"/>
      <c r="C96" s="154"/>
    </row>
    <row r="97" ht="15.75" customHeight="1">
      <c r="B97" s="240"/>
      <c r="C97" s="154"/>
    </row>
    <row r="98" ht="15.75" customHeight="1">
      <c r="B98" s="240"/>
      <c r="C98" s="154"/>
    </row>
    <row r="99" ht="15.75" customHeight="1">
      <c r="B99" s="240"/>
      <c r="C99" s="154"/>
    </row>
    <row r="100" ht="15.75" customHeight="1">
      <c r="B100" s="240"/>
      <c r="C100" s="154"/>
    </row>
    <row r="101" ht="15.75" customHeight="1">
      <c r="B101" s="240"/>
      <c r="C101" s="154"/>
    </row>
    <row r="102" ht="15.75" customHeight="1">
      <c r="B102" s="240"/>
      <c r="C102" s="154"/>
    </row>
    <row r="103" ht="15.75" customHeight="1">
      <c r="B103" s="240"/>
      <c r="C103" s="154"/>
    </row>
    <row r="104" ht="15.75" customHeight="1">
      <c r="B104" s="240"/>
      <c r="C104" s="154"/>
    </row>
    <row r="105" ht="15.75" customHeight="1">
      <c r="B105" s="240"/>
      <c r="C105" s="154"/>
    </row>
    <row r="106" ht="15.75" customHeight="1">
      <c r="B106" s="240"/>
      <c r="C106" s="154"/>
    </row>
    <row r="107" ht="15.75" customHeight="1">
      <c r="B107" s="240"/>
      <c r="C107" s="154"/>
    </row>
    <row r="108" ht="15.75" customHeight="1">
      <c r="B108" s="240"/>
      <c r="C108" s="154"/>
    </row>
    <row r="109" ht="15.75" customHeight="1">
      <c r="B109" s="240"/>
      <c r="C109" s="154"/>
    </row>
    <row r="110" ht="15.75" customHeight="1">
      <c r="B110" s="240"/>
      <c r="C110" s="154"/>
    </row>
    <row r="111" ht="15.75" customHeight="1">
      <c r="B111" s="240"/>
      <c r="C111" s="154"/>
    </row>
    <row r="112" ht="15.75" customHeight="1">
      <c r="B112" s="240"/>
      <c r="C112" s="154"/>
    </row>
    <row r="113" ht="15.75" customHeight="1">
      <c r="B113" s="240"/>
      <c r="C113" s="154"/>
    </row>
    <row r="114" ht="15.75" customHeight="1">
      <c r="B114" s="240"/>
      <c r="C114" s="154"/>
    </row>
    <row r="115" ht="15.75" customHeight="1">
      <c r="B115" s="240"/>
      <c r="C115" s="154"/>
    </row>
    <row r="116" ht="15.75" customHeight="1">
      <c r="B116" s="240"/>
      <c r="C116" s="154"/>
    </row>
    <row r="117" ht="15.75" customHeight="1">
      <c r="B117" s="240"/>
      <c r="C117" s="154"/>
    </row>
    <row r="118" ht="15.75" customHeight="1">
      <c r="B118" s="240"/>
      <c r="C118" s="154"/>
    </row>
    <row r="119" ht="15.75" customHeight="1">
      <c r="B119" s="240"/>
      <c r="C119" s="154"/>
    </row>
    <row r="120" ht="15.75" customHeight="1">
      <c r="B120" s="240"/>
      <c r="C120" s="154"/>
    </row>
    <row r="121" ht="15.75" customHeight="1">
      <c r="B121" s="240"/>
      <c r="C121" s="154"/>
    </row>
    <row r="122" ht="15.75" customHeight="1">
      <c r="B122" s="240"/>
      <c r="C122" s="154"/>
    </row>
    <row r="123" ht="15.75" customHeight="1">
      <c r="B123" s="240"/>
      <c r="C123" s="154"/>
    </row>
    <row r="124" ht="15.75" customHeight="1">
      <c r="B124" s="240"/>
      <c r="C124" s="154"/>
    </row>
    <row r="125" ht="15.75" customHeight="1">
      <c r="B125" s="240"/>
      <c r="C125" s="154"/>
    </row>
    <row r="126" ht="15.75" customHeight="1">
      <c r="B126" s="240"/>
      <c r="C126" s="154"/>
    </row>
    <row r="127" ht="15.75" customHeight="1">
      <c r="B127" s="240"/>
      <c r="C127" s="154"/>
    </row>
    <row r="128" ht="15.75" customHeight="1">
      <c r="B128" s="240"/>
      <c r="C128" s="154"/>
    </row>
    <row r="129" ht="15.75" customHeight="1">
      <c r="B129" s="240"/>
      <c r="C129" s="154"/>
    </row>
    <row r="130" ht="15.75" customHeight="1">
      <c r="B130" s="240"/>
      <c r="C130" s="154"/>
    </row>
    <row r="131" ht="15.75" customHeight="1">
      <c r="B131" s="240"/>
      <c r="C131" s="154"/>
    </row>
    <row r="132" ht="15.75" customHeight="1">
      <c r="B132" s="240"/>
      <c r="C132" s="154"/>
    </row>
    <row r="133" ht="15.75" customHeight="1">
      <c r="B133" s="240"/>
      <c r="C133" s="154"/>
    </row>
    <row r="134" ht="15.75" customHeight="1">
      <c r="B134" s="240"/>
      <c r="C134" s="154"/>
    </row>
    <row r="135" ht="15.75" customHeight="1">
      <c r="B135" s="240"/>
      <c r="C135" s="154"/>
    </row>
    <row r="136" ht="15.75" customHeight="1">
      <c r="B136" s="240"/>
      <c r="C136" s="154"/>
    </row>
    <row r="137" ht="15.75" customHeight="1">
      <c r="B137" s="240"/>
      <c r="C137" s="154"/>
    </row>
    <row r="138" ht="15.75" customHeight="1">
      <c r="B138" s="240"/>
      <c r="C138" s="154"/>
    </row>
    <row r="139" ht="15.75" customHeight="1">
      <c r="B139" s="240"/>
      <c r="C139" s="154"/>
    </row>
    <row r="140" ht="15.75" customHeight="1">
      <c r="B140" s="240"/>
      <c r="C140" s="154"/>
    </row>
    <row r="141" ht="15.75" customHeight="1">
      <c r="B141" s="240"/>
      <c r="C141" s="154"/>
    </row>
    <row r="142" ht="15.75" customHeight="1">
      <c r="B142" s="240"/>
      <c r="C142" s="154"/>
    </row>
    <row r="143" ht="15.75" customHeight="1">
      <c r="B143" s="240"/>
      <c r="C143" s="154"/>
    </row>
    <row r="144" ht="15.75" customHeight="1">
      <c r="B144" s="240"/>
      <c r="C144" s="154"/>
    </row>
    <row r="145" ht="15.75" customHeight="1">
      <c r="B145" s="240"/>
      <c r="C145" s="154"/>
    </row>
    <row r="146" ht="15.75" customHeight="1">
      <c r="B146" s="240"/>
      <c r="C146" s="154"/>
    </row>
    <row r="147" ht="15.75" customHeight="1">
      <c r="B147" s="240"/>
      <c r="C147" s="154"/>
    </row>
    <row r="148" ht="15.75" customHeight="1">
      <c r="B148" s="240"/>
      <c r="C148" s="154"/>
    </row>
    <row r="149" ht="15.75" customHeight="1">
      <c r="B149" s="240"/>
      <c r="C149" s="154"/>
    </row>
    <row r="150" ht="15.75" customHeight="1">
      <c r="B150" s="240"/>
      <c r="C150" s="154"/>
    </row>
    <row r="151" ht="15.75" customHeight="1">
      <c r="B151" s="240"/>
      <c r="C151" s="154"/>
    </row>
    <row r="152" ht="15.75" customHeight="1">
      <c r="B152" s="240"/>
      <c r="C152" s="154"/>
    </row>
    <row r="153" ht="15.75" customHeight="1">
      <c r="B153" s="240"/>
      <c r="C153" s="154"/>
    </row>
    <row r="154" ht="15.75" customHeight="1">
      <c r="B154" s="240"/>
      <c r="C154" s="154"/>
    </row>
    <row r="155" ht="15.75" customHeight="1">
      <c r="B155" s="240"/>
      <c r="C155" s="154"/>
    </row>
    <row r="156" ht="15.75" customHeight="1">
      <c r="B156" s="240"/>
      <c r="C156" s="154"/>
    </row>
    <row r="157" ht="15.75" customHeight="1">
      <c r="B157" s="240"/>
      <c r="C157" s="154"/>
    </row>
    <row r="158" ht="15.75" customHeight="1">
      <c r="B158" s="240"/>
      <c r="C158" s="154"/>
    </row>
    <row r="159" ht="15.75" customHeight="1">
      <c r="B159" s="240"/>
      <c r="C159" s="154"/>
    </row>
    <row r="160" ht="15.75" customHeight="1">
      <c r="B160" s="240"/>
      <c r="C160" s="154"/>
    </row>
    <row r="161" ht="15.75" customHeight="1">
      <c r="B161" s="240"/>
      <c r="C161" s="154"/>
    </row>
    <row r="162" ht="15.75" customHeight="1">
      <c r="B162" s="240"/>
      <c r="C162" s="154"/>
    </row>
    <row r="163" ht="15.75" customHeight="1">
      <c r="B163" s="240"/>
      <c r="C163" s="154"/>
    </row>
    <row r="164" ht="15.75" customHeight="1">
      <c r="B164" s="240"/>
      <c r="C164" s="154"/>
    </row>
    <row r="165" ht="15.75" customHeight="1">
      <c r="B165" s="240"/>
      <c r="C165" s="154"/>
    </row>
    <row r="166" ht="15.75" customHeight="1">
      <c r="B166" s="240"/>
      <c r="C166" s="154"/>
    </row>
    <row r="167" ht="15.75" customHeight="1">
      <c r="B167" s="240"/>
      <c r="C167" s="154"/>
    </row>
    <row r="168" ht="15.75" customHeight="1">
      <c r="B168" s="240"/>
      <c r="C168" s="154"/>
    </row>
    <row r="169" ht="15.75" customHeight="1">
      <c r="B169" s="240"/>
      <c r="C169" s="154"/>
    </row>
    <row r="170" ht="15.75" customHeight="1">
      <c r="B170" s="240"/>
      <c r="C170" s="154"/>
    </row>
    <row r="171" ht="15.75" customHeight="1">
      <c r="B171" s="240"/>
      <c r="C171" s="154"/>
    </row>
    <row r="172" ht="15.75" customHeight="1">
      <c r="B172" s="240"/>
      <c r="C172" s="154"/>
    </row>
    <row r="173" ht="15.75" customHeight="1">
      <c r="B173" s="240"/>
      <c r="C173" s="154"/>
    </row>
    <row r="174" ht="15.75" customHeight="1">
      <c r="B174" s="240"/>
      <c r="C174" s="154"/>
    </row>
    <row r="175" ht="15.75" customHeight="1">
      <c r="B175" s="240"/>
      <c r="C175" s="154"/>
    </row>
    <row r="176" ht="15.75" customHeight="1">
      <c r="B176" s="240"/>
      <c r="C176" s="154"/>
    </row>
    <row r="177" ht="15.75" customHeight="1">
      <c r="B177" s="240"/>
      <c r="C177" s="154"/>
    </row>
    <row r="178" ht="15.75" customHeight="1">
      <c r="B178" s="240"/>
      <c r="C178" s="154"/>
    </row>
    <row r="179" ht="15.75" customHeight="1">
      <c r="B179" s="240"/>
      <c r="C179" s="154"/>
    </row>
    <row r="180" ht="15.75" customHeight="1">
      <c r="B180" s="240"/>
      <c r="C180" s="154"/>
    </row>
    <row r="181" ht="15.75" customHeight="1">
      <c r="B181" s="240"/>
      <c r="C181" s="154"/>
    </row>
    <row r="182" ht="15.75" customHeight="1">
      <c r="B182" s="240"/>
      <c r="C182" s="154"/>
    </row>
    <row r="183" ht="15.75" customHeight="1">
      <c r="B183" s="240"/>
      <c r="C183" s="154"/>
    </row>
    <row r="184" ht="15.75" customHeight="1">
      <c r="B184" s="240"/>
      <c r="C184" s="154"/>
    </row>
    <row r="185" ht="15.75" customHeight="1">
      <c r="B185" s="240"/>
      <c r="C185" s="154"/>
    </row>
    <row r="186" ht="15.75" customHeight="1">
      <c r="B186" s="240"/>
      <c r="C186" s="154"/>
    </row>
    <row r="187" ht="15.75" customHeight="1">
      <c r="B187" s="240"/>
      <c r="C187" s="154"/>
    </row>
    <row r="188" ht="15.75" customHeight="1">
      <c r="B188" s="240"/>
      <c r="C188" s="154"/>
    </row>
    <row r="189" ht="15.75" customHeight="1">
      <c r="B189" s="240"/>
      <c r="C189" s="154"/>
    </row>
    <row r="190" ht="15.75" customHeight="1">
      <c r="B190" s="240"/>
      <c r="C190" s="154"/>
    </row>
    <row r="191" ht="15.75" customHeight="1">
      <c r="B191" s="240"/>
      <c r="C191" s="154"/>
    </row>
    <row r="192" ht="15.75" customHeight="1">
      <c r="B192" s="240"/>
      <c r="C192" s="154"/>
    </row>
    <row r="193" ht="15.75" customHeight="1">
      <c r="B193" s="240"/>
      <c r="C193" s="154"/>
    </row>
    <row r="194" ht="15.75" customHeight="1">
      <c r="B194" s="240"/>
      <c r="C194" s="154"/>
    </row>
    <row r="195" ht="15.75" customHeight="1">
      <c r="B195" s="240"/>
      <c r="C195" s="154"/>
    </row>
    <row r="196" ht="15.75" customHeight="1">
      <c r="B196" s="240"/>
      <c r="C196" s="154"/>
    </row>
    <row r="197" ht="15.75" customHeight="1">
      <c r="B197" s="240"/>
      <c r="C197" s="154"/>
    </row>
    <row r="198" ht="15.75" customHeight="1">
      <c r="B198" s="240"/>
      <c r="C198" s="154"/>
    </row>
    <row r="199" ht="15.75" customHeight="1">
      <c r="B199" s="240"/>
      <c r="C199" s="154"/>
    </row>
    <row r="200" ht="15.75" customHeight="1">
      <c r="B200" s="240"/>
      <c r="C200" s="154"/>
    </row>
    <row r="201" ht="15.75" customHeight="1">
      <c r="B201" s="240"/>
      <c r="C201" s="154"/>
    </row>
    <row r="202" ht="15.75" customHeight="1">
      <c r="B202" s="240"/>
      <c r="C202" s="154"/>
    </row>
    <row r="203" ht="15.75" customHeight="1">
      <c r="B203" s="240"/>
      <c r="C203" s="154"/>
    </row>
    <row r="204" ht="15.75" customHeight="1">
      <c r="B204" s="240"/>
      <c r="C204" s="154"/>
    </row>
    <row r="205" ht="15.75" customHeight="1">
      <c r="B205" s="240"/>
      <c r="C205" s="154"/>
    </row>
    <row r="206" ht="15.75" customHeight="1">
      <c r="B206" s="240"/>
      <c r="C206" s="154"/>
    </row>
    <row r="207" ht="15.75" customHeight="1">
      <c r="B207" s="240"/>
      <c r="C207" s="154"/>
    </row>
    <row r="208" ht="15.75" customHeight="1">
      <c r="B208" s="240"/>
      <c r="C208" s="154"/>
    </row>
    <row r="209" ht="15.75" customHeight="1">
      <c r="B209" s="240"/>
      <c r="C209" s="154"/>
    </row>
    <row r="210" ht="15.75" customHeight="1">
      <c r="B210" s="240"/>
      <c r="C210" s="154"/>
    </row>
    <row r="211" ht="15.75" customHeight="1">
      <c r="B211" s="240"/>
      <c r="C211" s="154"/>
    </row>
    <row r="212" ht="15.75" customHeight="1">
      <c r="B212" s="240"/>
      <c r="C212" s="154"/>
    </row>
    <row r="213" ht="15.75" customHeight="1">
      <c r="B213" s="240"/>
      <c r="C213" s="154"/>
    </row>
    <row r="214" ht="15.75" customHeight="1">
      <c r="B214" s="240"/>
      <c r="C214" s="154"/>
    </row>
    <row r="215" ht="15.75" customHeight="1">
      <c r="B215" s="240"/>
      <c r="C215" s="154"/>
    </row>
    <row r="216" ht="15.75" customHeight="1">
      <c r="B216" s="240"/>
      <c r="C216" s="154"/>
    </row>
    <row r="217" ht="15.75" customHeight="1">
      <c r="B217" s="240"/>
      <c r="C217" s="154"/>
    </row>
    <row r="218" ht="15.75" customHeight="1">
      <c r="B218" s="240"/>
      <c r="C218" s="154"/>
    </row>
    <row r="219" ht="15.75" customHeight="1">
      <c r="B219" s="240"/>
      <c r="C219" s="154"/>
    </row>
    <row r="220" ht="15.75" customHeight="1">
      <c r="B220" s="240"/>
      <c r="C220" s="154"/>
    </row>
    <row r="221" ht="15.75" customHeight="1">
      <c r="B221" s="240"/>
      <c r="C221" s="154"/>
    </row>
    <row r="222" ht="15.75" customHeight="1">
      <c r="B222" s="240"/>
      <c r="C222" s="154"/>
    </row>
    <row r="223" ht="15.75" customHeight="1">
      <c r="B223" s="240"/>
      <c r="C223" s="154"/>
    </row>
    <row r="224" ht="15.75" customHeight="1">
      <c r="B224" s="240"/>
      <c r="C224" s="154"/>
    </row>
    <row r="225" ht="15.75" customHeight="1">
      <c r="B225" s="240"/>
      <c r="C225" s="154"/>
    </row>
    <row r="226" ht="15.75" customHeight="1">
      <c r="B226" s="240"/>
      <c r="C226" s="154"/>
    </row>
    <row r="227" ht="15.75" customHeight="1">
      <c r="B227" s="240"/>
      <c r="C227" s="154"/>
    </row>
    <row r="228" ht="15.75" customHeight="1">
      <c r="B228" s="240"/>
      <c r="C228" s="154"/>
    </row>
    <row r="229" ht="15.75" customHeight="1">
      <c r="B229" s="240"/>
      <c r="C229" s="154"/>
    </row>
    <row r="230" ht="15.75" customHeight="1">
      <c r="B230" s="240"/>
      <c r="C230" s="154"/>
    </row>
    <row r="231" ht="15.75" customHeight="1">
      <c r="B231" s="240"/>
      <c r="C231" s="154"/>
    </row>
    <row r="232" ht="15.75" customHeight="1">
      <c r="B232" s="240"/>
      <c r="C232" s="154"/>
    </row>
    <row r="233" ht="15.75" customHeight="1">
      <c r="B233" s="240"/>
      <c r="C233" s="154"/>
    </row>
    <row r="234" ht="15.75" customHeight="1">
      <c r="B234" s="240"/>
      <c r="C234" s="154"/>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3:B4"/>
    <mergeCell ref="C3:C4"/>
    <mergeCell ref="D3:E3"/>
    <mergeCell ref="F3:H3"/>
    <mergeCell ref="I3:K3"/>
    <mergeCell ref="M3:N3"/>
    <mergeCell ref="O3:O4"/>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2.5"/>
    <col customWidth="1" min="3" max="3" width="61.13"/>
    <col customWidth="1" min="4" max="4" width="16.13"/>
    <col customWidth="1" min="5" max="5" width="12.63"/>
    <col customWidth="1" min="6" max="6" width="14.38"/>
    <col customWidth="1" min="7" max="7" width="16.13"/>
    <col customWidth="1" min="8" max="8" width="12.0"/>
    <col customWidth="1" min="9" max="9" width="56.63"/>
    <col customWidth="1" min="10" max="10" width="62.75"/>
    <col customWidth="1" min="11" max="11" width="9.88"/>
    <col customWidth="1" min="12" max="12" width="11.38"/>
    <col customWidth="1" min="13" max="13" width="10.88"/>
    <col customWidth="1" min="14" max="14" width="12.63"/>
    <col customWidth="1" min="15" max="15" width="13.75"/>
    <col customWidth="1" min="16" max="16" width="26.13"/>
    <col customWidth="1" min="17" max="17" width="22.25"/>
    <col customWidth="1" min="18" max="18" width="19.5"/>
    <col customWidth="1" min="19" max="19" width="15.75"/>
    <col customWidth="1" min="20" max="20" width="80.38"/>
    <col customWidth="1" min="21" max="21" width="42.75"/>
    <col customWidth="1" min="22" max="22" width="42.13"/>
    <col customWidth="1" min="23" max="26" width="10.5"/>
  </cols>
  <sheetData>
    <row r="1">
      <c r="A1" s="513"/>
    </row>
    <row r="2">
      <c r="B2" s="198"/>
      <c r="C2" s="516"/>
      <c r="D2" s="517" t="s">
        <v>4965</v>
      </c>
      <c r="E2" s="516"/>
      <c r="F2" s="516"/>
      <c r="G2" s="198"/>
      <c r="H2" s="198"/>
      <c r="I2" s="198"/>
      <c r="J2" s="198"/>
      <c r="K2" s="198"/>
      <c r="L2" s="198"/>
      <c r="M2" s="198"/>
      <c r="N2" s="198"/>
      <c r="O2" s="198"/>
      <c r="P2" s="198"/>
      <c r="Q2" s="198"/>
      <c r="R2" s="198"/>
      <c r="S2" s="198"/>
      <c r="T2" s="198"/>
      <c r="U2" s="198"/>
      <c r="V2" s="198"/>
      <c r="W2" s="198"/>
    </row>
    <row r="3">
      <c r="B3" s="198"/>
      <c r="C3" s="198"/>
      <c r="D3" s="198"/>
      <c r="E3" s="198"/>
      <c r="F3" s="198"/>
      <c r="G3" s="198"/>
      <c r="H3" s="198"/>
      <c r="I3" s="198"/>
      <c r="J3" s="198"/>
      <c r="K3" s="198"/>
      <c r="L3" s="198"/>
      <c r="M3" s="198"/>
      <c r="N3" s="198"/>
      <c r="O3" s="198"/>
      <c r="P3" s="198"/>
      <c r="Q3" s="198"/>
      <c r="R3" s="198"/>
      <c r="S3" s="198"/>
      <c r="T3" s="198"/>
      <c r="U3" s="198"/>
      <c r="V3" s="198"/>
      <c r="W3" s="198"/>
    </row>
    <row r="4">
      <c r="B4" s="519" t="s">
        <v>5</v>
      </c>
      <c r="C4" s="519" t="s">
        <v>4973</v>
      </c>
      <c r="D4" s="519" t="s">
        <v>4974</v>
      </c>
      <c r="E4" s="519" t="s">
        <v>4976</v>
      </c>
      <c r="F4" s="519" t="s">
        <v>16</v>
      </c>
      <c r="G4" s="519" t="s">
        <v>15</v>
      </c>
      <c r="H4" s="519" t="s">
        <v>4977</v>
      </c>
      <c r="I4" s="519" t="s">
        <v>4978</v>
      </c>
      <c r="J4" s="519" t="s">
        <v>4980</v>
      </c>
      <c r="K4" s="519" t="s">
        <v>4974</v>
      </c>
      <c r="L4" s="519" t="s">
        <v>4982</v>
      </c>
      <c r="M4" s="519" t="s">
        <v>4983</v>
      </c>
      <c r="N4" s="519" t="s">
        <v>4976</v>
      </c>
      <c r="O4" s="519" t="s">
        <v>16</v>
      </c>
      <c r="P4" s="519" t="s">
        <v>15</v>
      </c>
      <c r="Q4" s="519" t="s">
        <v>4986</v>
      </c>
      <c r="R4" s="519" t="s">
        <v>4988</v>
      </c>
      <c r="S4" s="519" t="s">
        <v>4989</v>
      </c>
      <c r="T4" s="519" t="s">
        <v>4991</v>
      </c>
      <c r="U4" s="519" t="s">
        <v>4992</v>
      </c>
      <c r="V4" s="519" t="s">
        <v>4994</v>
      </c>
      <c r="W4" s="198"/>
    </row>
    <row r="5">
      <c r="B5" s="520">
        <v>1.0</v>
      </c>
      <c r="C5" s="520" t="s">
        <v>4998</v>
      </c>
      <c r="D5" s="520" t="s">
        <v>5000</v>
      </c>
      <c r="E5" s="520" t="s">
        <v>5001</v>
      </c>
      <c r="F5" s="520" t="s">
        <v>5002</v>
      </c>
      <c r="G5" s="520" t="s">
        <v>5002</v>
      </c>
      <c r="H5" s="521">
        <v>45971.0</v>
      </c>
      <c r="I5" s="520" t="s">
        <v>5004</v>
      </c>
      <c r="J5" s="50" t="s">
        <v>5005</v>
      </c>
      <c r="K5" s="50" t="s">
        <v>5000</v>
      </c>
      <c r="L5" s="50" t="s">
        <v>4239</v>
      </c>
      <c r="M5" s="50" t="s">
        <v>32</v>
      </c>
      <c r="N5" s="50" t="s">
        <v>610</v>
      </c>
      <c r="O5" s="50" t="s">
        <v>2704</v>
      </c>
      <c r="P5" s="50" t="s">
        <v>2704</v>
      </c>
      <c r="Q5" s="160">
        <v>45477.0</v>
      </c>
      <c r="R5" s="160">
        <v>46207.0</v>
      </c>
      <c r="S5" s="524" t="s">
        <v>5010</v>
      </c>
      <c r="T5" s="50"/>
      <c r="U5" s="50"/>
      <c r="V5" s="50"/>
      <c r="W5" s="198"/>
    </row>
    <row r="6">
      <c r="B6" s="433"/>
      <c r="C6" s="433"/>
      <c r="D6" s="433"/>
      <c r="E6" s="433"/>
      <c r="F6" s="433"/>
      <c r="G6" s="433"/>
      <c r="H6" s="433"/>
      <c r="I6" s="433"/>
      <c r="J6" s="50" t="s">
        <v>5015</v>
      </c>
      <c r="K6" s="50" t="s">
        <v>5016</v>
      </c>
      <c r="L6" s="50" t="s">
        <v>4231</v>
      </c>
      <c r="M6" s="50" t="s">
        <v>50</v>
      </c>
      <c r="N6" s="50" t="s">
        <v>610</v>
      </c>
      <c r="O6" s="50" t="s">
        <v>2652</v>
      </c>
      <c r="P6" s="50" t="s">
        <v>2652</v>
      </c>
      <c r="Q6" s="160">
        <v>45391.0</v>
      </c>
      <c r="R6" s="160">
        <v>46121.0</v>
      </c>
      <c r="S6" s="524" t="s">
        <v>5010</v>
      </c>
      <c r="T6" s="50"/>
      <c r="U6" s="50"/>
      <c r="V6" s="50"/>
      <c r="W6" s="198"/>
    </row>
    <row r="7">
      <c r="B7" s="520">
        <v>2.0</v>
      </c>
      <c r="C7" s="520" t="s">
        <v>5019</v>
      </c>
      <c r="D7" s="520" t="s">
        <v>5000</v>
      </c>
      <c r="E7" s="520" t="s">
        <v>4646</v>
      </c>
      <c r="F7" s="520" t="s">
        <v>4646</v>
      </c>
      <c r="G7" s="520" t="s">
        <v>5020</v>
      </c>
      <c r="H7" s="76">
        <v>45971.0</v>
      </c>
      <c r="I7" s="50" t="s">
        <v>5021</v>
      </c>
      <c r="J7" s="50" t="s">
        <v>5022</v>
      </c>
      <c r="K7" s="50" t="s">
        <v>5000</v>
      </c>
      <c r="L7" s="50" t="s">
        <v>4258</v>
      </c>
      <c r="M7" s="50" t="s">
        <v>32</v>
      </c>
      <c r="N7" s="50" t="s">
        <v>240</v>
      </c>
      <c r="O7" s="50" t="s">
        <v>240</v>
      </c>
      <c r="P7" s="50" t="s">
        <v>240</v>
      </c>
      <c r="Q7" s="160">
        <v>45901.0</v>
      </c>
      <c r="R7" s="160">
        <v>46997.0</v>
      </c>
      <c r="S7" s="50" t="s">
        <v>4989</v>
      </c>
      <c r="T7" s="50"/>
      <c r="U7" s="50"/>
      <c r="V7" s="50"/>
      <c r="W7" s="198"/>
    </row>
    <row r="8">
      <c r="B8" s="527"/>
      <c r="C8" s="527"/>
      <c r="D8" s="527"/>
      <c r="E8" s="527"/>
      <c r="F8" s="527"/>
      <c r="G8" s="527"/>
      <c r="H8" s="528">
        <v>45939.0</v>
      </c>
      <c r="I8" s="529" t="s">
        <v>5030</v>
      </c>
      <c r="J8" s="50" t="s">
        <v>5032</v>
      </c>
      <c r="K8" s="50" t="s">
        <v>5000</v>
      </c>
      <c r="L8" s="50" t="s">
        <v>4258</v>
      </c>
      <c r="M8" s="50" t="s">
        <v>32</v>
      </c>
      <c r="N8" s="50" t="s">
        <v>47</v>
      </c>
      <c r="O8" s="50" t="s">
        <v>47</v>
      </c>
      <c r="P8" s="50" t="s">
        <v>2212</v>
      </c>
      <c r="Q8" s="160">
        <v>45841.0</v>
      </c>
      <c r="R8" s="160">
        <v>46937.0</v>
      </c>
      <c r="S8" s="50" t="s">
        <v>4989</v>
      </c>
      <c r="T8" s="50"/>
      <c r="U8" s="50"/>
      <c r="V8" s="50"/>
      <c r="W8" s="198"/>
    </row>
    <row r="9">
      <c r="B9" s="527"/>
      <c r="C9" s="527"/>
      <c r="D9" s="527"/>
      <c r="E9" s="527"/>
      <c r="F9" s="527"/>
      <c r="G9" s="527"/>
      <c r="H9" s="530">
        <v>45953.0</v>
      </c>
      <c r="I9" s="276" t="s">
        <v>5038</v>
      </c>
      <c r="J9" s="50" t="s">
        <v>5040</v>
      </c>
      <c r="K9" s="50" t="s">
        <v>5000</v>
      </c>
      <c r="L9" s="50" t="s">
        <v>4255</v>
      </c>
      <c r="M9" s="50" t="s">
        <v>32</v>
      </c>
      <c r="N9" s="50" t="s">
        <v>610</v>
      </c>
      <c r="O9" s="50" t="s">
        <v>610</v>
      </c>
      <c r="P9" s="50" t="s">
        <v>610</v>
      </c>
      <c r="Q9" s="160">
        <v>45733.0</v>
      </c>
      <c r="R9" s="160">
        <v>46829.0</v>
      </c>
      <c r="S9" s="50" t="s">
        <v>4989</v>
      </c>
      <c r="T9" s="50"/>
      <c r="U9" s="50"/>
      <c r="V9" s="50"/>
      <c r="W9" s="198"/>
    </row>
    <row r="10">
      <c r="B10" s="527"/>
      <c r="C10" s="527"/>
      <c r="D10" s="527"/>
      <c r="E10" s="527"/>
      <c r="F10" s="527"/>
      <c r="G10" s="527"/>
      <c r="H10" s="527"/>
      <c r="I10" s="527"/>
      <c r="J10" s="50" t="s">
        <v>5045</v>
      </c>
      <c r="K10" s="50" t="s">
        <v>5000</v>
      </c>
      <c r="L10" s="50" t="s">
        <v>4239</v>
      </c>
      <c r="M10" s="50" t="s">
        <v>32</v>
      </c>
      <c r="N10" s="50" t="s">
        <v>47</v>
      </c>
      <c r="O10" s="50" t="s">
        <v>47</v>
      </c>
      <c r="P10" s="50" t="s">
        <v>46</v>
      </c>
      <c r="Q10" s="160">
        <v>45811.0</v>
      </c>
      <c r="R10" s="160">
        <v>46907.0</v>
      </c>
      <c r="S10" s="50" t="s">
        <v>4989</v>
      </c>
      <c r="T10" s="50"/>
      <c r="U10" s="50"/>
      <c r="V10" s="50"/>
      <c r="W10" s="198"/>
    </row>
    <row r="11">
      <c r="B11" s="527"/>
      <c r="C11" s="527"/>
      <c r="D11" s="527"/>
      <c r="E11" s="527"/>
      <c r="F11" s="527"/>
      <c r="G11" s="527"/>
      <c r="H11" s="527"/>
      <c r="I11" s="527"/>
      <c r="J11" s="50" t="s">
        <v>5052</v>
      </c>
      <c r="K11" s="50" t="s">
        <v>5000</v>
      </c>
      <c r="L11" s="50" t="s">
        <v>4239</v>
      </c>
      <c r="M11" s="50" t="s">
        <v>32</v>
      </c>
      <c r="N11" s="50" t="s">
        <v>47</v>
      </c>
      <c r="O11" s="50" t="s">
        <v>47</v>
      </c>
      <c r="P11" s="50" t="s">
        <v>1921</v>
      </c>
      <c r="Q11" s="160">
        <v>45811.0</v>
      </c>
      <c r="R11" s="160">
        <v>46907.0</v>
      </c>
      <c r="S11" s="50" t="s">
        <v>4989</v>
      </c>
      <c r="T11" s="50"/>
      <c r="U11" s="50"/>
      <c r="V11" s="50"/>
      <c r="W11" s="198"/>
    </row>
    <row r="12">
      <c r="B12" s="527"/>
      <c r="C12" s="527"/>
      <c r="D12" s="527"/>
      <c r="E12" s="527"/>
      <c r="F12" s="527"/>
      <c r="G12" s="527"/>
      <c r="H12" s="527"/>
      <c r="I12" s="527"/>
      <c r="J12" s="50" t="s">
        <v>5058</v>
      </c>
      <c r="K12" s="50" t="s">
        <v>5000</v>
      </c>
      <c r="L12" s="50" t="s">
        <v>4239</v>
      </c>
      <c r="M12" s="50" t="s">
        <v>32</v>
      </c>
      <c r="N12" s="50" t="s">
        <v>47</v>
      </c>
      <c r="O12" s="50" t="s">
        <v>47</v>
      </c>
      <c r="P12" s="50" t="s">
        <v>2618</v>
      </c>
      <c r="Q12" s="160">
        <v>45870.0</v>
      </c>
      <c r="R12" s="160">
        <v>46966.0</v>
      </c>
      <c r="S12" s="50" t="s">
        <v>4989</v>
      </c>
      <c r="T12" s="50"/>
      <c r="U12" s="50"/>
      <c r="V12" s="50"/>
      <c r="W12" s="198"/>
    </row>
    <row r="13">
      <c r="B13" s="527"/>
      <c r="C13" s="527"/>
      <c r="D13" s="527"/>
      <c r="E13" s="527"/>
      <c r="F13" s="527"/>
      <c r="G13" s="527"/>
      <c r="H13" s="527"/>
      <c r="I13" s="527"/>
      <c r="J13" s="50" t="s">
        <v>5061</v>
      </c>
      <c r="K13" s="50" t="s">
        <v>5000</v>
      </c>
      <c r="L13" s="50" t="s">
        <v>4239</v>
      </c>
      <c r="M13" s="50" t="s">
        <v>32</v>
      </c>
      <c r="N13" s="50" t="s">
        <v>47</v>
      </c>
      <c r="O13" s="50" t="s">
        <v>47</v>
      </c>
      <c r="P13" s="50" t="s">
        <v>46</v>
      </c>
      <c r="Q13" s="76">
        <v>45629.0</v>
      </c>
      <c r="R13" s="76">
        <v>46724.0</v>
      </c>
      <c r="S13" s="50" t="s">
        <v>4989</v>
      </c>
      <c r="T13" s="50"/>
      <c r="U13" s="50"/>
      <c r="V13" s="50"/>
      <c r="W13" s="198"/>
    </row>
    <row r="14">
      <c r="B14" s="527"/>
      <c r="C14" s="527"/>
      <c r="D14" s="527"/>
      <c r="E14" s="527"/>
      <c r="F14" s="527"/>
      <c r="G14" s="527"/>
      <c r="H14" s="527"/>
      <c r="I14" s="527"/>
      <c r="J14" s="50" t="s">
        <v>5067</v>
      </c>
      <c r="K14" s="50" t="s">
        <v>5000</v>
      </c>
      <c r="L14" s="50" t="s">
        <v>4255</v>
      </c>
      <c r="M14" s="50" t="s">
        <v>32</v>
      </c>
      <c r="N14" s="50" t="s">
        <v>47</v>
      </c>
      <c r="O14" s="50" t="s">
        <v>47</v>
      </c>
      <c r="P14" s="50"/>
      <c r="Q14" s="160">
        <v>45805.0</v>
      </c>
      <c r="R14" s="160">
        <v>46901.0</v>
      </c>
      <c r="S14" s="50" t="s">
        <v>4989</v>
      </c>
      <c r="T14" s="50"/>
      <c r="U14" s="50"/>
      <c r="V14" s="50"/>
      <c r="W14" s="198"/>
    </row>
    <row r="15">
      <c r="B15" s="527"/>
      <c r="C15" s="527"/>
      <c r="D15" s="527"/>
      <c r="E15" s="527"/>
      <c r="F15" s="527"/>
      <c r="G15" s="527"/>
      <c r="H15" s="527"/>
      <c r="I15" s="527"/>
      <c r="J15" s="50" t="s">
        <v>5072</v>
      </c>
      <c r="K15" s="50" t="s">
        <v>5000</v>
      </c>
      <c r="L15" s="50" t="s">
        <v>4255</v>
      </c>
      <c r="M15" s="50" t="s">
        <v>32</v>
      </c>
      <c r="N15" s="50" t="s">
        <v>47</v>
      </c>
      <c r="O15" s="50" t="s">
        <v>47</v>
      </c>
      <c r="P15" s="50" t="s">
        <v>126</v>
      </c>
      <c r="Q15" s="160">
        <v>41688.0</v>
      </c>
      <c r="R15" s="160">
        <v>42418.0</v>
      </c>
      <c r="S15" s="531" t="s">
        <v>5010</v>
      </c>
      <c r="T15" s="50" t="s">
        <v>5077</v>
      </c>
      <c r="U15" s="50" t="s">
        <v>4989</v>
      </c>
      <c r="V15" s="50"/>
      <c r="W15" s="198"/>
    </row>
    <row r="16">
      <c r="B16" s="433"/>
      <c r="C16" s="433"/>
      <c r="D16" s="433"/>
      <c r="E16" s="433"/>
      <c r="F16" s="433"/>
      <c r="G16" s="433"/>
      <c r="H16" s="433"/>
      <c r="I16" s="433"/>
      <c r="J16" s="50" t="s">
        <v>5079</v>
      </c>
      <c r="K16" s="50" t="s">
        <v>5000</v>
      </c>
      <c r="L16" s="50" t="s">
        <v>4239</v>
      </c>
      <c r="M16" s="50" t="s">
        <v>32</v>
      </c>
      <c r="N16" s="50" t="s">
        <v>47</v>
      </c>
      <c r="O16" s="50" t="s">
        <v>47</v>
      </c>
      <c r="P16" s="50" t="s">
        <v>176</v>
      </c>
      <c r="Q16" s="160">
        <v>45734.0</v>
      </c>
      <c r="R16" s="160">
        <v>46830.0</v>
      </c>
      <c r="S16" s="50" t="s">
        <v>4989</v>
      </c>
      <c r="T16" s="50"/>
      <c r="U16" s="50"/>
      <c r="V16" s="50"/>
      <c r="W16" s="198"/>
    </row>
    <row r="17">
      <c r="B17" s="520">
        <v>3.0</v>
      </c>
      <c r="C17" s="520" t="s">
        <v>5088</v>
      </c>
      <c r="D17" s="520" t="s">
        <v>5000</v>
      </c>
      <c r="E17" s="520" t="s">
        <v>4646</v>
      </c>
      <c r="F17" s="520" t="s">
        <v>4646</v>
      </c>
      <c r="G17" s="520" t="s">
        <v>5091</v>
      </c>
      <c r="H17" s="521">
        <v>45964.0</v>
      </c>
      <c r="I17" s="520"/>
      <c r="J17" s="57" t="s">
        <v>5095</v>
      </c>
      <c r="K17" s="50" t="s">
        <v>5000</v>
      </c>
      <c r="L17" s="50" t="s">
        <v>4239</v>
      </c>
      <c r="M17" s="50" t="s">
        <v>32</v>
      </c>
      <c r="N17" s="50" t="s">
        <v>47</v>
      </c>
      <c r="O17" s="50" t="s">
        <v>47</v>
      </c>
      <c r="P17" s="50" t="s">
        <v>2212</v>
      </c>
      <c r="Q17" s="50" t="s">
        <v>5103</v>
      </c>
      <c r="R17" s="50" t="s">
        <v>5104</v>
      </c>
      <c r="S17" s="50" t="s">
        <v>4989</v>
      </c>
      <c r="T17" s="50"/>
      <c r="U17" s="50"/>
      <c r="V17" s="50"/>
      <c r="W17" s="198"/>
    </row>
    <row r="18">
      <c r="B18" s="527"/>
      <c r="C18" s="527"/>
      <c r="D18" s="527"/>
      <c r="E18" s="527"/>
      <c r="F18" s="527"/>
      <c r="G18" s="527"/>
      <c r="H18" s="527"/>
      <c r="I18" s="527"/>
      <c r="J18" s="57" t="s">
        <v>5106</v>
      </c>
      <c r="K18" s="50" t="s">
        <v>5000</v>
      </c>
      <c r="L18" s="50" t="s">
        <v>4239</v>
      </c>
      <c r="M18" s="50" t="s">
        <v>32</v>
      </c>
      <c r="N18" s="50" t="s">
        <v>240</v>
      </c>
      <c r="O18" s="50" t="s">
        <v>240</v>
      </c>
      <c r="P18" s="50" t="s">
        <v>876</v>
      </c>
      <c r="Q18" s="76">
        <v>45947.0</v>
      </c>
      <c r="R18" s="76">
        <v>47043.0</v>
      </c>
      <c r="S18" s="50" t="s">
        <v>4989</v>
      </c>
      <c r="T18" s="50"/>
      <c r="U18" s="50"/>
      <c r="V18" s="50"/>
      <c r="W18" s="198"/>
    </row>
    <row r="19">
      <c r="B19" s="527"/>
      <c r="C19" s="527"/>
      <c r="D19" s="527"/>
      <c r="E19" s="527"/>
      <c r="F19" s="527"/>
      <c r="G19" s="527"/>
      <c r="H19" s="527"/>
      <c r="I19" s="527"/>
      <c r="J19" s="57" t="s">
        <v>5113</v>
      </c>
      <c r="K19" s="50" t="s">
        <v>5000</v>
      </c>
      <c r="L19" s="50" t="s">
        <v>4239</v>
      </c>
      <c r="M19" s="50" t="s">
        <v>32</v>
      </c>
      <c r="N19" s="50" t="s">
        <v>210</v>
      </c>
      <c r="O19" s="50" t="s">
        <v>2396</v>
      </c>
      <c r="P19" s="50" t="s">
        <v>207</v>
      </c>
      <c r="Q19" s="160">
        <v>45812.0</v>
      </c>
      <c r="R19" s="160">
        <v>46908.0</v>
      </c>
      <c r="S19" s="50" t="s">
        <v>4989</v>
      </c>
      <c r="T19" s="50"/>
      <c r="U19" s="50"/>
      <c r="V19" s="50"/>
      <c r="W19" s="198"/>
    </row>
    <row r="20">
      <c r="B20" s="527"/>
      <c r="C20" s="527"/>
      <c r="D20" s="527"/>
      <c r="E20" s="527"/>
      <c r="F20" s="527"/>
      <c r="G20" s="527"/>
      <c r="H20" s="527"/>
      <c r="I20" s="527"/>
      <c r="J20" s="57" t="s">
        <v>5116</v>
      </c>
      <c r="K20" s="50" t="s">
        <v>5000</v>
      </c>
      <c r="L20" s="50" t="s">
        <v>4239</v>
      </c>
      <c r="M20" s="50" t="s">
        <v>32</v>
      </c>
      <c r="N20" s="50" t="s">
        <v>47</v>
      </c>
      <c r="O20" s="50" t="s">
        <v>47</v>
      </c>
      <c r="P20" s="50" t="s">
        <v>2618</v>
      </c>
      <c r="Q20" s="160">
        <v>45853.0</v>
      </c>
      <c r="R20" s="160">
        <v>46949.0</v>
      </c>
      <c r="S20" s="50" t="s">
        <v>4989</v>
      </c>
      <c r="T20" s="50"/>
      <c r="U20" s="50"/>
      <c r="V20" s="50"/>
      <c r="W20" s="198"/>
    </row>
    <row r="21" ht="15.75" customHeight="1">
      <c r="B21" s="527"/>
      <c r="C21" s="527"/>
      <c r="D21" s="527"/>
      <c r="E21" s="527"/>
      <c r="F21" s="527"/>
      <c r="G21" s="527"/>
      <c r="H21" s="527"/>
      <c r="I21" s="527"/>
      <c r="J21" s="57" t="s">
        <v>5123</v>
      </c>
      <c r="K21" s="50" t="s">
        <v>5000</v>
      </c>
      <c r="L21" s="50" t="s">
        <v>4239</v>
      </c>
      <c r="M21" s="50" t="s">
        <v>32</v>
      </c>
      <c r="N21" s="50" t="s">
        <v>47</v>
      </c>
      <c r="O21" s="50" t="s">
        <v>47</v>
      </c>
      <c r="P21" s="50" t="s">
        <v>437</v>
      </c>
      <c r="Q21" s="532">
        <v>45985.0</v>
      </c>
      <c r="R21" s="532">
        <v>45988.0</v>
      </c>
      <c r="S21" s="50" t="s">
        <v>4989</v>
      </c>
      <c r="T21" s="50"/>
      <c r="U21" s="50"/>
      <c r="V21" s="50"/>
      <c r="W21" s="198"/>
    </row>
    <row r="22" ht="15.75" customHeight="1">
      <c r="B22" s="527"/>
      <c r="C22" s="527"/>
      <c r="D22" s="527"/>
      <c r="E22" s="527"/>
      <c r="F22" s="527"/>
      <c r="G22" s="527"/>
      <c r="H22" s="527"/>
      <c r="I22" s="527"/>
      <c r="J22" s="57" t="s">
        <v>5130</v>
      </c>
      <c r="K22" s="50" t="s">
        <v>5016</v>
      </c>
      <c r="L22" s="50" t="s">
        <v>4231</v>
      </c>
      <c r="M22" s="50" t="s">
        <v>50</v>
      </c>
      <c r="N22" s="50" t="s">
        <v>5131</v>
      </c>
      <c r="O22" s="50" t="s">
        <v>702</v>
      </c>
      <c r="P22" s="50" t="s">
        <v>701</v>
      </c>
      <c r="Q22" s="160">
        <v>45049.0</v>
      </c>
      <c r="R22" s="160">
        <v>46145.0</v>
      </c>
      <c r="S22" s="524" t="s">
        <v>5010</v>
      </c>
      <c r="T22" s="50"/>
      <c r="U22" s="50"/>
      <c r="V22" s="50"/>
      <c r="W22" s="198"/>
    </row>
    <row r="23" ht="15.75" customHeight="1">
      <c r="B23" s="527"/>
      <c r="C23" s="527"/>
      <c r="D23" s="527"/>
      <c r="E23" s="527"/>
      <c r="F23" s="527"/>
      <c r="G23" s="527"/>
      <c r="H23" s="527"/>
      <c r="I23" s="527"/>
      <c r="J23" s="57" t="s">
        <v>5136</v>
      </c>
      <c r="K23" s="50" t="s">
        <v>5000</v>
      </c>
      <c r="L23" s="50" t="s">
        <v>4239</v>
      </c>
      <c r="M23" s="50" t="s">
        <v>32</v>
      </c>
      <c r="N23" s="50" t="s">
        <v>47</v>
      </c>
      <c r="O23" s="50" t="s">
        <v>47</v>
      </c>
      <c r="P23" s="50" t="s">
        <v>46</v>
      </c>
      <c r="Q23" s="76">
        <v>44860.0</v>
      </c>
      <c r="R23" s="76">
        <v>45956.0</v>
      </c>
      <c r="S23" s="531" t="s">
        <v>5010</v>
      </c>
      <c r="T23" s="50"/>
      <c r="U23" s="50"/>
      <c r="V23" s="50"/>
      <c r="W23" s="198"/>
    </row>
    <row r="24" ht="15.75" customHeight="1">
      <c r="B24" s="527"/>
      <c r="C24" s="527"/>
      <c r="D24" s="527"/>
      <c r="E24" s="527"/>
      <c r="F24" s="527"/>
      <c r="G24" s="527"/>
      <c r="H24" s="527"/>
      <c r="I24" s="527"/>
      <c r="J24" s="57" t="s">
        <v>5142</v>
      </c>
      <c r="K24" s="50" t="s">
        <v>5016</v>
      </c>
      <c r="L24" s="50" t="s">
        <v>4231</v>
      </c>
      <c r="M24" s="50" t="s">
        <v>32</v>
      </c>
      <c r="N24" s="50" t="s">
        <v>47</v>
      </c>
      <c r="O24" s="50" t="s">
        <v>47</v>
      </c>
      <c r="P24" s="50" t="s">
        <v>389</v>
      </c>
      <c r="Q24" s="76">
        <v>45244.0</v>
      </c>
      <c r="R24" s="76">
        <v>45975.0</v>
      </c>
      <c r="S24" s="531" t="s">
        <v>5010</v>
      </c>
      <c r="T24" s="50"/>
      <c r="U24" s="50"/>
      <c r="V24" s="50"/>
      <c r="W24" s="198"/>
    </row>
    <row r="25" ht="15.75" customHeight="1">
      <c r="B25" s="527"/>
      <c r="C25" s="527"/>
      <c r="D25" s="527"/>
      <c r="E25" s="527"/>
      <c r="F25" s="527"/>
      <c r="G25" s="527"/>
      <c r="H25" s="527"/>
      <c r="I25" s="527"/>
      <c r="J25" s="57" t="s">
        <v>5149</v>
      </c>
      <c r="K25" s="50" t="s">
        <v>5000</v>
      </c>
      <c r="L25" s="50" t="s">
        <v>4255</v>
      </c>
      <c r="M25" s="50" t="s">
        <v>32</v>
      </c>
      <c r="N25" s="50" t="s">
        <v>47</v>
      </c>
      <c r="O25" s="50" t="s">
        <v>47</v>
      </c>
      <c r="P25" s="50" t="s">
        <v>126</v>
      </c>
      <c r="Q25" s="160">
        <v>45334.0</v>
      </c>
      <c r="R25" s="166">
        <v>46065.0</v>
      </c>
      <c r="S25" s="531" t="s">
        <v>5010</v>
      </c>
      <c r="T25" s="50"/>
      <c r="U25" s="50"/>
      <c r="V25" s="50"/>
      <c r="W25" s="198"/>
    </row>
    <row r="26" ht="15.75" customHeight="1">
      <c r="B26" s="527"/>
      <c r="C26" s="527"/>
      <c r="D26" s="527"/>
      <c r="E26" s="527"/>
      <c r="F26" s="527"/>
      <c r="G26" s="527"/>
      <c r="H26" s="527"/>
      <c r="I26" s="527"/>
      <c r="J26" s="57" t="s">
        <v>5153</v>
      </c>
      <c r="K26" s="50" t="s">
        <v>5016</v>
      </c>
      <c r="L26" s="50" t="s">
        <v>4231</v>
      </c>
      <c r="M26" s="50" t="s">
        <v>32</v>
      </c>
      <c r="N26" s="50" t="s">
        <v>47</v>
      </c>
      <c r="O26" s="50" t="s">
        <v>47</v>
      </c>
      <c r="P26" s="50" t="s">
        <v>2618</v>
      </c>
      <c r="Q26" s="76">
        <v>45278.0</v>
      </c>
      <c r="R26" s="91">
        <v>46009.0</v>
      </c>
      <c r="S26" s="531" t="s">
        <v>5010</v>
      </c>
      <c r="T26" s="50"/>
      <c r="U26" s="50"/>
      <c r="V26" s="50"/>
      <c r="W26" s="198"/>
    </row>
    <row r="27" ht="15.75" customHeight="1">
      <c r="B27" s="527"/>
      <c r="C27" s="527"/>
      <c r="D27" s="527"/>
      <c r="E27" s="527"/>
      <c r="F27" s="527"/>
      <c r="G27" s="527"/>
      <c r="H27" s="527"/>
      <c r="I27" s="527"/>
      <c r="J27" s="57" t="s">
        <v>5159</v>
      </c>
      <c r="K27" s="50" t="s">
        <v>5016</v>
      </c>
      <c r="L27" s="50" t="s">
        <v>4231</v>
      </c>
      <c r="M27" s="50" t="s">
        <v>32</v>
      </c>
      <c r="N27" s="50" t="s">
        <v>47</v>
      </c>
      <c r="O27" s="50" t="s">
        <v>47</v>
      </c>
      <c r="P27" s="50" t="s">
        <v>156</v>
      </c>
      <c r="Q27" s="160">
        <v>45098.0</v>
      </c>
      <c r="R27" s="160">
        <v>46194.0</v>
      </c>
      <c r="S27" s="531" t="s">
        <v>5010</v>
      </c>
      <c r="T27" s="50"/>
      <c r="U27" s="50"/>
      <c r="V27" s="50"/>
      <c r="W27" s="198"/>
    </row>
    <row r="28" ht="15.75" customHeight="1">
      <c r="B28" s="527"/>
      <c r="C28" s="527"/>
      <c r="D28" s="527"/>
      <c r="E28" s="527"/>
      <c r="F28" s="527"/>
      <c r="G28" s="527"/>
      <c r="H28" s="527"/>
      <c r="I28" s="527"/>
      <c r="J28" s="57" t="s">
        <v>5165</v>
      </c>
      <c r="K28" s="50" t="s">
        <v>5000</v>
      </c>
      <c r="L28" s="50" t="s">
        <v>4231</v>
      </c>
      <c r="M28" s="50" t="s">
        <v>50</v>
      </c>
      <c r="N28" s="50" t="s">
        <v>210</v>
      </c>
      <c r="O28" s="50" t="s">
        <v>2396</v>
      </c>
      <c r="P28" s="50" t="s">
        <v>207</v>
      </c>
      <c r="Q28" s="160">
        <v>45329.0</v>
      </c>
      <c r="R28" s="160">
        <v>46060.0</v>
      </c>
      <c r="S28" s="531" t="s">
        <v>5010</v>
      </c>
      <c r="T28" s="50"/>
      <c r="U28" s="50"/>
      <c r="V28" s="50"/>
      <c r="W28" s="198"/>
    </row>
    <row r="29" ht="15.75" customHeight="1">
      <c r="B29" s="433"/>
      <c r="C29" s="433"/>
      <c r="D29" s="433"/>
      <c r="E29" s="433"/>
      <c r="F29" s="433"/>
      <c r="G29" s="433"/>
      <c r="H29" s="433"/>
      <c r="I29" s="433"/>
      <c r="J29" s="57" t="s">
        <v>5176</v>
      </c>
      <c r="K29" s="50" t="s">
        <v>5000</v>
      </c>
      <c r="L29" s="50" t="s">
        <v>4239</v>
      </c>
      <c r="M29" s="50" t="s">
        <v>32</v>
      </c>
      <c r="N29" s="50" t="s">
        <v>47</v>
      </c>
      <c r="O29" s="50" t="s">
        <v>47</v>
      </c>
      <c r="P29" s="50" t="s">
        <v>818</v>
      </c>
      <c r="Q29" s="160">
        <v>45334.0</v>
      </c>
      <c r="R29" s="166">
        <v>46065.0</v>
      </c>
      <c r="S29" s="531" t="s">
        <v>5010</v>
      </c>
      <c r="T29" s="50"/>
      <c r="U29" s="50"/>
      <c r="V29" s="50"/>
      <c r="W29" s="198"/>
    </row>
    <row r="30" ht="15.75" customHeight="1">
      <c r="B30" s="539">
        <v>3.0</v>
      </c>
      <c r="C30" s="539" t="s">
        <v>5088</v>
      </c>
      <c r="D30" s="539" t="s">
        <v>5000</v>
      </c>
      <c r="E30" s="539" t="s">
        <v>4646</v>
      </c>
      <c r="F30" s="539" t="s">
        <v>4646</v>
      </c>
      <c r="G30" s="539" t="s">
        <v>5091</v>
      </c>
      <c r="H30" s="77">
        <v>46228.0</v>
      </c>
      <c r="I30" s="541" t="s">
        <v>5196</v>
      </c>
      <c r="J30" s="113" t="s">
        <v>5199</v>
      </c>
      <c r="K30" s="113" t="s">
        <v>5000</v>
      </c>
      <c r="L30" s="113" t="s">
        <v>4239</v>
      </c>
      <c r="M30" s="113" t="s">
        <v>32</v>
      </c>
      <c r="N30" s="113" t="s">
        <v>47</v>
      </c>
      <c r="O30" s="113" t="s">
        <v>47</v>
      </c>
      <c r="P30" s="113" t="s">
        <v>1921</v>
      </c>
      <c r="Q30" s="63">
        <v>46099.0</v>
      </c>
      <c r="R30" s="63">
        <v>47195.0</v>
      </c>
      <c r="S30" s="113" t="s">
        <v>4989</v>
      </c>
      <c r="T30" s="50"/>
      <c r="U30" s="50"/>
      <c r="V30" s="50"/>
      <c r="W30" s="198"/>
    </row>
    <row r="31" ht="15.75" customHeight="1">
      <c r="B31" s="50">
        <v>4.0</v>
      </c>
      <c r="C31" s="50" t="s">
        <v>5212</v>
      </c>
      <c r="D31" s="50" t="s">
        <v>5000</v>
      </c>
      <c r="E31" s="50" t="s">
        <v>5216</v>
      </c>
      <c r="F31" s="50" t="s">
        <v>5219</v>
      </c>
      <c r="G31" s="50" t="s">
        <v>5219</v>
      </c>
      <c r="H31" s="76">
        <v>45960.0</v>
      </c>
      <c r="I31" s="50" t="s">
        <v>5223</v>
      </c>
      <c r="J31" s="50" t="s">
        <v>5225</v>
      </c>
      <c r="K31" s="50" t="s">
        <v>5000</v>
      </c>
      <c r="L31" s="50" t="s">
        <v>4239</v>
      </c>
      <c r="M31" s="50" t="s">
        <v>32</v>
      </c>
      <c r="N31" s="50" t="s">
        <v>1024</v>
      </c>
      <c r="O31" s="50" t="s">
        <v>1022</v>
      </c>
      <c r="P31" s="50" t="s">
        <v>1022</v>
      </c>
      <c r="Q31" s="160">
        <v>45552.0</v>
      </c>
      <c r="R31" s="160">
        <v>46647.0</v>
      </c>
      <c r="S31" s="50" t="s">
        <v>4989</v>
      </c>
      <c r="T31" s="50"/>
      <c r="U31" s="50"/>
      <c r="V31" s="50"/>
      <c r="W31" s="198"/>
    </row>
    <row r="32" ht="15.75" customHeight="1">
      <c r="B32" s="50">
        <v>5.0</v>
      </c>
      <c r="C32" s="50" t="s">
        <v>5235</v>
      </c>
      <c r="D32" s="50" t="s">
        <v>5000</v>
      </c>
      <c r="E32" s="50" t="s">
        <v>4646</v>
      </c>
      <c r="F32" s="50" t="s">
        <v>4646</v>
      </c>
      <c r="G32" s="50" t="s">
        <v>5238</v>
      </c>
      <c r="H32" s="76">
        <v>45957.0</v>
      </c>
      <c r="I32" s="50" t="s">
        <v>5240</v>
      </c>
      <c r="J32" s="50" t="s">
        <v>5242</v>
      </c>
      <c r="K32" s="50"/>
      <c r="L32" s="50"/>
      <c r="M32" s="50"/>
      <c r="N32" s="50"/>
      <c r="O32" s="50"/>
      <c r="P32" s="50"/>
      <c r="Q32" s="50"/>
      <c r="R32" s="50"/>
      <c r="S32" s="50" t="s">
        <v>4989</v>
      </c>
      <c r="T32" s="50"/>
      <c r="U32" s="50"/>
      <c r="V32" s="50"/>
      <c r="W32" s="198"/>
    </row>
    <row r="33" ht="15.75" customHeight="1">
      <c r="B33" s="520">
        <v>6.0</v>
      </c>
      <c r="C33" s="520" t="s">
        <v>5253</v>
      </c>
      <c r="D33" s="520" t="s">
        <v>5000</v>
      </c>
      <c r="E33" s="520" t="s">
        <v>4646</v>
      </c>
      <c r="F33" s="520" t="s">
        <v>4646</v>
      </c>
      <c r="G33" s="520" t="s">
        <v>5258</v>
      </c>
      <c r="H33" s="521">
        <v>45951.0</v>
      </c>
      <c r="I33" s="520" t="s">
        <v>5260</v>
      </c>
      <c r="J33" s="50" t="s">
        <v>5022</v>
      </c>
      <c r="K33" s="50" t="s">
        <v>5000</v>
      </c>
      <c r="L33" s="50" t="s">
        <v>4258</v>
      </c>
      <c r="M33" s="50" t="s">
        <v>32</v>
      </c>
      <c r="N33" s="50" t="s">
        <v>240</v>
      </c>
      <c r="O33" s="50" t="s">
        <v>240</v>
      </c>
      <c r="P33" s="50" t="s">
        <v>240</v>
      </c>
      <c r="Q33" s="160">
        <v>45343.0</v>
      </c>
      <c r="R33" s="166">
        <v>46074.0</v>
      </c>
      <c r="S33" s="531" t="s">
        <v>5010</v>
      </c>
      <c r="T33" s="113" t="s">
        <v>5265</v>
      </c>
      <c r="U33" s="113" t="s">
        <v>5266</v>
      </c>
      <c r="V33" s="50"/>
      <c r="W33" s="198"/>
    </row>
    <row r="34" ht="15.75" customHeight="1">
      <c r="B34" s="433"/>
      <c r="C34" s="433"/>
      <c r="D34" s="433"/>
      <c r="E34" s="433"/>
      <c r="F34" s="433"/>
      <c r="G34" s="433"/>
      <c r="H34" s="433"/>
      <c r="I34" s="433"/>
      <c r="J34" s="50" t="s">
        <v>5274</v>
      </c>
      <c r="K34" s="50" t="s">
        <v>5000</v>
      </c>
      <c r="L34" s="50" t="s">
        <v>4255</v>
      </c>
      <c r="M34" s="50" t="s">
        <v>32</v>
      </c>
      <c r="N34" s="50" t="s">
        <v>5131</v>
      </c>
      <c r="O34" s="50" t="s">
        <v>702</v>
      </c>
      <c r="P34" s="50" t="s">
        <v>701</v>
      </c>
      <c r="Q34" s="160">
        <v>45869.0</v>
      </c>
      <c r="R34" s="160">
        <v>46965.0</v>
      </c>
      <c r="S34" s="50" t="s">
        <v>4989</v>
      </c>
      <c r="T34" s="50"/>
      <c r="U34" s="50"/>
      <c r="V34" s="50"/>
      <c r="W34" s="198"/>
    </row>
    <row r="35" ht="15.75" customHeight="1">
      <c r="B35" s="50">
        <v>7.0</v>
      </c>
      <c r="C35" s="50" t="s">
        <v>5283</v>
      </c>
      <c r="D35" s="50" t="s">
        <v>5000</v>
      </c>
      <c r="E35" s="50" t="s">
        <v>5285</v>
      </c>
      <c r="F35" s="50" t="s">
        <v>5287</v>
      </c>
      <c r="G35" s="50" t="s">
        <v>5287</v>
      </c>
      <c r="H35" s="76">
        <v>45951.0</v>
      </c>
      <c r="I35" s="50" t="s">
        <v>5288</v>
      </c>
      <c r="J35" s="50" t="s">
        <v>5291</v>
      </c>
      <c r="K35" s="50" t="s">
        <v>5000</v>
      </c>
      <c r="L35" s="50" t="s">
        <v>4239</v>
      </c>
      <c r="M35" s="50" t="s">
        <v>50</v>
      </c>
      <c r="N35" s="50" t="s">
        <v>663</v>
      </c>
      <c r="O35" s="50" t="s">
        <v>5097</v>
      </c>
      <c r="P35" s="50" t="s">
        <v>5096</v>
      </c>
      <c r="Q35" s="160">
        <v>45807.0</v>
      </c>
      <c r="R35" s="160">
        <v>46537.0</v>
      </c>
      <c r="S35" s="50" t="s">
        <v>4989</v>
      </c>
      <c r="T35" s="50"/>
      <c r="U35" s="50"/>
      <c r="V35" s="50"/>
      <c r="W35" s="198"/>
    </row>
    <row r="36" ht="15.75" customHeight="1">
      <c r="B36" s="50">
        <v>8.0</v>
      </c>
      <c r="C36" s="50" t="s">
        <v>5309</v>
      </c>
      <c r="D36" s="50" t="s">
        <v>5000</v>
      </c>
      <c r="E36" s="50" t="s">
        <v>5310</v>
      </c>
      <c r="F36" s="50" t="s">
        <v>5310</v>
      </c>
      <c r="G36" s="50" t="s">
        <v>5313</v>
      </c>
      <c r="H36" s="76">
        <v>45951.0</v>
      </c>
      <c r="I36" s="50" t="s">
        <v>5315</v>
      </c>
      <c r="J36" s="50" t="s">
        <v>5316</v>
      </c>
      <c r="K36" s="50" t="s">
        <v>5000</v>
      </c>
      <c r="L36" s="50" t="s">
        <v>4239</v>
      </c>
      <c r="M36" s="50" t="s">
        <v>69</v>
      </c>
      <c r="N36" s="50" t="s">
        <v>1319</v>
      </c>
      <c r="O36" s="50" t="s">
        <v>1319</v>
      </c>
      <c r="P36" s="50" t="s">
        <v>3365</v>
      </c>
      <c r="Q36" s="76">
        <v>45951.0</v>
      </c>
      <c r="R36" s="76">
        <v>47047.0</v>
      </c>
      <c r="S36" s="50" t="s">
        <v>4989</v>
      </c>
      <c r="T36" s="50"/>
      <c r="U36" s="50"/>
      <c r="V36" s="50"/>
      <c r="W36" s="198"/>
    </row>
    <row r="37" ht="15.75" customHeight="1">
      <c r="B37" s="520">
        <v>9.0</v>
      </c>
      <c r="C37" s="520" t="s">
        <v>5326</v>
      </c>
      <c r="D37" s="520" t="s">
        <v>5000</v>
      </c>
      <c r="E37" s="520" t="s">
        <v>4646</v>
      </c>
      <c r="F37" s="520" t="s">
        <v>4646</v>
      </c>
      <c r="G37" s="520" t="s">
        <v>5330</v>
      </c>
      <c r="H37" s="521">
        <v>45950.0</v>
      </c>
      <c r="I37" s="520" t="s">
        <v>5335</v>
      </c>
      <c r="J37" s="50" t="s">
        <v>5337</v>
      </c>
      <c r="K37" s="50" t="s">
        <v>5000</v>
      </c>
      <c r="L37" s="50" t="s">
        <v>4231</v>
      </c>
      <c r="M37" s="50" t="s">
        <v>50</v>
      </c>
      <c r="N37" s="50" t="s">
        <v>47</v>
      </c>
      <c r="O37" s="50" t="s">
        <v>47</v>
      </c>
      <c r="P37" s="50" t="s">
        <v>1747</v>
      </c>
      <c r="Q37" s="76">
        <v>44883.0</v>
      </c>
      <c r="R37" s="76">
        <v>45614.0</v>
      </c>
      <c r="S37" s="524" t="s">
        <v>5010</v>
      </c>
      <c r="T37" s="50" t="s">
        <v>5345</v>
      </c>
      <c r="U37" s="50" t="s">
        <v>4989</v>
      </c>
      <c r="V37" s="50"/>
      <c r="W37" s="198"/>
    </row>
    <row r="38" ht="15.75" customHeight="1">
      <c r="B38" s="527"/>
      <c r="C38" s="527"/>
      <c r="D38" s="527"/>
      <c r="E38" s="527"/>
      <c r="F38" s="527"/>
      <c r="G38" s="527"/>
      <c r="H38" s="527"/>
      <c r="I38" s="527"/>
      <c r="J38" s="50" t="s">
        <v>5349</v>
      </c>
      <c r="K38" s="50" t="s">
        <v>5000</v>
      </c>
      <c r="L38" s="50" t="s">
        <v>4231</v>
      </c>
      <c r="M38" s="50" t="s">
        <v>32</v>
      </c>
      <c r="N38" s="50" t="s">
        <v>47</v>
      </c>
      <c r="O38" s="50" t="s">
        <v>47</v>
      </c>
      <c r="P38" s="50" t="s">
        <v>5358</v>
      </c>
      <c r="Q38" s="160">
        <v>45362.0</v>
      </c>
      <c r="R38" s="160">
        <v>46092.0</v>
      </c>
      <c r="S38" s="524" t="s">
        <v>5010</v>
      </c>
      <c r="T38" s="50"/>
      <c r="U38" s="50"/>
      <c r="V38" s="50"/>
      <c r="W38" s="198"/>
    </row>
    <row r="39" ht="15.75" customHeight="1">
      <c r="B39" s="527"/>
      <c r="C39" s="527"/>
      <c r="D39" s="527"/>
      <c r="E39" s="527"/>
      <c r="F39" s="527"/>
      <c r="G39" s="527"/>
      <c r="H39" s="527"/>
      <c r="I39" s="527"/>
      <c r="J39" s="50" t="s">
        <v>5368</v>
      </c>
      <c r="K39" s="50" t="s">
        <v>5000</v>
      </c>
      <c r="L39" s="50" t="s">
        <v>4231</v>
      </c>
      <c r="M39" s="50" t="s">
        <v>32</v>
      </c>
      <c r="N39" s="50" t="s">
        <v>47</v>
      </c>
      <c r="O39" s="50" t="s">
        <v>47</v>
      </c>
      <c r="P39" s="50" t="s">
        <v>2212</v>
      </c>
      <c r="Q39" s="160">
        <v>45435.0</v>
      </c>
      <c r="R39" s="160">
        <v>46165.0</v>
      </c>
      <c r="S39" s="524" t="s">
        <v>5010</v>
      </c>
      <c r="T39" s="50"/>
      <c r="U39" s="50"/>
      <c r="V39" s="50"/>
      <c r="W39" s="198"/>
    </row>
    <row r="40" ht="15.75" customHeight="1">
      <c r="B40" s="527"/>
      <c r="C40" s="527"/>
      <c r="D40" s="527"/>
      <c r="E40" s="527"/>
      <c r="F40" s="527"/>
      <c r="G40" s="527"/>
      <c r="H40" s="527"/>
      <c r="I40" s="527"/>
      <c r="J40" s="50" t="s">
        <v>5383</v>
      </c>
      <c r="K40" s="50" t="s">
        <v>5000</v>
      </c>
      <c r="L40" s="50" t="s">
        <v>4231</v>
      </c>
      <c r="M40" s="50" t="s">
        <v>32</v>
      </c>
      <c r="N40" s="50" t="s">
        <v>47</v>
      </c>
      <c r="O40" s="50" t="s">
        <v>47</v>
      </c>
      <c r="P40" s="50" t="s">
        <v>1668</v>
      </c>
      <c r="Q40" s="160">
        <v>45797.0</v>
      </c>
      <c r="R40" s="160">
        <v>46527.0</v>
      </c>
      <c r="S40" s="50" t="s">
        <v>4989</v>
      </c>
      <c r="T40" s="50"/>
      <c r="U40" s="50"/>
      <c r="V40" s="50"/>
      <c r="W40" s="198"/>
    </row>
    <row r="41" ht="15.75" customHeight="1">
      <c r="B41" s="433"/>
      <c r="C41" s="433"/>
      <c r="D41" s="433"/>
      <c r="E41" s="433"/>
      <c r="F41" s="433"/>
      <c r="G41" s="433"/>
      <c r="H41" s="433"/>
      <c r="I41" s="433"/>
      <c r="J41" s="50" t="s">
        <v>5395</v>
      </c>
      <c r="K41" s="50" t="s">
        <v>5000</v>
      </c>
      <c r="L41" s="50" t="s">
        <v>4231</v>
      </c>
      <c r="M41" s="50" t="s">
        <v>32</v>
      </c>
      <c r="N41" s="50" t="s">
        <v>47</v>
      </c>
      <c r="O41" s="50" t="s">
        <v>47</v>
      </c>
      <c r="P41" s="50" t="s">
        <v>156</v>
      </c>
      <c r="Q41" s="76">
        <v>45583.0</v>
      </c>
      <c r="R41" s="76">
        <v>46313.0</v>
      </c>
      <c r="S41" s="50" t="s">
        <v>4989</v>
      </c>
      <c r="T41" s="50"/>
      <c r="U41" s="50"/>
      <c r="V41" s="50"/>
      <c r="W41" s="198"/>
    </row>
    <row r="42" ht="15.75" customHeight="1">
      <c r="B42" s="50">
        <v>10.0</v>
      </c>
      <c r="C42" s="50" t="s">
        <v>5406</v>
      </c>
      <c r="D42" s="50" t="s">
        <v>5000</v>
      </c>
      <c r="E42" s="50" t="s">
        <v>4646</v>
      </c>
      <c r="F42" s="50" t="s">
        <v>4646</v>
      </c>
      <c r="G42" s="50" t="s">
        <v>5409</v>
      </c>
      <c r="H42" s="76">
        <v>45964.0</v>
      </c>
      <c r="I42" s="50" t="s">
        <v>5410</v>
      </c>
      <c r="J42" s="529" t="s">
        <v>5412</v>
      </c>
      <c r="K42" s="50" t="s">
        <v>5000</v>
      </c>
      <c r="L42" s="50" t="s">
        <v>4239</v>
      </c>
      <c r="M42" s="50" t="s">
        <v>32</v>
      </c>
      <c r="N42" s="50" t="s">
        <v>47</v>
      </c>
      <c r="O42" s="50" t="s">
        <v>47</v>
      </c>
      <c r="P42" s="50" t="s">
        <v>815</v>
      </c>
      <c r="Q42" s="76">
        <v>45937.0</v>
      </c>
      <c r="R42" s="76">
        <v>47033.0</v>
      </c>
      <c r="S42" s="50" t="s">
        <v>4989</v>
      </c>
      <c r="T42" s="50"/>
      <c r="U42" s="50"/>
      <c r="V42" s="50"/>
      <c r="W42" s="198"/>
    </row>
    <row r="43" ht="15.75" customHeight="1">
      <c r="B43" s="78">
        <v>10.0</v>
      </c>
      <c r="C43" s="78" t="s">
        <v>5406</v>
      </c>
      <c r="D43" s="78" t="s">
        <v>5000</v>
      </c>
      <c r="E43" s="50" t="s">
        <v>4646</v>
      </c>
      <c r="F43" s="50" t="s">
        <v>4646</v>
      </c>
      <c r="G43" s="50" t="s">
        <v>5409</v>
      </c>
      <c r="H43" s="548">
        <v>46009.0</v>
      </c>
      <c r="I43" s="78"/>
      <c r="J43" s="529" t="s">
        <v>5430</v>
      </c>
      <c r="K43" s="50" t="s">
        <v>5016</v>
      </c>
      <c r="L43" s="50" t="s">
        <v>4231</v>
      </c>
      <c r="M43" s="50" t="s">
        <v>32</v>
      </c>
      <c r="N43" s="50" t="s">
        <v>47</v>
      </c>
      <c r="O43" s="50" t="s">
        <v>47</v>
      </c>
      <c r="P43" s="50" t="s">
        <v>46</v>
      </c>
      <c r="Q43" s="160">
        <v>45987.0</v>
      </c>
      <c r="R43" s="160">
        <v>47083.0</v>
      </c>
      <c r="S43" s="103" t="s">
        <v>5436</v>
      </c>
      <c r="T43" s="50"/>
      <c r="U43" s="50"/>
      <c r="V43" s="50"/>
      <c r="W43" s="198"/>
    </row>
    <row r="44" ht="15.75" customHeight="1">
      <c r="B44" s="520">
        <v>11.0</v>
      </c>
      <c r="C44" s="520" t="s">
        <v>5440</v>
      </c>
      <c r="D44" s="520" t="s">
        <v>5000</v>
      </c>
      <c r="E44" s="520" t="s">
        <v>4646</v>
      </c>
      <c r="F44" s="520" t="s">
        <v>4646</v>
      </c>
      <c r="G44" s="520" t="s">
        <v>5443</v>
      </c>
      <c r="H44" s="521">
        <v>45959.0</v>
      </c>
      <c r="I44" s="520"/>
      <c r="J44" s="50" t="s">
        <v>5448</v>
      </c>
      <c r="K44" s="50" t="s">
        <v>5000</v>
      </c>
      <c r="L44" s="50" t="s">
        <v>4231</v>
      </c>
      <c r="M44" s="50" t="s">
        <v>32</v>
      </c>
      <c r="N44" s="50" t="s">
        <v>47</v>
      </c>
      <c r="O44" s="50" t="s">
        <v>47</v>
      </c>
      <c r="P44" s="50" t="s">
        <v>156</v>
      </c>
      <c r="Q44" s="160">
        <v>42989.0</v>
      </c>
      <c r="R44" s="160">
        <v>45180.0</v>
      </c>
      <c r="S44" s="531" t="s">
        <v>5010</v>
      </c>
      <c r="T44" s="50" t="s">
        <v>5457</v>
      </c>
      <c r="U44" s="50" t="s">
        <v>4989</v>
      </c>
      <c r="V44" s="50"/>
      <c r="W44" s="198"/>
    </row>
    <row r="45" ht="15.75" customHeight="1">
      <c r="B45" s="527"/>
      <c r="C45" s="527"/>
      <c r="D45" s="527"/>
      <c r="E45" s="527"/>
      <c r="F45" s="527"/>
      <c r="G45" s="527"/>
      <c r="H45" s="527"/>
      <c r="I45" s="527"/>
      <c r="J45" s="50" t="s">
        <v>5461</v>
      </c>
      <c r="K45" s="50" t="s">
        <v>5000</v>
      </c>
      <c r="L45" s="50" t="s">
        <v>4231</v>
      </c>
      <c r="M45" s="50" t="s">
        <v>32</v>
      </c>
      <c r="N45" s="50" t="s">
        <v>47</v>
      </c>
      <c r="O45" s="50" t="s">
        <v>47</v>
      </c>
      <c r="P45" s="50" t="s">
        <v>1747</v>
      </c>
      <c r="Q45" s="160">
        <v>42991.0</v>
      </c>
      <c r="R45" s="160">
        <v>43721.0</v>
      </c>
      <c r="S45" s="531" t="s">
        <v>5010</v>
      </c>
      <c r="T45" s="50" t="s">
        <v>5465</v>
      </c>
      <c r="U45" s="50" t="s">
        <v>4989</v>
      </c>
      <c r="V45" s="50"/>
      <c r="W45" s="198"/>
    </row>
    <row r="46" ht="15.75" customHeight="1">
      <c r="B46" s="527"/>
      <c r="C46" s="527"/>
      <c r="D46" s="527"/>
      <c r="E46" s="527"/>
      <c r="F46" s="527"/>
      <c r="G46" s="527"/>
      <c r="H46" s="527"/>
      <c r="I46" s="527"/>
      <c r="J46" s="50" t="s">
        <v>5471</v>
      </c>
      <c r="K46" s="50" t="s">
        <v>5000</v>
      </c>
      <c r="L46" s="50" t="s">
        <v>4239</v>
      </c>
      <c r="M46" s="50" t="s">
        <v>32</v>
      </c>
      <c r="N46" s="50" t="s">
        <v>47</v>
      </c>
      <c r="O46" s="50" t="s">
        <v>47</v>
      </c>
      <c r="P46" s="50" t="s">
        <v>156</v>
      </c>
      <c r="Q46" s="76">
        <v>44193.0</v>
      </c>
      <c r="R46" s="76">
        <v>44922.0</v>
      </c>
      <c r="S46" s="531" t="s">
        <v>5010</v>
      </c>
      <c r="T46" s="50" t="s">
        <v>5481</v>
      </c>
      <c r="U46" s="50" t="s">
        <v>4989</v>
      </c>
      <c r="V46" s="50"/>
      <c r="W46" s="198"/>
    </row>
    <row r="47" ht="15.75" customHeight="1">
      <c r="B47" s="527"/>
      <c r="C47" s="527"/>
      <c r="D47" s="527"/>
      <c r="E47" s="527"/>
      <c r="F47" s="527"/>
      <c r="G47" s="527"/>
      <c r="H47" s="527"/>
      <c r="I47" s="527"/>
      <c r="J47" s="50" t="s">
        <v>5483</v>
      </c>
      <c r="K47" s="50" t="s">
        <v>5000</v>
      </c>
      <c r="L47" s="50" t="s">
        <v>4231</v>
      </c>
      <c r="M47" s="50" t="s">
        <v>32</v>
      </c>
      <c r="N47" s="50" t="s">
        <v>47</v>
      </c>
      <c r="O47" s="50" t="s">
        <v>47</v>
      </c>
      <c r="P47" s="50" t="s">
        <v>156</v>
      </c>
      <c r="Q47" s="160">
        <v>46048.0</v>
      </c>
      <c r="R47" s="160">
        <v>45319.0</v>
      </c>
      <c r="S47" s="531" t="s">
        <v>5010</v>
      </c>
      <c r="T47" s="50" t="s">
        <v>5491</v>
      </c>
      <c r="U47" s="50" t="s">
        <v>4989</v>
      </c>
      <c r="V47" s="50"/>
      <c r="W47" s="198"/>
    </row>
    <row r="48" ht="15.75" customHeight="1">
      <c r="B48" s="527"/>
      <c r="C48" s="527"/>
      <c r="D48" s="527"/>
      <c r="E48" s="527"/>
      <c r="F48" s="527"/>
      <c r="G48" s="527"/>
      <c r="H48" s="527"/>
      <c r="I48" s="527"/>
      <c r="J48" s="50" t="s">
        <v>5497</v>
      </c>
      <c r="K48" s="50" t="s">
        <v>5000</v>
      </c>
      <c r="L48" s="50" t="s">
        <v>4231</v>
      </c>
      <c r="M48" s="50" t="s">
        <v>32</v>
      </c>
      <c r="N48" s="50" t="s">
        <v>47</v>
      </c>
      <c r="O48" s="50" t="s">
        <v>47</v>
      </c>
      <c r="P48" s="50" t="s">
        <v>1668</v>
      </c>
      <c r="Q48" s="160">
        <v>45692.0</v>
      </c>
      <c r="R48" s="160">
        <v>46786.0</v>
      </c>
      <c r="S48" s="50" t="s">
        <v>4989</v>
      </c>
      <c r="T48" s="50"/>
      <c r="U48" s="50"/>
      <c r="V48" s="50"/>
      <c r="W48" s="198"/>
    </row>
    <row r="49" ht="15.75" customHeight="1">
      <c r="B49" s="433"/>
      <c r="C49" s="433"/>
      <c r="D49" s="433"/>
      <c r="E49" s="433"/>
      <c r="F49" s="433"/>
      <c r="G49" s="433"/>
      <c r="H49" s="433"/>
      <c r="I49" s="433"/>
      <c r="J49" s="50" t="s">
        <v>5506</v>
      </c>
      <c r="K49" s="50" t="s">
        <v>5000</v>
      </c>
      <c r="L49" s="50" t="s">
        <v>4231</v>
      </c>
      <c r="M49" s="50" t="s">
        <v>32</v>
      </c>
      <c r="N49" s="50" t="s">
        <v>47</v>
      </c>
      <c r="O49" s="50" t="s">
        <v>47</v>
      </c>
      <c r="P49" s="50" t="s">
        <v>156</v>
      </c>
      <c r="Q49" s="160">
        <v>45895.0</v>
      </c>
      <c r="R49" s="160">
        <v>46990.0</v>
      </c>
      <c r="S49" s="50" t="s">
        <v>4989</v>
      </c>
      <c r="T49" s="50"/>
      <c r="U49" s="50"/>
      <c r="V49" s="50"/>
      <c r="W49" s="198"/>
    </row>
    <row r="50" ht="15.75" customHeight="1">
      <c r="B50" s="520">
        <v>12.0</v>
      </c>
      <c r="C50" s="520" t="s">
        <v>5522</v>
      </c>
      <c r="D50" s="520" t="s">
        <v>5000</v>
      </c>
      <c r="E50" s="520" t="s">
        <v>4646</v>
      </c>
      <c r="F50" s="520" t="s">
        <v>4646</v>
      </c>
      <c r="G50" s="520" t="s">
        <v>5527</v>
      </c>
      <c r="H50" s="521">
        <v>45951.0</v>
      </c>
      <c r="I50" s="520" t="s">
        <v>5528</v>
      </c>
      <c r="J50" s="50" t="s">
        <v>5533</v>
      </c>
      <c r="K50" s="50" t="s">
        <v>5000</v>
      </c>
      <c r="L50" s="50" t="s">
        <v>4239</v>
      </c>
      <c r="M50" s="50" t="s">
        <v>32</v>
      </c>
      <c r="N50" s="50" t="s">
        <v>47</v>
      </c>
      <c r="O50" s="50" t="s">
        <v>47</v>
      </c>
      <c r="P50" s="50" t="s">
        <v>79</v>
      </c>
      <c r="Q50" s="160">
        <v>45855.0</v>
      </c>
      <c r="R50" s="160">
        <v>47316.0</v>
      </c>
      <c r="S50" s="50" t="s">
        <v>4989</v>
      </c>
      <c r="T50" s="50"/>
      <c r="U50" s="50"/>
      <c r="V50" s="50"/>
      <c r="W50" s="198"/>
    </row>
    <row r="51" ht="15.75" customHeight="1">
      <c r="B51" s="527"/>
      <c r="C51" s="527"/>
      <c r="D51" s="527"/>
      <c r="E51" s="527"/>
      <c r="F51" s="527"/>
      <c r="G51" s="527"/>
      <c r="H51" s="527"/>
      <c r="I51" s="527"/>
      <c r="J51" s="50" t="s">
        <v>5547</v>
      </c>
      <c r="K51" s="50" t="s">
        <v>5000</v>
      </c>
      <c r="L51" s="50" t="s">
        <v>4239</v>
      </c>
      <c r="M51" s="50" t="s">
        <v>32</v>
      </c>
      <c r="N51" s="50" t="s">
        <v>47</v>
      </c>
      <c r="O51" s="50" t="s">
        <v>47</v>
      </c>
      <c r="P51" s="50" t="s">
        <v>1939</v>
      </c>
      <c r="Q51" s="160">
        <v>45429.0</v>
      </c>
      <c r="R51" s="160">
        <v>46159.0</v>
      </c>
      <c r="S51" s="524" t="s">
        <v>5010</v>
      </c>
      <c r="T51" s="50"/>
      <c r="U51" s="50"/>
      <c r="V51" s="50"/>
      <c r="W51" s="198"/>
    </row>
    <row r="52" ht="15.75" customHeight="1">
      <c r="B52" s="433"/>
      <c r="C52" s="433"/>
      <c r="D52" s="433"/>
      <c r="E52" s="433"/>
      <c r="F52" s="433"/>
      <c r="G52" s="433"/>
      <c r="H52" s="433"/>
      <c r="I52" s="433"/>
      <c r="J52" s="50" t="s">
        <v>5553</v>
      </c>
      <c r="K52" s="50" t="s">
        <v>5000</v>
      </c>
      <c r="L52" s="50" t="s">
        <v>4239</v>
      </c>
      <c r="M52" s="50" t="s">
        <v>32</v>
      </c>
      <c r="N52" s="50" t="s">
        <v>47</v>
      </c>
      <c r="O52" s="50" t="s">
        <v>47</v>
      </c>
      <c r="P52" s="50" t="s">
        <v>389</v>
      </c>
      <c r="Q52" s="160">
        <v>45828.0</v>
      </c>
      <c r="R52" s="160">
        <v>46558.0</v>
      </c>
      <c r="S52" s="50" t="s">
        <v>4989</v>
      </c>
      <c r="T52" s="50"/>
      <c r="U52" s="50"/>
      <c r="V52" s="50"/>
      <c r="W52" s="198"/>
    </row>
    <row r="53" ht="15.75" customHeight="1">
      <c r="B53" s="520">
        <v>13.0</v>
      </c>
      <c r="C53" s="520" t="s">
        <v>5560</v>
      </c>
      <c r="D53" s="520" t="s">
        <v>5000</v>
      </c>
      <c r="E53" s="520" t="s">
        <v>5001</v>
      </c>
      <c r="F53" s="520" t="s">
        <v>5001</v>
      </c>
      <c r="G53" s="520" t="s">
        <v>5562</v>
      </c>
      <c r="H53" s="521">
        <v>45950.0</v>
      </c>
      <c r="I53" s="520" t="s">
        <v>5564</v>
      </c>
      <c r="J53" s="50" t="s">
        <v>5566</v>
      </c>
      <c r="K53" s="50" t="s">
        <v>5000</v>
      </c>
      <c r="L53" s="50" t="s">
        <v>4239</v>
      </c>
      <c r="M53" s="50" t="s">
        <v>32</v>
      </c>
      <c r="N53" s="50" t="s">
        <v>610</v>
      </c>
      <c r="O53" s="50" t="s">
        <v>610</v>
      </c>
      <c r="P53" s="50" t="s">
        <v>610</v>
      </c>
      <c r="Q53" s="160">
        <v>45321.0</v>
      </c>
      <c r="R53" s="166">
        <v>46052.0</v>
      </c>
      <c r="S53" s="531" t="s">
        <v>5010</v>
      </c>
      <c r="T53" s="50"/>
      <c r="U53" s="50"/>
      <c r="V53" s="50"/>
      <c r="W53" s="198"/>
    </row>
    <row r="54" ht="15.75" customHeight="1">
      <c r="B54" s="527"/>
      <c r="C54" s="527"/>
      <c r="D54" s="527"/>
      <c r="E54" s="527"/>
      <c r="F54" s="527"/>
      <c r="G54" s="527"/>
      <c r="H54" s="527"/>
      <c r="I54" s="527"/>
      <c r="J54" s="50" t="s">
        <v>5575</v>
      </c>
      <c r="K54" s="50" t="s">
        <v>5000</v>
      </c>
      <c r="L54" s="50" t="s">
        <v>4239</v>
      </c>
      <c r="M54" s="50" t="s">
        <v>32</v>
      </c>
      <c r="N54" s="50" t="s">
        <v>610</v>
      </c>
      <c r="O54" s="50" t="s">
        <v>610</v>
      </c>
      <c r="P54" s="50" t="s">
        <v>610</v>
      </c>
      <c r="Q54" s="160">
        <v>45503.0</v>
      </c>
      <c r="R54" s="160">
        <v>46233.0</v>
      </c>
      <c r="S54" s="50" t="s">
        <v>4989</v>
      </c>
      <c r="T54" s="50"/>
      <c r="U54" s="50"/>
      <c r="V54" s="50"/>
      <c r="W54" s="198"/>
    </row>
    <row r="55" ht="15.75" customHeight="1">
      <c r="B55" s="527"/>
      <c r="C55" s="527"/>
      <c r="D55" s="527"/>
      <c r="E55" s="527"/>
      <c r="F55" s="527"/>
      <c r="G55" s="527"/>
      <c r="H55" s="527"/>
      <c r="I55" s="527"/>
      <c r="J55" s="50" t="s">
        <v>5578</v>
      </c>
      <c r="K55" s="50" t="s">
        <v>5000</v>
      </c>
      <c r="L55" s="50" t="s">
        <v>4231</v>
      </c>
      <c r="M55" s="50" t="s">
        <v>32</v>
      </c>
      <c r="N55" s="50" t="s">
        <v>610</v>
      </c>
      <c r="O55" s="50" t="s">
        <v>610</v>
      </c>
      <c r="P55" s="50" t="s">
        <v>610</v>
      </c>
      <c r="Q55" s="50"/>
      <c r="R55" s="50"/>
      <c r="S55" s="50" t="s">
        <v>4989</v>
      </c>
      <c r="T55" s="50"/>
      <c r="U55" s="50"/>
      <c r="V55" s="50"/>
      <c r="W55" s="198"/>
    </row>
    <row r="56" ht="15.75" customHeight="1">
      <c r="B56" s="527"/>
      <c r="C56" s="527"/>
      <c r="D56" s="527"/>
      <c r="E56" s="527"/>
      <c r="F56" s="527"/>
      <c r="G56" s="527"/>
      <c r="H56" s="527"/>
      <c r="I56" s="527"/>
      <c r="J56" s="50" t="s">
        <v>5584</v>
      </c>
      <c r="K56" s="50" t="s">
        <v>5000</v>
      </c>
      <c r="L56" s="50" t="s">
        <v>4239</v>
      </c>
      <c r="M56" s="50" t="s">
        <v>32</v>
      </c>
      <c r="N56" s="50" t="s">
        <v>610</v>
      </c>
      <c r="O56" s="50" t="s">
        <v>5586</v>
      </c>
      <c r="P56" s="50" t="s">
        <v>5587</v>
      </c>
      <c r="Q56" s="160">
        <v>45735.0</v>
      </c>
      <c r="R56" s="160">
        <v>46831.0</v>
      </c>
      <c r="S56" s="50" t="s">
        <v>4989</v>
      </c>
      <c r="T56" s="50"/>
      <c r="U56" s="50"/>
      <c r="V56" s="50"/>
      <c r="W56" s="198"/>
    </row>
    <row r="57" ht="15.75" customHeight="1">
      <c r="B57" s="527"/>
      <c r="C57" s="527"/>
      <c r="D57" s="527"/>
      <c r="E57" s="527"/>
      <c r="F57" s="527"/>
      <c r="G57" s="527"/>
      <c r="H57" s="527"/>
      <c r="I57" s="527"/>
      <c r="J57" s="50" t="s">
        <v>5590</v>
      </c>
      <c r="K57" s="50" t="s">
        <v>5000</v>
      </c>
      <c r="L57" s="50" t="s">
        <v>4239</v>
      </c>
      <c r="M57" s="50" t="s">
        <v>32</v>
      </c>
      <c r="N57" s="50" t="s">
        <v>610</v>
      </c>
      <c r="O57" s="50" t="s">
        <v>610</v>
      </c>
      <c r="P57" s="50" t="s">
        <v>610</v>
      </c>
      <c r="Q57" s="160">
        <v>45758.0</v>
      </c>
      <c r="R57" s="160">
        <v>46854.0</v>
      </c>
      <c r="S57" s="50" t="s">
        <v>4989</v>
      </c>
      <c r="T57" s="50"/>
      <c r="U57" s="50"/>
      <c r="V57" s="50"/>
      <c r="W57" s="198"/>
    </row>
    <row r="58" ht="15.75" customHeight="1">
      <c r="B58" s="527"/>
      <c r="C58" s="527"/>
      <c r="D58" s="527"/>
      <c r="E58" s="527"/>
      <c r="F58" s="527"/>
      <c r="G58" s="527"/>
      <c r="H58" s="527"/>
      <c r="I58" s="527"/>
      <c r="J58" s="50" t="s">
        <v>5592</v>
      </c>
      <c r="K58" s="50" t="s">
        <v>5000</v>
      </c>
      <c r="L58" s="50" t="s">
        <v>4239</v>
      </c>
      <c r="M58" s="50" t="s">
        <v>32</v>
      </c>
      <c r="N58" s="50" t="s">
        <v>610</v>
      </c>
      <c r="O58" s="50" t="s">
        <v>610</v>
      </c>
      <c r="P58" s="50" t="s">
        <v>610</v>
      </c>
      <c r="Q58" s="160">
        <v>45782.0</v>
      </c>
      <c r="R58" s="160">
        <v>46878.0</v>
      </c>
      <c r="S58" s="50" t="s">
        <v>4989</v>
      </c>
      <c r="T58" s="50"/>
      <c r="U58" s="50"/>
      <c r="V58" s="50"/>
      <c r="W58" s="198"/>
    </row>
    <row r="59" ht="15.75" customHeight="1">
      <c r="B59" s="527"/>
      <c r="C59" s="527"/>
      <c r="D59" s="527"/>
      <c r="E59" s="527"/>
      <c r="F59" s="527"/>
      <c r="G59" s="527"/>
      <c r="H59" s="527"/>
      <c r="I59" s="527"/>
      <c r="J59" s="50" t="s">
        <v>5597</v>
      </c>
      <c r="K59" s="50" t="s">
        <v>5000</v>
      </c>
      <c r="L59" s="50" t="s">
        <v>4239</v>
      </c>
      <c r="M59" s="50" t="s">
        <v>32</v>
      </c>
      <c r="N59" s="50" t="s">
        <v>610</v>
      </c>
      <c r="O59" s="50" t="s">
        <v>610</v>
      </c>
      <c r="P59" s="50" t="s">
        <v>610</v>
      </c>
      <c r="Q59" s="160">
        <v>45793.0</v>
      </c>
      <c r="R59" s="160">
        <v>46889.0</v>
      </c>
      <c r="S59" s="50" t="s">
        <v>4989</v>
      </c>
      <c r="T59" s="50"/>
      <c r="U59" s="50"/>
      <c r="V59" s="50"/>
      <c r="W59" s="198"/>
    </row>
    <row r="60" ht="15.75" customHeight="1">
      <c r="B60" s="433"/>
      <c r="C60" s="433"/>
      <c r="D60" s="433"/>
      <c r="E60" s="433"/>
      <c r="F60" s="433"/>
      <c r="G60" s="433"/>
      <c r="H60" s="433"/>
      <c r="I60" s="433"/>
      <c r="J60" s="50" t="s">
        <v>5603</v>
      </c>
      <c r="K60" s="50" t="s">
        <v>5000</v>
      </c>
      <c r="L60" s="50" t="s">
        <v>4239</v>
      </c>
      <c r="M60" s="50" t="s">
        <v>32</v>
      </c>
      <c r="N60" s="50" t="s">
        <v>610</v>
      </c>
      <c r="O60" s="50" t="s">
        <v>610</v>
      </c>
      <c r="P60" s="50" t="s">
        <v>610</v>
      </c>
      <c r="Q60" s="160">
        <v>45813.0</v>
      </c>
      <c r="R60" s="160">
        <v>46909.0</v>
      </c>
      <c r="S60" s="50" t="s">
        <v>4989</v>
      </c>
      <c r="T60" s="50"/>
      <c r="U60" s="50"/>
      <c r="V60" s="50"/>
      <c r="W60" s="198"/>
    </row>
    <row r="61" ht="15.75" customHeight="1">
      <c r="B61" s="50">
        <v>14.0</v>
      </c>
      <c r="C61" s="50" t="s">
        <v>5609</v>
      </c>
      <c r="D61" s="50" t="s">
        <v>5000</v>
      </c>
      <c r="E61" s="50" t="s">
        <v>4646</v>
      </c>
      <c r="F61" s="50" t="s">
        <v>4646</v>
      </c>
      <c r="G61" s="50" t="s">
        <v>5612</v>
      </c>
      <c r="H61" s="76">
        <v>45950.0</v>
      </c>
      <c r="I61" s="50" t="s">
        <v>5614</v>
      </c>
      <c r="J61" s="50" t="s">
        <v>5615</v>
      </c>
      <c r="K61" s="50" t="s">
        <v>5000</v>
      </c>
      <c r="L61" s="50" t="s">
        <v>4239</v>
      </c>
      <c r="M61" s="50" t="s">
        <v>50</v>
      </c>
      <c r="N61" s="50" t="s">
        <v>47</v>
      </c>
      <c r="O61" s="50" t="s">
        <v>47</v>
      </c>
      <c r="P61" s="50" t="s">
        <v>353</v>
      </c>
      <c r="Q61" s="50">
        <v>2025.0</v>
      </c>
      <c r="R61" s="50">
        <v>2028.0</v>
      </c>
      <c r="S61" s="50" t="s">
        <v>4989</v>
      </c>
      <c r="T61" s="50"/>
      <c r="U61" s="50"/>
      <c r="V61" s="50"/>
      <c r="W61" s="198"/>
    </row>
    <row r="62" ht="15.75" customHeight="1">
      <c r="B62" s="520">
        <v>15.0</v>
      </c>
      <c r="C62" s="520" t="s">
        <v>5624</v>
      </c>
      <c r="D62" s="520" t="s">
        <v>5000</v>
      </c>
      <c r="E62" s="520" t="s">
        <v>4646</v>
      </c>
      <c r="F62" s="520" t="s">
        <v>4646</v>
      </c>
      <c r="G62" s="520" t="s">
        <v>5626</v>
      </c>
      <c r="H62" s="521">
        <v>45946.0</v>
      </c>
      <c r="I62" s="520" t="s">
        <v>5627</v>
      </c>
      <c r="J62" s="50" t="s">
        <v>5629</v>
      </c>
      <c r="K62" s="50" t="s">
        <v>5000</v>
      </c>
      <c r="L62" s="50" t="s">
        <v>4255</v>
      </c>
      <c r="M62" s="50" t="s">
        <v>50</v>
      </c>
      <c r="N62" s="50" t="s">
        <v>47</v>
      </c>
      <c r="O62" s="50" t="s">
        <v>47</v>
      </c>
      <c r="P62" s="50" t="s">
        <v>5631</v>
      </c>
      <c r="Q62" s="160">
        <v>45401.0</v>
      </c>
      <c r="R62" s="160">
        <v>46496.0</v>
      </c>
      <c r="S62" s="50" t="s">
        <v>4989</v>
      </c>
      <c r="T62" s="50"/>
      <c r="U62" s="50"/>
      <c r="V62" s="50"/>
      <c r="W62" s="198"/>
    </row>
    <row r="63" ht="15.75" customHeight="1">
      <c r="B63" s="433"/>
      <c r="C63" s="433"/>
      <c r="D63" s="433"/>
      <c r="E63" s="433"/>
      <c r="F63" s="433"/>
      <c r="G63" s="433"/>
      <c r="H63" s="433"/>
      <c r="I63" s="433"/>
      <c r="J63" s="50" t="s">
        <v>5637</v>
      </c>
      <c r="K63" s="50" t="s">
        <v>5000</v>
      </c>
      <c r="L63" s="50" t="s">
        <v>4239</v>
      </c>
      <c r="M63" s="50" t="s">
        <v>32</v>
      </c>
      <c r="N63" s="50" t="s">
        <v>47</v>
      </c>
      <c r="O63" s="50" t="s">
        <v>47</v>
      </c>
      <c r="P63" s="50" t="s">
        <v>1200</v>
      </c>
      <c r="Q63" s="160">
        <v>45426.0</v>
      </c>
      <c r="R63" s="160">
        <v>46521.0</v>
      </c>
      <c r="S63" s="50" t="s">
        <v>4989</v>
      </c>
      <c r="T63" s="50"/>
      <c r="U63" s="50"/>
      <c r="V63" s="50"/>
      <c r="W63" s="198"/>
    </row>
    <row r="64" ht="15.75" customHeight="1">
      <c r="B64" s="520">
        <v>16.0</v>
      </c>
      <c r="C64" s="520" t="s">
        <v>5640</v>
      </c>
      <c r="D64" s="520" t="s">
        <v>5000</v>
      </c>
      <c r="E64" s="520" t="s">
        <v>4646</v>
      </c>
      <c r="F64" s="520" t="s">
        <v>4646</v>
      </c>
      <c r="G64" s="520" t="s">
        <v>5020</v>
      </c>
      <c r="H64" s="521">
        <v>45950.0</v>
      </c>
      <c r="I64" s="520" t="s">
        <v>5643</v>
      </c>
      <c r="J64" s="50" t="s">
        <v>5645</v>
      </c>
      <c r="K64" s="50" t="s">
        <v>5000</v>
      </c>
      <c r="L64" s="50" t="s">
        <v>4239</v>
      </c>
      <c r="M64" s="50" t="s">
        <v>32</v>
      </c>
      <c r="N64" s="50" t="s">
        <v>47</v>
      </c>
      <c r="O64" s="50" t="s">
        <v>47</v>
      </c>
      <c r="P64" s="50" t="s">
        <v>156</v>
      </c>
      <c r="Q64" s="76">
        <v>45983.0</v>
      </c>
      <c r="R64" s="76">
        <v>46713.0</v>
      </c>
      <c r="S64" s="50" t="s">
        <v>4989</v>
      </c>
      <c r="T64" s="50"/>
      <c r="U64" s="50"/>
      <c r="V64" s="50"/>
      <c r="W64" s="198"/>
    </row>
    <row r="65" ht="15.75" customHeight="1">
      <c r="B65" s="527"/>
      <c r="C65" s="527"/>
      <c r="D65" s="527"/>
      <c r="E65" s="527"/>
      <c r="F65" s="527"/>
      <c r="G65" s="527"/>
      <c r="H65" s="527"/>
      <c r="I65" s="527"/>
      <c r="J65" s="50" t="s">
        <v>5652</v>
      </c>
      <c r="K65" s="50" t="s">
        <v>5000</v>
      </c>
      <c r="L65" s="50" t="s">
        <v>4258</v>
      </c>
      <c r="M65" s="50" t="s">
        <v>50</v>
      </c>
      <c r="N65" s="50" t="s">
        <v>47</v>
      </c>
      <c r="O65" s="50" t="s">
        <v>47</v>
      </c>
      <c r="P65" s="50" t="s">
        <v>67</v>
      </c>
      <c r="Q65" s="76">
        <v>45980.0</v>
      </c>
      <c r="R65" s="76">
        <v>47076.0</v>
      </c>
      <c r="S65" s="50" t="s">
        <v>4989</v>
      </c>
      <c r="T65" s="50"/>
      <c r="U65" s="50"/>
      <c r="V65" s="50"/>
      <c r="W65" s="198"/>
    </row>
    <row r="66" ht="15.75" customHeight="1">
      <c r="B66" s="527"/>
      <c r="C66" s="527"/>
      <c r="D66" s="527"/>
      <c r="E66" s="527"/>
      <c r="F66" s="527"/>
      <c r="G66" s="527"/>
      <c r="H66" s="527"/>
      <c r="I66" s="527"/>
      <c r="J66" s="50" t="s">
        <v>5656</v>
      </c>
      <c r="K66" s="50" t="s">
        <v>5000</v>
      </c>
      <c r="L66" s="50" t="s">
        <v>4239</v>
      </c>
      <c r="M66" s="50" t="s">
        <v>32</v>
      </c>
      <c r="N66" s="50" t="s">
        <v>47</v>
      </c>
      <c r="O66" s="50" t="s">
        <v>47</v>
      </c>
      <c r="P66" s="50" t="s">
        <v>46</v>
      </c>
      <c r="Q66" s="160">
        <v>45845.0</v>
      </c>
      <c r="R66" s="160">
        <v>46941.0</v>
      </c>
      <c r="S66" s="50" t="s">
        <v>4989</v>
      </c>
      <c r="T66" s="50"/>
      <c r="U66" s="50"/>
      <c r="V66" s="50"/>
      <c r="W66" s="198"/>
    </row>
    <row r="67" ht="15.75" customHeight="1">
      <c r="B67" s="527"/>
      <c r="C67" s="527"/>
      <c r="D67" s="527"/>
      <c r="E67" s="527"/>
      <c r="F67" s="527"/>
      <c r="G67" s="527"/>
      <c r="H67" s="527"/>
      <c r="I67" s="527"/>
      <c r="J67" s="50" t="s">
        <v>5663</v>
      </c>
      <c r="K67" s="50" t="s">
        <v>5000</v>
      </c>
      <c r="L67" s="50" t="s">
        <v>4239</v>
      </c>
      <c r="M67" s="50" t="s">
        <v>32</v>
      </c>
      <c r="N67" s="50" t="s">
        <v>47</v>
      </c>
      <c r="O67" s="50" t="s">
        <v>47</v>
      </c>
      <c r="P67" s="50" t="s">
        <v>46</v>
      </c>
      <c r="Q67" s="160">
        <v>45448.0</v>
      </c>
      <c r="R67" s="160">
        <v>46178.0</v>
      </c>
      <c r="S67" s="524" t="s">
        <v>5010</v>
      </c>
      <c r="T67" s="50"/>
      <c r="U67" s="50"/>
      <c r="V67" s="50"/>
      <c r="W67" s="198"/>
    </row>
    <row r="68" ht="15.75" customHeight="1">
      <c r="B68" s="433"/>
      <c r="C68" s="433"/>
      <c r="D68" s="433"/>
      <c r="E68" s="433"/>
      <c r="F68" s="433"/>
      <c r="G68" s="433"/>
      <c r="H68" s="433"/>
      <c r="I68" s="433"/>
      <c r="J68" s="50" t="s">
        <v>5669</v>
      </c>
      <c r="K68" s="50" t="s">
        <v>5000</v>
      </c>
      <c r="L68" s="50" t="s">
        <v>4239</v>
      </c>
      <c r="M68" s="50" t="s">
        <v>32</v>
      </c>
      <c r="N68" s="50" t="s">
        <v>47</v>
      </c>
      <c r="O68" s="50" t="s">
        <v>47</v>
      </c>
      <c r="P68" s="50" t="s">
        <v>126</v>
      </c>
      <c r="Q68" s="76">
        <v>45290.0</v>
      </c>
      <c r="R68" s="91">
        <v>46021.0</v>
      </c>
      <c r="S68" s="531" t="s">
        <v>5010</v>
      </c>
      <c r="T68" s="50"/>
      <c r="U68" s="50"/>
      <c r="V68" s="50"/>
      <c r="W68" s="198"/>
    </row>
    <row r="69" ht="15.75" customHeight="1">
      <c r="B69" s="50">
        <v>17.0</v>
      </c>
      <c r="C69" s="50" t="s">
        <v>5675</v>
      </c>
      <c r="D69" s="50" t="s">
        <v>5000</v>
      </c>
      <c r="E69" s="50" t="s">
        <v>4646</v>
      </c>
      <c r="F69" s="50" t="s">
        <v>4646</v>
      </c>
      <c r="G69" s="50" t="s">
        <v>5676</v>
      </c>
      <c r="H69" s="76">
        <v>45950.0</v>
      </c>
      <c r="I69" s="50" t="s">
        <v>5677</v>
      </c>
      <c r="J69" s="50" t="s">
        <v>5242</v>
      </c>
      <c r="K69" s="50"/>
      <c r="L69" s="50"/>
      <c r="M69" s="50"/>
      <c r="N69" s="50"/>
      <c r="O69" s="50"/>
      <c r="P69" s="50"/>
      <c r="Q69" s="50"/>
      <c r="R69" s="50"/>
      <c r="S69" s="50" t="s">
        <v>4989</v>
      </c>
      <c r="T69" s="50"/>
      <c r="U69" s="50"/>
      <c r="V69" s="50"/>
      <c r="W69" s="198"/>
    </row>
    <row r="70" ht="15.75" customHeight="1">
      <c r="B70" s="50">
        <v>18.0</v>
      </c>
      <c r="C70" s="50" t="s">
        <v>5685</v>
      </c>
      <c r="D70" s="50" t="s">
        <v>5000</v>
      </c>
      <c r="E70" s="50" t="s">
        <v>5687</v>
      </c>
      <c r="F70" s="50" t="s">
        <v>5689</v>
      </c>
      <c r="G70" s="50" t="s">
        <v>5690</v>
      </c>
      <c r="H70" s="160">
        <v>45926.0</v>
      </c>
      <c r="I70" s="50"/>
      <c r="J70" s="50" t="s">
        <v>5242</v>
      </c>
      <c r="K70" s="50"/>
      <c r="L70" s="50"/>
      <c r="M70" s="50"/>
      <c r="N70" s="50"/>
      <c r="O70" s="50"/>
      <c r="P70" s="50"/>
      <c r="Q70" s="50"/>
      <c r="R70" s="50"/>
      <c r="S70" s="50" t="s">
        <v>4989</v>
      </c>
      <c r="T70" s="50"/>
      <c r="U70" s="50"/>
      <c r="V70" s="50"/>
      <c r="W70" s="198"/>
    </row>
    <row r="71" ht="15.75" customHeight="1">
      <c r="B71" s="50">
        <v>19.0</v>
      </c>
      <c r="C71" s="50" t="s">
        <v>5694</v>
      </c>
      <c r="D71" s="50" t="s">
        <v>5000</v>
      </c>
      <c r="E71" s="50" t="s">
        <v>5695</v>
      </c>
      <c r="F71" s="50" t="s">
        <v>5695</v>
      </c>
      <c r="G71" s="50" t="s">
        <v>5696</v>
      </c>
      <c r="H71" s="76">
        <v>45945.0</v>
      </c>
      <c r="I71" s="50" t="s">
        <v>5698</v>
      </c>
      <c r="J71" s="50" t="s">
        <v>5699</v>
      </c>
      <c r="K71" s="50" t="s">
        <v>5000</v>
      </c>
      <c r="L71" s="50" t="s">
        <v>4258</v>
      </c>
      <c r="M71" s="50" t="s">
        <v>69</v>
      </c>
      <c r="N71" s="50" t="s">
        <v>469</v>
      </c>
      <c r="O71" s="50" t="s">
        <v>470</v>
      </c>
      <c r="P71" s="50" t="s">
        <v>469</v>
      </c>
      <c r="Q71" s="160">
        <v>45754.0</v>
      </c>
      <c r="R71" s="160">
        <v>46850.0</v>
      </c>
      <c r="S71" s="50" t="s">
        <v>4989</v>
      </c>
      <c r="T71" s="50"/>
      <c r="U71" s="50"/>
      <c r="V71" s="50"/>
      <c r="W71" s="198"/>
    </row>
    <row r="72" ht="15.75" customHeight="1">
      <c r="B72" s="50">
        <v>20.0</v>
      </c>
      <c r="C72" s="50" t="s">
        <v>5704</v>
      </c>
      <c r="D72" s="50" t="s">
        <v>5000</v>
      </c>
      <c r="E72" s="50" t="s">
        <v>4646</v>
      </c>
      <c r="F72" s="50" t="s">
        <v>4646</v>
      </c>
      <c r="G72" s="50" t="s">
        <v>5706</v>
      </c>
      <c r="H72" s="76">
        <v>45946.0</v>
      </c>
      <c r="I72" s="50" t="s">
        <v>5707</v>
      </c>
      <c r="J72" s="50" t="s">
        <v>5242</v>
      </c>
      <c r="K72" s="50"/>
      <c r="L72" s="50"/>
      <c r="M72" s="50"/>
      <c r="N72" s="50"/>
      <c r="O72" s="50"/>
      <c r="P72" s="50"/>
      <c r="Q72" s="50"/>
      <c r="R72" s="50"/>
      <c r="S72" s="50" t="s">
        <v>4989</v>
      </c>
      <c r="T72" s="50"/>
      <c r="U72" s="50"/>
      <c r="V72" s="50"/>
      <c r="W72" s="198"/>
    </row>
    <row r="73" ht="15.75" customHeight="1">
      <c r="B73" s="520">
        <v>21.0</v>
      </c>
      <c r="C73" s="520" t="s">
        <v>5711</v>
      </c>
      <c r="D73" s="520" t="s">
        <v>5000</v>
      </c>
      <c r="E73" s="520" t="s">
        <v>4646</v>
      </c>
      <c r="F73" s="520" t="s">
        <v>4646</v>
      </c>
      <c r="G73" s="520" t="s">
        <v>5091</v>
      </c>
      <c r="H73" s="521">
        <v>45943.0</v>
      </c>
      <c r="I73" s="520"/>
      <c r="J73" s="50" t="s">
        <v>5718</v>
      </c>
      <c r="K73" s="50" t="s">
        <v>5000</v>
      </c>
      <c r="L73" s="50" t="s">
        <v>4255</v>
      </c>
      <c r="M73" s="50" t="s">
        <v>32</v>
      </c>
      <c r="N73" s="50" t="s">
        <v>47</v>
      </c>
      <c r="O73" s="50" t="s">
        <v>47</v>
      </c>
      <c r="P73" s="50" t="s">
        <v>540</v>
      </c>
      <c r="Q73" s="160">
        <v>45807.0</v>
      </c>
      <c r="R73" s="160">
        <v>46903.0</v>
      </c>
      <c r="S73" s="50" t="s">
        <v>4989</v>
      </c>
      <c r="T73" s="50"/>
      <c r="U73" s="50"/>
      <c r="V73" s="50"/>
      <c r="W73" s="198"/>
    </row>
    <row r="74" ht="15.75" customHeight="1">
      <c r="B74" s="527"/>
      <c r="C74" s="527"/>
      <c r="D74" s="527"/>
      <c r="E74" s="527"/>
      <c r="F74" s="527"/>
      <c r="G74" s="527"/>
      <c r="H74" s="527"/>
      <c r="I74" s="527"/>
      <c r="J74" s="50" t="s">
        <v>5724</v>
      </c>
      <c r="K74" s="50" t="s">
        <v>5000</v>
      </c>
      <c r="L74" s="50" t="s">
        <v>4239</v>
      </c>
      <c r="M74" s="50" t="s">
        <v>32</v>
      </c>
      <c r="N74" s="50" t="s">
        <v>47</v>
      </c>
      <c r="O74" s="50" t="s">
        <v>47</v>
      </c>
      <c r="P74" s="50" t="s">
        <v>67</v>
      </c>
      <c r="Q74" s="160">
        <v>45444.0</v>
      </c>
      <c r="R74" s="160">
        <v>46539.0</v>
      </c>
      <c r="S74" s="50" t="s">
        <v>4989</v>
      </c>
      <c r="T74" s="50"/>
      <c r="U74" s="50"/>
      <c r="V74" s="50"/>
      <c r="W74" s="198"/>
    </row>
    <row r="75" ht="15.75" customHeight="1">
      <c r="B75" s="527"/>
      <c r="C75" s="527"/>
      <c r="D75" s="527"/>
      <c r="E75" s="527"/>
      <c r="F75" s="527"/>
      <c r="G75" s="527"/>
      <c r="H75" s="527"/>
      <c r="I75" s="527"/>
      <c r="J75" s="50" t="s">
        <v>5729</v>
      </c>
      <c r="K75" s="50" t="s">
        <v>5000</v>
      </c>
      <c r="L75" s="50" t="s">
        <v>4239</v>
      </c>
      <c r="M75" s="50" t="s">
        <v>32</v>
      </c>
      <c r="N75" s="50" t="s">
        <v>47</v>
      </c>
      <c r="O75" s="50" t="s">
        <v>47</v>
      </c>
      <c r="P75" s="50" t="s">
        <v>437</v>
      </c>
      <c r="Q75" s="160">
        <v>45488.0</v>
      </c>
      <c r="R75" s="160">
        <v>46583.0</v>
      </c>
      <c r="S75" s="50" t="s">
        <v>4989</v>
      </c>
      <c r="T75" s="50"/>
      <c r="U75" s="50"/>
      <c r="V75" s="50"/>
      <c r="W75" s="198"/>
    </row>
    <row r="76" ht="15.75" customHeight="1">
      <c r="B76" s="527"/>
      <c r="C76" s="527"/>
      <c r="D76" s="527"/>
      <c r="E76" s="527"/>
      <c r="F76" s="527"/>
      <c r="G76" s="527"/>
      <c r="H76" s="527"/>
      <c r="I76" s="527"/>
      <c r="J76" s="50" t="s">
        <v>5735</v>
      </c>
      <c r="K76" s="50" t="s">
        <v>5000</v>
      </c>
      <c r="L76" s="50" t="s">
        <v>4239</v>
      </c>
      <c r="M76" s="50" t="s">
        <v>32</v>
      </c>
      <c r="N76" s="50" t="s">
        <v>47</v>
      </c>
      <c r="O76" s="50" t="s">
        <v>47</v>
      </c>
      <c r="P76" s="50" t="s">
        <v>1200</v>
      </c>
      <c r="Q76" s="160">
        <v>45505.0</v>
      </c>
      <c r="R76" s="160">
        <v>46600.0</v>
      </c>
      <c r="S76" s="50" t="s">
        <v>4989</v>
      </c>
      <c r="T76" s="50"/>
      <c r="U76" s="50"/>
      <c r="V76" s="50"/>
      <c r="W76" s="198"/>
    </row>
    <row r="77" ht="15.75" customHeight="1">
      <c r="B77" s="527"/>
      <c r="C77" s="527"/>
      <c r="D77" s="527"/>
      <c r="E77" s="527"/>
      <c r="F77" s="527"/>
      <c r="G77" s="527"/>
      <c r="H77" s="527"/>
      <c r="I77" s="527"/>
      <c r="J77" s="50" t="s">
        <v>5740</v>
      </c>
      <c r="K77" s="50" t="s">
        <v>5000</v>
      </c>
      <c r="L77" s="50" t="s">
        <v>4239</v>
      </c>
      <c r="M77" s="50" t="s">
        <v>32</v>
      </c>
      <c r="N77" s="50" t="s">
        <v>47</v>
      </c>
      <c r="O77" s="50" t="s">
        <v>47</v>
      </c>
      <c r="P77" s="50" t="s">
        <v>2618</v>
      </c>
      <c r="Q77" s="160">
        <v>45684.0</v>
      </c>
      <c r="R77" s="160">
        <v>46779.0</v>
      </c>
      <c r="S77" s="50" t="s">
        <v>4989</v>
      </c>
      <c r="T77" s="50"/>
      <c r="U77" s="50"/>
      <c r="V77" s="50"/>
      <c r="W77" s="198"/>
    </row>
    <row r="78" ht="15.75" customHeight="1">
      <c r="B78" s="527"/>
      <c r="C78" s="527"/>
      <c r="D78" s="527"/>
      <c r="E78" s="527"/>
      <c r="F78" s="527"/>
      <c r="G78" s="527"/>
      <c r="H78" s="527"/>
      <c r="I78" s="527"/>
      <c r="J78" s="50" t="s">
        <v>5747</v>
      </c>
      <c r="K78" s="50" t="s">
        <v>5000</v>
      </c>
      <c r="L78" s="50" t="s">
        <v>4239</v>
      </c>
      <c r="M78" s="50" t="s">
        <v>32</v>
      </c>
      <c r="N78" s="50" t="s">
        <v>47</v>
      </c>
      <c r="O78" s="50" t="s">
        <v>47</v>
      </c>
      <c r="P78" s="50" t="s">
        <v>67</v>
      </c>
      <c r="Q78" s="160">
        <v>45701.0</v>
      </c>
      <c r="R78" s="160">
        <v>46796.0</v>
      </c>
      <c r="S78" s="50" t="s">
        <v>4989</v>
      </c>
      <c r="T78" s="50"/>
      <c r="U78" s="50"/>
      <c r="V78" s="50"/>
      <c r="W78" s="198"/>
    </row>
    <row r="79" ht="15.75" customHeight="1">
      <c r="B79" s="527"/>
      <c r="C79" s="527"/>
      <c r="D79" s="527"/>
      <c r="E79" s="527"/>
      <c r="F79" s="527"/>
      <c r="G79" s="527"/>
      <c r="H79" s="527"/>
      <c r="I79" s="527"/>
      <c r="J79" s="50" t="s">
        <v>5754</v>
      </c>
      <c r="K79" s="50" t="s">
        <v>5000</v>
      </c>
      <c r="L79" s="50" t="s">
        <v>4239</v>
      </c>
      <c r="M79" s="50" t="s">
        <v>32</v>
      </c>
      <c r="N79" s="50" t="s">
        <v>47</v>
      </c>
      <c r="O79" s="50" t="s">
        <v>47</v>
      </c>
      <c r="P79" s="50" t="s">
        <v>1939</v>
      </c>
      <c r="Q79" s="160">
        <v>45701.0</v>
      </c>
      <c r="R79" s="160">
        <v>46796.0</v>
      </c>
      <c r="S79" s="50" t="s">
        <v>4989</v>
      </c>
      <c r="T79" s="50"/>
      <c r="U79" s="50"/>
      <c r="V79" s="50"/>
      <c r="W79" s="198"/>
    </row>
    <row r="80" ht="15.75" customHeight="1">
      <c r="B80" s="527"/>
      <c r="C80" s="527"/>
      <c r="D80" s="527"/>
      <c r="E80" s="527"/>
      <c r="F80" s="527"/>
      <c r="G80" s="527"/>
      <c r="H80" s="527"/>
      <c r="I80" s="527"/>
      <c r="J80" s="50" t="s">
        <v>5758</v>
      </c>
      <c r="K80" s="50" t="s">
        <v>5000</v>
      </c>
      <c r="L80" s="50" t="s">
        <v>4231</v>
      </c>
      <c r="M80" s="50" t="s">
        <v>32</v>
      </c>
      <c r="N80" s="50" t="s">
        <v>47</v>
      </c>
      <c r="O80" s="50" t="s">
        <v>47</v>
      </c>
      <c r="P80" s="50" t="s">
        <v>2212</v>
      </c>
      <c r="Q80" s="160">
        <v>45829.0</v>
      </c>
      <c r="R80" s="160">
        <v>46925.0</v>
      </c>
      <c r="S80" s="50" t="s">
        <v>4989</v>
      </c>
      <c r="T80" s="50"/>
      <c r="U80" s="50"/>
      <c r="V80" s="50"/>
      <c r="W80" s="198"/>
    </row>
    <row r="81" ht="15.75" customHeight="1">
      <c r="B81" s="527"/>
      <c r="C81" s="527"/>
      <c r="D81" s="527"/>
      <c r="E81" s="527"/>
      <c r="F81" s="527"/>
      <c r="G81" s="527"/>
      <c r="H81" s="527"/>
      <c r="I81" s="527"/>
      <c r="J81" s="50" t="s">
        <v>5766</v>
      </c>
      <c r="K81" s="50" t="s">
        <v>5000</v>
      </c>
      <c r="L81" s="50" t="s">
        <v>4239</v>
      </c>
      <c r="M81" s="50" t="s">
        <v>32</v>
      </c>
      <c r="N81" s="50" t="s">
        <v>47</v>
      </c>
      <c r="O81" s="50" t="s">
        <v>47</v>
      </c>
      <c r="P81" s="50" t="s">
        <v>46</v>
      </c>
      <c r="Q81" s="160">
        <v>45701.0</v>
      </c>
      <c r="R81" s="160">
        <v>46796.0</v>
      </c>
      <c r="S81" s="50" t="s">
        <v>4989</v>
      </c>
      <c r="T81" s="50"/>
      <c r="U81" s="50"/>
      <c r="V81" s="50"/>
      <c r="W81" s="198"/>
    </row>
    <row r="82" ht="15.75" customHeight="1">
      <c r="B82" s="433"/>
      <c r="C82" s="433"/>
      <c r="D82" s="433"/>
      <c r="E82" s="433"/>
      <c r="F82" s="433"/>
      <c r="G82" s="433"/>
      <c r="H82" s="433"/>
      <c r="I82" s="433"/>
      <c r="J82" s="50" t="s">
        <v>5774</v>
      </c>
      <c r="K82" s="50" t="s">
        <v>5000</v>
      </c>
      <c r="L82" s="50" t="s">
        <v>4239</v>
      </c>
      <c r="M82" s="50" t="s">
        <v>32</v>
      </c>
      <c r="N82" s="50" t="s">
        <v>47</v>
      </c>
      <c r="O82" s="50" t="s">
        <v>47</v>
      </c>
      <c r="P82" s="50" t="s">
        <v>126</v>
      </c>
      <c r="Q82" s="160">
        <v>45901.0</v>
      </c>
      <c r="R82" s="160">
        <v>46997.0</v>
      </c>
      <c r="S82" s="50" t="s">
        <v>4989</v>
      </c>
      <c r="T82" s="50"/>
      <c r="U82" s="50"/>
      <c r="V82" s="50"/>
      <c r="W82" s="198"/>
    </row>
    <row r="83" ht="15.75" customHeight="1">
      <c r="B83" s="520">
        <v>22.0</v>
      </c>
      <c r="C83" s="520" t="s">
        <v>5778</v>
      </c>
      <c r="D83" s="520" t="s">
        <v>5000</v>
      </c>
      <c r="E83" s="520" t="s">
        <v>5780</v>
      </c>
      <c r="F83" s="520" t="s">
        <v>5780</v>
      </c>
      <c r="G83" s="520" t="s">
        <v>5781</v>
      </c>
      <c r="H83" s="521">
        <v>45944.0</v>
      </c>
      <c r="I83" s="520"/>
      <c r="J83" s="50" t="s">
        <v>5786</v>
      </c>
      <c r="K83" s="50" t="s">
        <v>5000</v>
      </c>
      <c r="L83" s="50" t="s">
        <v>4258</v>
      </c>
      <c r="M83" s="50" t="s">
        <v>50</v>
      </c>
      <c r="N83" s="50" t="s">
        <v>5133</v>
      </c>
      <c r="O83" s="50" t="s">
        <v>319</v>
      </c>
      <c r="P83" s="50" t="s">
        <v>319</v>
      </c>
      <c r="Q83" s="160">
        <v>45418.0</v>
      </c>
      <c r="R83" s="160">
        <v>46513.0</v>
      </c>
      <c r="S83" s="50" t="s">
        <v>4989</v>
      </c>
      <c r="T83" s="50"/>
      <c r="U83" s="50"/>
      <c r="V83" s="50"/>
      <c r="W83" s="198"/>
    </row>
    <row r="84" ht="15.75" customHeight="1">
      <c r="B84" s="527"/>
      <c r="C84" s="527"/>
      <c r="D84" s="527"/>
      <c r="E84" s="527"/>
      <c r="F84" s="527"/>
      <c r="G84" s="527"/>
      <c r="H84" s="527"/>
      <c r="I84" s="527"/>
      <c r="J84" s="50" t="s">
        <v>5790</v>
      </c>
      <c r="K84" s="50" t="s">
        <v>5000</v>
      </c>
      <c r="L84" s="50" t="s">
        <v>4255</v>
      </c>
      <c r="M84" s="50" t="s">
        <v>50</v>
      </c>
      <c r="N84" s="50" t="s">
        <v>5133</v>
      </c>
      <c r="O84" s="50" t="s">
        <v>1581</v>
      </c>
      <c r="P84" s="50" t="s">
        <v>1581</v>
      </c>
      <c r="Q84" s="160">
        <v>45418.0</v>
      </c>
      <c r="R84" s="160">
        <v>46513.0</v>
      </c>
      <c r="S84" s="50" t="s">
        <v>4989</v>
      </c>
      <c r="T84" s="50"/>
      <c r="U84" s="50"/>
      <c r="V84" s="50"/>
      <c r="W84" s="198"/>
    </row>
    <row r="85" ht="15.75" customHeight="1">
      <c r="B85" s="527"/>
      <c r="C85" s="527"/>
      <c r="D85" s="527"/>
      <c r="E85" s="527"/>
      <c r="F85" s="527"/>
      <c r="G85" s="527"/>
      <c r="H85" s="527"/>
      <c r="I85" s="527"/>
      <c r="J85" s="50" t="s">
        <v>5798</v>
      </c>
      <c r="K85" s="50" t="s">
        <v>5000</v>
      </c>
      <c r="L85" s="50" t="s">
        <v>4239</v>
      </c>
      <c r="M85" s="50" t="s">
        <v>50</v>
      </c>
      <c r="N85" s="50" t="s">
        <v>322</v>
      </c>
      <c r="O85" s="50" t="s">
        <v>2834</v>
      </c>
      <c r="P85" s="50" t="s">
        <v>2834</v>
      </c>
      <c r="Q85" s="160">
        <v>45378.0</v>
      </c>
      <c r="R85" s="160">
        <v>46473.0</v>
      </c>
      <c r="S85" s="50" t="s">
        <v>4989</v>
      </c>
      <c r="T85" s="50"/>
      <c r="U85" s="50"/>
      <c r="V85" s="50"/>
      <c r="W85" s="198"/>
    </row>
    <row r="86" ht="15.75" customHeight="1">
      <c r="B86" s="527"/>
      <c r="C86" s="527"/>
      <c r="D86" s="527"/>
      <c r="E86" s="527"/>
      <c r="F86" s="527"/>
      <c r="G86" s="527"/>
      <c r="H86" s="527"/>
      <c r="I86" s="527"/>
      <c r="J86" s="50" t="s">
        <v>5803</v>
      </c>
      <c r="K86" s="50" t="s">
        <v>5000</v>
      </c>
      <c r="L86" s="50" t="s">
        <v>4255</v>
      </c>
      <c r="M86" s="50" t="s">
        <v>50</v>
      </c>
      <c r="N86" s="50" t="s">
        <v>5133</v>
      </c>
      <c r="O86" s="50" t="s">
        <v>5807</v>
      </c>
      <c r="P86" s="50" t="s">
        <v>5809</v>
      </c>
      <c r="Q86" s="160">
        <v>45378.0</v>
      </c>
      <c r="R86" s="160">
        <v>46473.0</v>
      </c>
      <c r="S86" s="50" t="s">
        <v>4989</v>
      </c>
      <c r="T86" s="50"/>
      <c r="U86" s="50"/>
      <c r="V86" s="50"/>
      <c r="W86" s="198"/>
    </row>
    <row r="87" ht="15.75" customHeight="1">
      <c r="B87" s="527"/>
      <c r="C87" s="527"/>
      <c r="D87" s="527"/>
      <c r="E87" s="527"/>
      <c r="F87" s="527"/>
      <c r="G87" s="527"/>
      <c r="H87" s="527"/>
      <c r="I87" s="527"/>
      <c r="J87" s="50" t="s">
        <v>5812</v>
      </c>
      <c r="K87" s="50" t="s">
        <v>5000</v>
      </c>
      <c r="L87" s="50" t="s">
        <v>4239</v>
      </c>
      <c r="M87" s="50" t="s">
        <v>50</v>
      </c>
      <c r="N87" s="50" t="s">
        <v>5133</v>
      </c>
      <c r="O87" s="50" t="s">
        <v>876</v>
      </c>
      <c r="P87" s="50" t="s">
        <v>876</v>
      </c>
      <c r="Q87" s="160">
        <v>45378.0</v>
      </c>
      <c r="R87" s="160">
        <v>46473.0</v>
      </c>
      <c r="S87" s="50" t="s">
        <v>4989</v>
      </c>
      <c r="T87" s="50"/>
      <c r="U87" s="50"/>
      <c r="V87" s="50"/>
      <c r="W87" s="198"/>
    </row>
    <row r="88" ht="15.75" customHeight="1">
      <c r="B88" s="527"/>
      <c r="C88" s="527"/>
      <c r="D88" s="527"/>
      <c r="E88" s="527"/>
      <c r="F88" s="527"/>
      <c r="G88" s="527"/>
      <c r="H88" s="527"/>
      <c r="I88" s="527"/>
      <c r="J88" s="50" t="s">
        <v>5817</v>
      </c>
      <c r="K88" s="50" t="s">
        <v>5000</v>
      </c>
      <c r="L88" s="50" t="s">
        <v>4239</v>
      </c>
      <c r="M88" s="50" t="s">
        <v>50</v>
      </c>
      <c r="N88" s="50" t="s">
        <v>5133</v>
      </c>
      <c r="O88" s="50" t="s">
        <v>5133</v>
      </c>
      <c r="P88" s="50" t="s">
        <v>509</v>
      </c>
      <c r="Q88" s="160">
        <v>45387.0</v>
      </c>
      <c r="R88" s="160">
        <v>46482.0</v>
      </c>
      <c r="S88" s="50" t="s">
        <v>4989</v>
      </c>
      <c r="T88" s="50"/>
      <c r="U88" s="50"/>
      <c r="V88" s="50"/>
      <c r="W88" s="198"/>
    </row>
    <row r="89" ht="15.75" customHeight="1">
      <c r="B89" s="527"/>
      <c r="C89" s="527"/>
      <c r="D89" s="527"/>
      <c r="E89" s="527"/>
      <c r="F89" s="527"/>
      <c r="G89" s="527"/>
      <c r="H89" s="527"/>
      <c r="I89" s="527"/>
      <c r="J89" s="50" t="s">
        <v>5821</v>
      </c>
      <c r="K89" s="50" t="s">
        <v>5000</v>
      </c>
      <c r="L89" s="50" t="s">
        <v>4239</v>
      </c>
      <c r="M89" s="50" t="s">
        <v>50</v>
      </c>
      <c r="N89" s="50" t="s">
        <v>5133</v>
      </c>
      <c r="O89" s="50" t="s">
        <v>5133</v>
      </c>
      <c r="P89" s="50" t="s">
        <v>4102</v>
      </c>
      <c r="Q89" s="76">
        <v>45652.0</v>
      </c>
      <c r="R89" s="76">
        <v>46747.0</v>
      </c>
      <c r="S89" s="50" t="s">
        <v>4989</v>
      </c>
      <c r="T89" s="50"/>
      <c r="U89" s="50"/>
      <c r="V89" s="50"/>
      <c r="W89" s="198"/>
    </row>
    <row r="90" ht="15.75" customHeight="1">
      <c r="B90" s="527"/>
      <c r="C90" s="527"/>
      <c r="D90" s="527"/>
      <c r="E90" s="527"/>
      <c r="F90" s="527"/>
      <c r="G90" s="527"/>
      <c r="H90" s="527"/>
      <c r="I90" s="527"/>
      <c r="J90" s="50" t="s">
        <v>5822</v>
      </c>
      <c r="K90" s="50" t="s">
        <v>5000</v>
      </c>
      <c r="L90" s="50" t="s">
        <v>4255</v>
      </c>
      <c r="M90" s="50" t="s">
        <v>69</v>
      </c>
      <c r="N90" s="50" t="s">
        <v>5133</v>
      </c>
      <c r="O90" s="50" t="s">
        <v>5133</v>
      </c>
      <c r="P90" s="50" t="s">
        <v>509</v>
      </c>
      <c r="Q90" s="160">
        <v>45877.0</v>
      </c>
      <c r="R90" s="160">
        <v>46973.0</v>
      </c>
      <c r="S90" s="50" t="s">
        <v>4989</v>
      </c>
      <c r="T90" s="50"/>
      <c r="U90" s="50"/>
      <c r="V90" s="50"/>
      <c r="W90" s="198"/>
    </row>
    <row r="91" ht="15.75" customHeight="1">
      <c r="B91" s="527"/>
      <c r="C91" s="527"/>
      <c r="D91" s="527"/>
      <c r="E91" s="527"/>
      <c r="F91" s="527"/>
      <c r="G91" s="527"/>
      <c r="H91" s="527"/>
      <c r="I91" s="527"/>
      <c r="J91" s="50" t="s">
        <v>5823</v>
      </c>
      <c r="K91" s="50" t="s">
        <v>5000</v>
      </c>
      <c r="L91" s="50" t="s">
        <v>4255</v>
      </c>
      <c r="M91" s="50" t="s">
        <v>69</v>
      </c>
      <c r="N91" s="50" t="s">
        <v>5133</v>
      </c>
      <c r="O91" s="50" t="s">
        <v>319</v>
      </c>
      <c r="P91" s="50" t="s">
        <v>319</v>
      </c>
      <c r="Q91" s="76">
        <v>45943.0</v>
      </c>
      <c r="R91" s="76">
        <v>47039.0</v>
      </c>
      <c r="S91" s="50" t="s">
        <v>4989</v>
      </c>
      <c r="T91" s="50"/>
      <c r="U91" s="50"/>
      <c r="V91" s="50"/>
      <c r="W91" s="198"/>
    </row>
    <row r="92" ht="15.75" customHeight="1">
      <c r="B92" s="527"/>
      <c r="C92" s="527"/>
      <c r="D92" s="527"/>
      <c r="E92" s="527"/>
      <c r="F92" s="527"/>
      <c r="G92" s="527"/>
      <c r="H92" s="527"/>
      <c r="I92" s="527"/>
      <c r="J92" s="50" t="s">
        <v>5824</v>
      </c>
      <c r="K92" s="50" t="s">
        <v>5000</v>
      </c>
      <c r="L92" s="50" t="s">
        <v>4239</v>
      </c>
      <c r="M92" s="50" t="s">
        <v>32</v>
      </c>
      <c r="N92" s="50" t="s">
        <v>5133</v>
      </c>
      <c r="O92" s="50" t="s">
        <v>5133</v>
      </c>
      <c r="P92" s="50" t="s">
        <v>509</v>
      </c>
      <c r="Q92" s="160">
        <v>45688.0</v>
      </c>
      <c r="R92" s="166">
        <v>46053.0</v>
      </c>
      <c r="S92" s="531" t="s">
        <v>5010</v>
      </c>
      <c r="T92" s="50"/>
      <c r="U92" s="50"/>
      <c r="V92" s="50"/>
      <c r="W92" s="198"/>
    </row>
    <row r="93" ht="15.75" customHeight="1">
      <c r="B93" s="527"/>
      <c r="C93" s="527"/>
      <c r="D93" s="527"/>
      <c r="E93" s="527"/>
      <c r="F93" s="527"/>
      <c r="G93" s="527"/>
      <c r="H93" s="527"/>
      <c r="I93" s="527"/>
      <c r="J93" s="50" t="s">
        <v>5825</v>
      </c>
      <c r="K93" s="50" t="s">
        <v>5000</v>
      </c>
      <c r="L93" s="50" t="s">
        <v>4239</v>
      </c>
      <c r="M93" s="50" t="s">
        <v>32</v>
      </c>
      <c r="N93" s="50" t="s">
        <v>5133</v>
      </c>
      <c r="O93" s="50" t="s">
        <v>319</v>
      </c>
      <c r="P93" s="50" t="s">
        <v>5826</v>
      </c>
      <c r="Q93" s="76">
        <v>45639.0</v>
      </c>
      <c r="R93" s="76">
        <v>46734.0</v>
      </c>
      <c r="S93" s="50" t="s">
        <v>4989</v>
      </c>
      <c r="T93" s="50"/>
      <c r="U93" s="50"/>
      <c r="V93" s="50"/>
      <c r="W93" s="198"/>
    </row>
    <row r="94" ht="15.75" customHeight="1">
      <c r="B94" s="527"/>
      <c r="C94" s="527"/>
      <c r="D94" s="527"/>
      <c r="E94" s="527"/>
      <c r="F94" s="527"/>
      <c r="G94" s="527"/>
      <c r="H94" s="527"/>
      <c r="I94" s="527"/>
      <c r="J94" s="50" t="s">
        <v>5827</v>
      </c>
      <c r="K94" s="50" t="s">
        <v>5000</v>
      </c>
      <c r="L94" s="50" t="s">
        <v>4231</v>
      </c>
      <c r="M94" s="50" t="s">
        <v>32</v>
      </c>
      <c r="N94" s="50" t="s">
        <v>5133</v>
      </c>
      <c r="O94" s="50" t="s">
        <v>1581</v>
      </c>
      <c r="P94" s="50" t="s">
        <v>1581</v>
      </c>
      <c r="Q94" s="160">
        <v>45384.0</v>
      </c>
      <c r="R94" s="160">
        <v>46479.0</v>
      </c>
      <c r="S94" s="50" t="s">
        <v>4989</v>
      </c>
      <c r="T94" s="50"/>
      <c r="U94" s="50"/>
      <c r="V94" s="50"/>
      <c r="W94" s="198"/>
    </row>
    <row r="95" ht="15.75" customHeight="1">
      <c r="B95" s="527"/>
      <c r="C95" s="527"/>
      <c r="D95" s="527"/>
      <c r="E95" s="527"/>
      <c r="F95" s="527"/>
      <c r="G95" s="527"/>
      <c r="H95" s="527"/>
      <c r="I95" s="527"/>
      <c r="J95" s="50" t="s">
        <v>5828</v>
      </c>
      <c r="K95" s="50" t="s">
        <v>5000</v>
      </c>
      <c r="L95" s="50" t="s">
        <v>4255</v>
      </c>
      <c r="M95" s="50" t="s">
        <v>32</v>
      </c>
      <c r="N95" s="50" t="s">
        <v>5133</v>
      </c>
      <c r="O95" s="50" t="s">
        <v>5133</v>
      </c>
      <c r="P95" s="50" t="s">
        <v>509</v>
      </c>
      <c r="Q95" s="160">
        <v>45373.0</v>
      </c>
      <c r="R95" s="160">
        <v>46468.0</v>
      </c>
      <c r="S95" s="50" t="s">
        <v>4989</v>
      </c>
      <c r="T95" s="50"/>
      <c r="U95" s="50"/>
      <c r="V95" s="50"/>
      <c r="W95" s="198"/>
    </row>
    <row r="96" ht="15.75" customHeight="1">
      <c r="B96" s="527"/>
      <c r="C96" s="527"/>
      <c r="D96" s="527"/>
      <c r="E96" s="527"/>
      <c r="F96" s="527"/>
      <c r="G96" s="527"/>
      <c r="H96" s="527"/>
      <c r="I96" s="527"/>
      <c r="J96" s="50" t="s">
        <v>5829</v>
      </c>
      <c r="K96" s="50" t="s">
        <v>5000</v>
      </c>
      <c r="L96" s="50" t="s">
        <v>4239</v>
      </c>
      <c r="M96" s="50" t="s">
        <v>32</v>
      </c>
      <c r="N96" s="50" t="s">
        <v>5133</v>
      </c>
      <c r="O96" s="50" t="s">
        <v>5133</v>
      </c>
      <c r="P96" s="50" t="s">
        <v>509</v>
      </c>
      <c r="Q96" s="160">
        <v>45390.0</v>
      </c>
      <c r="R96" s="160">
        <v>46485.0</v>
      </c>
      <c r="S96" s="50" t="s">
        <v>4989</v>
      </c>
      <c r="T96" s="50"/>
      <c r="U96" s="50"/>
      <c r="V96" s="50"/>
      <c r="W96" s="198"/>
    </row>
    <row r="97" ht="15.75" customHeight="1">
      <c r="B97" s="527"/>
      <c r="C97" s="527"/>
      <c r="D97" s="527"/>
      <c r="E97" s="527"/>
      <c r="F97" s="527"/>
      <c r="G97" s="527"/>
      <c r="H97" s="527"/>
      <c r="I97" s="527"/>
      <c r="J97" s="50" t="s">
        <v>5830</v>
      </c>
      <c r="K97" s="50" t="s">
        <v>5000</v>
      </c>
      <c r="L97" s="50" t="s">
        <v>4239</v>
      </c>
      <c r="M97" s="50" t="s">
        <v>32</v>
      </c>
      <c r="N97" s="50" t="s">
        <v>5133</v>
      </c>
      <c r="O97" s="50" t="s">
        <v>5133</v>
      </c>
      <c r="P97" s="50" t="s">
        <v>509</v>
      </c>
      <c r="Q97" s="160">
        <v>45845.0</v>
      </c>
      <c r="R97" s="160">
        <v>46880.0</v>
      </c>
      <c r="S97" s="50" t="s">
        <v>4989</v>
      </c>
      <c r="T97" s="50"/>
      <c r="U97" s="50"/>
      <c r="V97" s="50"/>
      <c r="W97" s="198"/>
    </row>
    <row r="98" ht="15.75" customHeight="1">
      <c r="B98" s="527"/>
      <c r="C98" s="527"/>
      <c r="D98" s="527"/>
      <c r="E98" s="527"/>
      <c r="F98" s="527"/>
      <c r="G98" s="527"/>
      <c r="H98" s="527"/>
      <c r="I98" s="527"/>
      <c r="J98" s="50" t="s">
        <v>5831</v>
      </c>
      <c r="K98" s="50" t="s">
        <v>5000</v>
      </c>
      <c r="L98" s="50" t="s">
        <v>4239</v>
      </c>
      <c r="M98" s="50" t="s">
        <v>32</v>
      </c>
      <c r="N98" s="50" t="s">
        <v>5133</v>
      </c>
      <c r="O98" s="50" t="s">
        <v>5133</v>
      </c>
      <c r="P98" s="50" t="s">
        <v>509</v>
      </c>
      <c r="Q98" s="76">
        <v>45639.0</v>
      </c>
      <c r="R98" s="76">
        <v>46734.0</v>
      </c>
      <c r="S98" s="50" t="s">
        <v>4989</v>
      </c>
      <c r="T98" s="50"/>
      <c r="U98" s="50"/>
      <c r="V98" s="50"/>
      <c r="W98" s="198"/>
    </row>
    <row r="99" ht="15.75" customHeight="1">
      <c r="B99" s="527"/>
      <c r="C99" s="527"/>
      <c r="D99" s="527"/>
      <c r="E99" s="527"/>
      <c r="F99" s="527"/>
      <c r="G99" s="527"/>
      <c r="H99" s="527"/>
      <c r="I99" s="527"/>
      <c r="J99" s="50" t="s">
        <v>5832</v>
      </c>
      <c r="K99" s="50" t="s">
        <v>5000</v>
      </c>
      <c r="L99" s="50" t="s">
        <v>4239</v>
      </c>
      <c r="M99" s="50" t="s">
        <v>32</v>
      </c>
      <c r="N99" s="50" t="s">
        <v>5133</v>
      </c>
      <c r="O99" s="50" t="s">
        <v>1581</v>
      </c>
      <c r="P99" s="50" t="s">
        <v>1581</v>
      </c>
      <c r="Q99" s="160">
        <v>45372.0</v>
      </c>
      <c r="R99" s="160">
        <v>46467.0</v>
      </c>
      <c r="S99" s="50" t="s">
        <v>4989</v>
      </c>
      <c r="T99" s="50"/>
      <c r="U99" s="50"/>
      <c r="V99" s="50"/>
      <c r="W99" s="198"/>
    </row>
    <row r="100" ht="15.75" customHeight="1">
      <c r="B100" s="527"/>
      <c r="C100" s="527"/>
      <c r="D100" s="527"/>
      <c r="E100" s="527"/>
      <c r="F100" s="527"/>
      <c r="G100" s="527"/>
      <c r="H100" s="527"/>
      <c r="I100" s="527"/>
      <c r="J100" s="50" t="s">
        <v>5833</v>
      </c>
      <c r="K100" s="50" t="s">
        <v>5000</v>
      </c>
      <c r="L100" s="529" t="s">
        <v>4239</v>
      </c>
      <c r="M100" s="50" t="s">
        <v>32</v>
      </c>
      <c r="N100" s="50" t="s">
        <v>5133</v>
      </c>
      <c r="O100" s="50" t="s">
        <v>1581</v>
      </c>
      <c r="P100" s="50" t="s">
        <v>4276</v>
      </c>
      <c r="Q100" s="76">
        <v>45656.0</v>
      </c>
      <c r="R100" s="76">
        <v>46751.0</v>
      </c>
      <c r="S100" s="50" t="s">
        <v>4989</v>
      </c>
      <c r="T100" s="50"/>
      <c r="U100" s="50"/>
      <c r="V100" s="50"/>
      <c r="W100" s="198"/>
    </row>
    <row r="101" ht="15.75" customHeight="1">
      <c r="B101" s="433"/>
      <c r="C101" s="433"/>
      <c r="D101" s="433"/>
      <c r="E101" s="433"/>
      <c r="F101" s="433"/>
      <c r="G101" s="433"/>
      <c r="H101" s="433"/>
      <c r="I101" s="433"/>
      <c r="J101" s="50" t="s">
        <v>5834</v>
      </c>
      <c r="K101" s="50" t="s">
        <v>5000</v>
      </c>
      <c r="L101" s="50" t="s">
        <v>4239</v>
      </c>
      <c r="M101" s="50" t="s">
        <v>32</v>
      </c>
      <c r="N101" s="50" t="s">
        <v>5133</v>
      </c>
      <c r="O101" s="50" t="s">
        <v>5835</v>
      </c>
      <c r="P101" s="50" t="s">
        <v>5809</v>
      </c>
      <c r="Q101" s="160">
        <v>45378.0</v>
      </c>
      <c r="R101" s="160">
        <v>46473.0</v>
      </c>
      <c r="S101" s="50" t="s">
        <v>4989</v>
      </c>
      <c r="T101" s="50"/>
      <c r="U101" s="50"/>
      <c r="V101" s="50"/>
      <c r="W101" s="198"/>
    </row>
    <row r="102" ht="15.75" customHeight="1">
      <c r="B102" s="78">
        <v>23.0</v>
      </c>
      <c r="C102" s="50" t="s">
        <v>5836</v>
      </c>
      <c r="D102" s="50" t="s">
        <v>5000</v>
      </c>
      <c r="E102" s="50" t="s">
        <v>4646</v>
      </c>
      <c r="F102" s="50" t="s">
        <v>47</v>
      </c>
      <c r="G102" s="50" t="s">
        <v>5837</v>
      </c>
      <c r="H102" s="548">
        <v>45916.0</v>
      </c>
      <c r="I102" s="578" t="s">
        <v>5838</v>
      </c>
      <c r="J102" s="50" t="s">
        <v>1614</v>
      </c>
      <c r="K102" s="50"/>
      <c r="L102" s="50"/>
      <c r="M102" s="50"/>
      <c r="N102" s="50"/>
      <c r="O102" s="50"/>
      <c r="P102" s="50"/>
      <c r="Q102" s="76"/>
      <c r="R102" s="76"/>
      <c r="S102" s="50"/>
      <c r="T102" s="50"/>
      <c r="U102" s="50"/>
      <c r="V102" s="50"/>
      <c r="W102" s="198"/>
    </row>
    <row r="103" ht="15.75" customHeight="1">
      <c r="B103" s="50">
        <v>23.0</v>
      </c>
      <c r="C103" s="50" t="s">
        <v>5836</v>
      </c>
      <c r="D103" s="50" t="s">
        <v>5000</v>
      </c>
      <c r="E103" s="50" t="s">
        <v>4646</v>
      </c>
      <c r="F103" s="50" t="s">
        <v>47</v>
      </c>
      <c r="G103" s="50" t="s">
        <v>5837</v>
      </c>
      <c r="H103" s="76">
        <v>45940.0</v>
      </c>
      <c r="I103" s="50" t="s">
        <v>5839</v>
      </c>
      <c r="J103" s="50" t="s">
        <v>5840</v>
      </c>
      <c r="K103" s="50" t="s">
        <v>5000</v>
      </c>
      <c r="L103" s="50" t="s">
        <v>4239</v>
      </c>
      <c r="M103" s="50" t="s">
        <v>32</v>
      </c>
      <c r="N103" s="50" t="s">
        <v>47</v>
      </c>
      <c r="O103" s="50" t="s">
        <v>47</v>
      </c>
      <c r="P103" s="50" t="s">
        <v>176</v>
      </c>
      <c r="Q103" s="76">
        <v>45938.0</v>
      </c>
      <c r="R103" s="76">
        <v>46303.0</v>
      </c>
      <c r="S103" s="50" t="s">
        <v>4989</v>
      </c>
      <c r="T103" s="50"/>
      <c r="U103" s="50"/>
      <c r="V103" s="50"/>
      <c r="W103" s="198"/>
    </row>
    <row r="104" ht="15.75" customHeight="1">
      <c r="B104" s="113">
        <v>23.0</v>
      </c>
      <c r="C104" s="113" t="s">
        <v>5836</v>
      </c>
      <c r="D104" s="113" t="s">
        <v>5000</v>
      </c>
      <c r="E104" s="113" t="s">
        <v>4646</v>
      </c>
      <c r="F104" s="113" t="s">
        <v>47</v>
      </c>
      <c r="G104" s="113" t="s">
        <v>5837</v>
      </c>
      <c r="H104" s="142">
        <v>46220.0</v>
      </c>
      <c r="I104" s="113" t="s">
        <v>5841</v>
      </c>
      <c r="J104" s="113" t="s">
        <v>5842</v>
      </c>
      <c r="K104" s="113" t="s">
        <v>5000</v>
      </c>
      <c r="L104" s="113" t="s">
        <v>4239</v>
      </c>
      <c r="M104" s="113" t="s">
        <v>32</v>
      </c>
      <c r="N104" s="113" t="s">
        <v>47</v>
      </c>
      <c r="O104" s="113" t="s">
        <v>47</v>
      </c>
      <c r="P104" s="113" t="s">
        <v>1668</v>
      </c>
      <c r="Q104" s="63">
        <v>46199.0</v>
      </c>
      <c r="R104" s="63">
        <v>46564.0</v>
      </c>
      <c r="S104" s="113" t="s">
        <v>4989</v>
      </c>
      <c r="T104" s="50"/>
      <c r="U104" s="50"/>
      <c r="V104" s="50"/>
      <c r="W104" s="198"/>
    </row>
    <row r="105" ht="15.75" customHeight="1">
      <c r="B105" s="50">
        <v>24.0</v>
      </c>
      <c r="C105" s="50" t="s">
        <v>5843</v>
      </c>
      <c r="D105" s="50" t="s">
        <v>5000</v>
      </c>
      <c r="E105" s="50" t="s">
        <v>5844</v>
      </c>
      <c r="F105" s="50" t="s">
        <v>5845</v>
      </c>
      <c r="G105" s="50" t="s">
        <v>5846</v>
      </c>
      <c r="H105" s="76">
        <v>45954.0</v>
      </c>
      <c r="I105" s="50"/>
      <c r="J105" s="50" t="s">
        <v>5242</v>
      </c>
      <c r="K105" s="50"/>
      <c r="L105" s="50"/>
      <c r="M105" s="50"/>
      <c r="N105" s="50"/>
      <c r="O105" s="50"/>
      <c r="P105" s="50"/>
      <c r="Q105" s="50"/>
      <c r="R105" s="50"/>
      <c r="S105" s="50" t="s">
        <v>4989</v>
      </c>
      <c r="T105" s="50"/>
      <c r="U105" s="50"/>
      <c r="V105" s="50"/>
      <c r="W105" s="198"/>
    </row>
    <row r="106" ht="15.75" customHeight="1">
      <c r="B106" s="50">
        <v>25.0</v>
      </c>
      <c r="C106" s="50" t="s">
        <v>5847</v>
      </c>
      <c r="D106" s="50" t="s">
        <v>5000</v>
      </c>
      <c r="E106" s="50" t="s">
        <v>4646</v>
      </c>
      <c r="F106" s="50" t="s">
        <v>4646</v>
      </c>
      <c r="G106" s="50" t="s">
        <v>5837</v>
      </c>
      <c r="H106" s="160">
        <v>45834.0</v>
      </c>
      <c r="I106" s="50"/>
      <c r="J106" s="50" t="s">
        <v>5848</v>
      </c>
      <c r="K106" s="50" t="s">
        <v>5000</v>
      </c>
      <c r="L106" s="50" t="s">
        <v>4239</v>
      </c>
      <c r="M106" s="50" t="s">
        <v>32</v>
      </c>
      <c r="N106" s="50" t="s">
        <v>47</v>
      </c>
      <c r="O106" s="50" t="s">
        <v>47</v>
      </c>
      <c r="P106" s="50" t="s">
        <v>176</v>
      </c>
      <c r="Q106" s="160">
        <v>45826.0</v>
      </c>
      <c r="R106" s="160">
        <v>46556.0</v>
      </c>
      <c r="S106" s="50" t="s">
        <v>4989</v>
      </c>
      <c r="T106" s="50"/>
      <c r="U106" s="50"/>
      <c r="V106" s="50"/>
      <c r="W106" s="198"/>
    </row>
    <row r="107" ht="15.75" customHeight="1">
      <c r="B107" s="78">
        <v>25.0</v>
      </c>
      <c r="C107" s="50" t="s">
        <v>5847</v>
      </c>
      <c r="D107" s="50" t="s">
        <v>5000</v>
      </c>
      <c r="E107" s="50" t="s">
        <v>4646</v>
      </c>
      <c r="F107" s="50" t="s">
        <v>4646</v>
      </c>
      <c r="G107" s="50" t="s">
        <v>5837</v>
      </c>
      <c r="H107" s="579">
        <v>46101.0</v>
      </c>
      <c r="I107" s="78" t="s">
        <v>5849</v>
      </c>
      <c r="J107" s="50" t="s">
        <v>5850</v>
      </c>
      <c r="K107" s="50" t="s">
        <v>5000</v>
      </c>
      <c r="L107" s="50" t="s">
        <v>4239</v>
      </c>
      <c r="M107" s="50" t="s">
        <v>32</v>
      </c>
      <c r="N107" s="50" t="s">
        <v>47</v>
      </c>
      <c r="O107" s="50" t="s">
        <v>47</v>
      </c>
      <c r="P107" s="50" t="s">
        <v>2212</v>
      </c>
      <c r="Q107" s="160">
        <v>45869.0</v>
      </c>
      <c r="R107" s="160">
        <v>46599.0</v>
      </c>
      <c r="S107" s="50" t="s">
        <v>4989</v>
      </c>
      <c r="T107" s="50"/>
      <c r="U107" s="50"/>
      <c r="V107" s="50"/>
      <c r="W107" s="198"/>
    </row>
    <row r="108" ht="15.75" customHeight="1">
      <c r="B108" s="520">
        <v>26.0</v>
      </c>
      <c r="C108" s="520" t="s">
        <v>5851</v>
      </c>
      <c r="D108" s="520" t="s">
        <v>5000</v>
      </c>
      <c r="E108" s="520" t="s">
        <v>5844</v>
      </c>
      <c r="F108" s="520" t="s">
        <v>5852</v>
      </c>
      <c r="G108" s="520" t="s">
        <v>5852</v>
      </c>
      <c r="H108" s="521">
        <v>45953.0</v>
      </c>
      <c r="I108" s="520" t="s">
        <v>5853</v>
      </c>
      <c r="J108" s="50" t="s">
        <v>5854</v>
      </c>
      <c r="K108" s="50" t="s">
        <v>5000</v>
      </c>
      <c r="L108" s="50" t="s">
        <v>4239</v>
      </c>
      <c r="M108" s="50" t="s">
        <v>32</v>
      </c>
      <c r="N108" s="50" t="s">
        <v>826</v>
      </c>
      <c r="O108" s="50" t="s">
        <v>666</v>
      </c>
      <c r="P108" s="50" t="s">
        <v>741</v>
      </c>
      <c r="Q108" s="160">
        <v>45359.0</v>
      </c>
      <c r="R108" s="160">
        <v>46089.0</v>
      </c>
      <c r="S108" s="524" t="s">
        <v>5010</v>
      </c>
      <c r="T108" s="50"/>
      <c r="U108" s="50"/>
      <c r="V108" s="50"/>
      <c r="W108" s="198"/>
    </row>
    <row r="109" ht="15.75" customHeight="1">
      <c r="B109" s="527"/>
      <c r="C109" s="527"/>
      <c r="D109" s="527"/>
      <c r="E109" s="527"/>
      <c r="F109" s="527"/>
      <c r="G109" s="527"/>
      <c r="H109" s="527"/>
      <c r="I109" s="527"/>
      <c r="J109" s="50" t="s">
        <v>5855</v>
      </c>
      <c r="K109" s="50" t="s">
        <v>5000</v>
      </c>
      <c r="L109" s="50" t="s">
        <v>4239</v>
      </c>
      <c r="M109" s="50" t="s">
        <v>32</v>
      </c>
      <c r="N109" s="50" t="s">
        <v>826</v>
      </c>
      <c r="O109" s="50" t="s">
        <v>666</v>
      </c>
      <c r="P109" s="50" t="s">
        <v>741</v>
      </c>
      <c r="Q109" s="160">
        <v>45523.0</v>
      </c>
      <c r="R109" s="160">
        <v>46618.0</v>
      </c>
      <c r="S109" s="50" t="s">
        <v>4989</v>
      </c>
      <c r="T109" s="50"/>
      <c r="U109" s="50"/>
      <c r="V109" s="50"/>
      <c r="W109" s="198"/>
    </row>
    <row r="110" ht="15.75" customHeight="1">
      <c r="B110" s="527"/>
      <c r="C110" s="527"/>
      <c r="D110" s="527"/>
      <c r="E110" s="527"/>
      <c r="F110" s="527"/>
      <c r="G110" s="527"/>
      <c r="H110" s="527"/>
      <c r="I110" s="527"/>
      <c r="J110" s="50" t="s">
        <v>5856</v>
      </c>
      <c r="K110" s="50" t="s">
        <v>5000</v>
      </c>
      <c r="L110" s="50" t="s">
        <v>4239</v>
      </c>
      <c r="M110" s="50" t="s">
        <v>32</v>
      </c>
      <c r="N110" s="50" t="s">
        <v>826</v>
      </c>
      <c r="O110" s="50" t="s">
        <v>666</v>
      </c>
      <c r="P110" s="50" t="s">
        <v>741</v>
      </c>
      <c r="Q110" s="160">
        <v>45748.0</v>
      </c>
      <c r="R110" s="160">
        <v>46844.0</v>
      </c>
      <c r="S110" s="50" t="s">
        <v>4989</v>
      </c>
      <c r="T110" s="50"/>
      <c r="U110" s="50"/>
      <c r="V110" s="50"/>
      <c r="W110" s="198"/>
    </row>
    <row r="111" ht="15.75" customHeight="1">
      <c r="B111" s="527"/>
      <c r="C111" s="527"/>
      <c r="D111" s="527"/>
      <c r="E111" s="527"/>
      <c r="F111" s="527"/>
      <c r="G111" s="527"/>
      <c r="H111" s="527"/>
      <c r="I111" s="527"/>
      <c r="J111" s="50" t="s">
        <v>5857</v>
      </c>
      <c r="K111" s="50" t="s">
        <v>5000</v>
      </c>
      <c r="L111" s="50" t="s">
        <v>4239</v>
      </c>
      <c r="M111" s="50" t="s">
        <v>32</v>
      </c>
      <c r="N111" s="50" t="s">
        <v>826</v>
      </c>
      <c r="O111" s="50" t="s">
        <v>666</v>
      </c>
      <c r="P111" s="50" t="s">
        <v>741</v>
      </c>
      <c r="Q111" s="160">
        <v>45748.0</v>
      </c>
      <c r="R111" s="160">
        <v>46478.0</v>
      </c>
      <c r="S111" s="50" t="s">
        <v>4989</v>
      </c>
      <c r="T111" s="50"/>
      <c r="U111" s="50"/>
      <c r="V111" s="50"/>
      <c r="W111" s="198"/>
    </row>
    <row r="112" ht="15.75" customHeight="1">
      <c r="B112" s="527"/>
      <c r="C112" s="527"/>
      <c r="D112" s="527"/>
      <c r="E112" s="527"/>
      <c r="F112" s="527"/>
      <c r="G112" s="527"/>
      <c r="H112" s="527"/>
      <c r="I112" s="527"/>
      <c r="J112" s="50" t="s">
        <v>5858</v>
      </c>
      <c r="K112" s="50" t="s">
        <v>5000</v>
      </c>
      <c r="L112" s="50" t="s">
        <v>4239</v>
      </c>
      <c r="M112" s="50" t="s">
        <v>32</v>
      </c>
      <c r="N112" s="50" t="s">
        <v>634</v>
      </c>
      <c r="O112" s="50" t="s">
        <v>1363</v>
      </c>
      <c r="P112" s="50" t="s">
        <v>1362</v>
      </c>
      <c r="Q112" s="160">
        <v>45827.0</v>
      </c>
      <c r="R112" s="160">
        <v>46192.0</v>
      </c>
      <c r="S112" s="524" t="s">
        <v>5010</v>
      </c>
      <c r="T112" s="50"/>
      <c r="U112" s="50"/>
      <c r="V112" s="50"/>
      <c r="W112" s="198"/>
    </row>
    <row r="113" ht="15.75" customHeight="1">
      <c r="B113" s="433"/>
      <c r="C113" s="433"/>
      <c r="D113" s="433"/>
      <c r="E113" s="433"/>
      <c r="F113" s="433"/>
      <c r="G113" s="433"/>
      <c r="H113" s="433"/>
      <c r="I113" s="433"/>
      <c r="J113" s="50" t="s">
        <v>5859</v>
      </c>
      <c r="K113" s="50" t="s">
        <v>5000</v>
      </c>
      <c r="L113" s="50" t="s">
        <v>4239</v>
      </c>
      <c r="M113" s="50" t="s">
        <v>32</v>
      </c>
      <c r="N113" s="50" t="s">
        <v>826</v>
      </c>
      <c r="O113" s="50" t="s">
        <v>666</v>
      </c>
      <c r="P113" s="50" t="s">
        <v>666</v>
      </c>
      <c r="Q113" s="160">
        <v>45904.0</v>
      </c>
      <c r="R113" s="160">
        <v>46269.0</v>
      </c>
      <c r="S113" s="50" t="s">
        <v>4989</v>
      </c>
      <c r="T113" s="50"/>
      <c r="U113" s="50"/>
      <c r="V113" s="50"/>
      <c r="W113" s="198"/>
    </row>
    <row r="114" ht="15.75" customHeight="1">
      <c r="B114" s="50">
        <v>27.0</v>
      </c>
      <c r="C114" s="50" t="s">
        <v>5860</v>
      </c>
      <c r="D114" s="50" t="s">
        <v>5000</v>
      </c>
      <c r="E114" s="50" t="s">
        <v>4646</v>
      </c>
      <c r="F114" s="50" t="s">
        <v>5861</v>
      </c>
      <c r="G114" s="50" t="s">
        <v>5862</v>
      </c>
      <c r="H114" s="76">
        <v>45974.0</v>
      </c>
      <c r="I114" s="50" t="s">
        <v>5863</v>
      </c>
      <c r="J114" s="50" t="s">
        <v>5242</v>
      </c>
      <c r="K114" s="50"/>
      <c r="L114" s="50"/>
      <c r="M114" s="50"/>
      <c r="N114" s="50"/>
      <c r="O114" s="50"/>
      <c r="P114" s="50"/>
      <c r="Q114" s="50"/>
      <c r="R114" s="50"/>
      <c r="S114" s="50" t="s">
        <v>4989</v>
      </c>
      <c r="T114" s="50"/>
      <c r="U114" s="50"/>
      <c r="V114" s="50"/>
      <c r="W114" s="198"/>
    </row>
    <row r="115" ht="15.75" customHeight="1">
      <c r="B115" s="50">
        <v>28.0</v>
      </c>
      <c r="C115" s="50" t="s">
        <v>5864</v>
      </c>
      <c r="D115" s="50" t="s">
        <v>5000</v>
      </c>
      <c r="E115" s="50" t="s">
        <v>4646</v>
      </c>
      <c r="F115" s="50" t="s">
        <v>4646</v>
      </c>
      <c r="G115" s="50" t="s">
        <v>4646</v>
      </c>
      <c r="H115" s="76">
        <v>45946.0</v>
      </c>
      <c r="I115" s="50" t="s">
        <v>5865</v>
      </c>
      <c r="J115" s="50" t="s">
        <v>5242</v>
      </c>
      <c r="K115" s="50"/>
      <c r="L115" s="50"/>
      <c r="M115" s="50"/>
      <c r="N115" s="50"/>
      <c r="O115" s="50"/>
      <c r="P115" s="50"/>
      <c r="Q115" s="50"/>
      <c r="R115" s="50"/>
      <c r="S115" s="50" t="s">
        <v>4989</v>
      </c>
      <c r="T115" s="50"/>
      <c r="U115" s="50"/>
      <c r="V115" s="50"/>
      <c r="W115" s="198"/>
    </row>
    <row r="116" ht="15.75" customHeight="1">
      <c r="B116" s="113">
        <v>28.0</v>
      </c>
      <c r="C116" s="113" t="s">
        <v>5864</v>
      </c>
      <c r="D116" s="113" t="s">
        <v>5000</v>
      </c>
      <c r="E116" s="113" t="s">
        <v>4646</v>
      </c>
      <c r="F116" s="113" t="s">
        <v>4646</v>
      </c>
      <c r="G116" s="113" t="s">
        <v>4646</v>
      </c>
      <c r="H116" s="142">
        <v>46181.0</v>
      </c>
      <c r="I116" s="113" t="s">
        <v>5866</v>
      </c>
      <c r="J116" s="113" t="s">
        <v>5867</v>
      </c>
      <c r="K116" s="113" t="s">
        <v>5000</v>
      </c>
      <c r="L116" s="113" t="s">
        <v>4255</v>
      </c>
      <c r="M116" s="113" t="s">
        <v>50</v>
      </c>
      <c r="N116" s="113" t="s">
        <v>47</v>
      </c>
      <c r="O116" s="113" t="s">
        <v>47</v>
      </c>
      <c r="P116" s="113" t="s">
        <v>1200</v>
      </c>
      <c r="Q116" s="142">
        <v>45985.0</v>
      </c>
      <c r="R116" s="142">
        <v>46350.0</v>
      </c>
      <c r="S116" s="113" t="s">
        <v>4989</v>
      </c>
      <c r="T116" s="50"/>
      <c r="U116" s="50"/>
      <c r="V116" s="50"/>
      <c r="W116" s="198"/>
    </row>
    <row r="117" ht="15.75" customHeight="1">
      <c r="B117" s="50">
        <v>29.0</v>
      </c>
      <c r="C117" s="50" t="s">
        <v>5868</v>
      </c>
      <c r="D117" s="50" t="s">
        <v>5000</v>
      </c>
      <c r="E117" s="50" t="s">
        <v>4646</v>
      </c>
      <c r="F117" s="50" t="s">
        <v>4646</v>
      </c>
      <c r="G117" s="50" t="s">
        <v>5869</v>
      </c>
      <c r="H117" s="76">
        <v>45953.0</v>
      </c>
      <c r="I117" s="50" t="s">
        <v>5870</v>
      </c>
      <c r="J117" s="50" t="s">
        <v>5242</v>
      </c>
      <c r="K117" s="50"/>
      <c r="L117" s="50"/>
      <c r="M117" s="50"/>
      <c r="N117" s="50"/>
      <c r="O117" s="50"/>
      <c r="P117" s="50"/>
      <c r="Q117" s="50"/>
      <c r="R117" s="50"/>
      <c r="S117" s="50" t="s">
        <v>4989</v>
      </c>
      <c r="T117" s="50"/>
      <c r="U117" s="50"/>
      <c r="V117" s="50"/>
      <c r="W117" s="198"/>
    </row>
    <row r="118" ht="15.75" customHeight="1">
      <c r="B118" s="520">
        <v>30.0</v>
      </c>
      <c r="C118" s="520" t="s">
        <v>5871</v>
      </c>
      <c r="D118" s="520" t="s">
        <v>5000</v>
      </c>
      <c r="E118" s="520" t="s">
        <v>5872</v>
      </c>
      <c r="F118" s="520" t="s">
        <v>5873</v>
      </c>
      <c r="G118" s="520" t="s">
        <v>5873</v>
      </c>
      <c r="H118" s="521">
        <v>45946.0</v>
      </c>
      <c r="I118" s="520"/>
      <c r="J118" s="50" t="s">
        <v>5874</v>
      </c>
      <c r="K118" s="50" t="s">
        <v>5000</v>
      </c>
      <c r="L118" s="50" t="s">
        <v>4239</v>
      </c>
      <c r="M118" s="50" t="s">
        <v>32</v>
      </c>
      <c r="N118" s="50" t="s">
        <v>496</v>
      </c>
      <c r="O118" s="50" t="s">
        <v>5875</v>
      </c>
      <c r="P118" s="50" t="s">
        <v>5875</v>
      </c>
      <c r="Q118" s="160">
        <v>45868.0</v>
      </c>
      <c r="R118" s="160">
        <v>46598.0</v>
      </c>
      <c r="S118" s="50" t="s">
        <v>4989</v>
      </c>
      <c r="T118" s="50"/>
      <c r="U118" s="50"/>
      <c r="V118" s="50"/>
      <c r="W118" s="198"/>
    </row>
    <row r="119" ht="15.75" customHeight="1">
      <c r="B119" s="433"/>
      <c r="C119" s="433"/>
      <c r="D119" s="433"/>
      <c r="E119" s="433"/>
      <c r="F119" s="433"/>
      <c r="G119" s="433"/>
      <c r="H119" s="433"/>
      <c r="I119" s="433"/>
      <c r="J119" s="50" t="s">
        <v>5876</v>
      </c>
      <c r="K119" s="50" t="s">
        <v>5000</v>
      </c>
      <c r="L119" s="50" t="s">
        <v>4239</v>
      </c>
      <c r="M119" s="50" t="s">
        <v>32</v>
      </c>
      <c r="N119" s="50" t="s">
        <v>496</v>
      </c>
      <c r="O119" s="50" t="s">
        <v>5875</v>
      </c>
      <c r="P119" s="50" t="s">
        <v>5875</v>
      </c>
      <c r="Q119" s="160">
        <v>45733.0</v>
      </c>
      <c r="R119" s="160">
        <v>46463.0</v>
      </c>
      <c r="S119" s="50" t="s">
        <v>4989</v>
      </c>
      <c r="T119" s="50"/>
      <c r="U119" s="50"/>
      <c r="V119" s="50"/>
      <c r="W119" s="198"/>
    </row>
    <row r="120" ht="15.75" customHeight="1">
      <c r="B120" s="520">
        <v>31.0</v>
      </c>
      <c r="C120" s="520" t="s">
        <v>5877</v>
      </c>
      <c r="D120" s="520" t="s">
        <v>5000</v>
      </c>
      <c r="E120" s="520" t="s">
        <v>5844</v>
      </c>
      <c r="F120" s="520" t="s">
        <v>5844</v>
      </c>
      <c r="G120" s="520" t="s">
        <v>5878</v>
      </c>
      <c r="H120" s="521">
        <v>45952.0</v>
      </c>
      <c r="I120" s="520"/>
      <c r="J120" s="50" t="s">
        <v>5879</v>
      </c>
      <c r="K120" s="50" t="s">
        <v>5000</v>
      </c>
      <c r="L120" s="50" t="s">
        <v>4239</v>
      </c>
      <c r="M120" s="50" t="s">
        <v>32</v>
      </c>
      <c r="N120" s="50" t="s">
        <v>826</v>
      </c>
      <c r="O120" s="50" t="s">
        <v>666</v>
      </c>
      <c r="P120" s="50" t="s">
        <v>666</v>
      </c>
      <c r="Q120" s="160">
        <v>45383.0</v>
      </c>
      <c r="R120" s="160">
        <v>46113.0</v>
      </c>
      <c r="S120" s="524" t="s">
        <v>5010</v>
      </c>
      <c r="T120" s="50"/>
      <c r="U120" s="50"/>
      <c r="V120" s="50"/>
      <c r="W120" s="198"/>
    </row>
    <row r="121" ht="15.75" customHeight="1">
      <c r="B121" s="527"/>
      <c r="C121" s="527"/>
      <c r="D121" s="527"/>
      <c r="E121" s="527"/>
      <c r="F121" s="527"/>
      <c r="G121" s="527"/>
      <c r="H121" s="527"/>
      <c r="I121" s="527"/>
      <c r="J121" s="50" t="s">
        <v>5880</v>
      </c>
      <c r="K121" s="50" t="s">
        <v>5000</v>
      </c>
      <c r="L121" s="50" t="s">
        <v>4239</v>
      </c>
      <c r="M121" s="50" t="s">
        <v>32</v>
      </c>
      <c r="N121" s="50" t="s">
        <v>826</v>
      </c>
      <c r="O121" s="50" t="s">
        <v>666</v>
      </c>
      <c r="P121" s="50" t="s">
        <v>741</v>
      </c>
      <c r="Q121" s="160">
        <v>45925.0</v>
      </c>
      <c r="R121" s="160">
        <v>46655.0</v>
      </c>
      <c r="S121" s="50" t="s">
        <v>4989</v>
      </c>
      <c r="T121" s="50"/>
      <c r="U121" s="50"/>
      <c r="V121" s="50"/>
      <c r="W121" s="198"/>
    </row>
    <row r="122" ht="15.75" customHeight="1">
      <c r="B122" s="527"/>
      <c r="C122" s="527"/>
      <c r="D122" s="527"/>
      <c r="E122" s="527"/>
      <c r="F122" s="527"/>
      <c r="G122" s="527"/>
      <c r="H122" s="527"/>
      <c r="I122" s="527"/>
      <c r="J122" s="50" t="s">
        <v>5881</v>
      </c>
      <c r="K122" s="50" t="s">
        <v>5000</v>
      </c>
      <c r="L122" s="50" t="s">
        <v>4239</v>
      </c>
      <c r="M122" s="50" t="s">
        <v>32</v>
      </c>
      <c r="N122" s="50" t="s">
        <v>826</v>
      </c>
      <c r="O122" s="50" t="s">
        <v>666</v>
      </c>
      <c r="P122" s="50" t="s">
        <v>666</v>
      </c>
      <c r="Q122" s="160">
        <v>45329.0</v>
      </c>
      <c r="R122" s="166">
        <v>46060.0</v>
      </c>
      <c r="S122" s="531" t="s">
        <v>5010</v>
      </c>
      <c r="T122" s="50"/>
      <c r="U122" s="50"/>
      <c r="V122" s="50"/>
      <c r="W122" s="198"/>
    </row>
    <row r="123" ht="15.75" customHeight="1">
      <c r="B123" s="527"/>
      <c r="C123" s="527"/>
      <c r="D123" s="527"/>
      <c r="E123" s="527"/>
      <c r="F123" s="527"/>
      <c r="G123" s="527"/>
      <c r="H123" s="527"/>
      <c r="I123" s="527"/>
      <c r="J123" s="50" t="s">
        <v>5882</v>
      </c>
      <c r="K123" s="50" t="s">
        <v>5000</v>
      </c>
      <c r="L123" s="50" t="s">
        <v>4239</v>
      </c>
      <c r="M123" s="50" t="s">
        <v>32</v>
      </c>
      <c r="N123" s="50" t="s">
        <v>634</v>
      </c>
      <c r="O123" s="50" t="s">
        <v>925</v>
      </c>
      <c r="P123" s="50" t="s">
        <v>925</v>
      </c>
      <c r="Q123" s="160">
        <v>45796.0</v>
      </c>
      <c r="R123" s="160">
        <v>46892.0</v>
      </c>
      <c r="S123" s="50" t="s">
        <v>4989</v>
      </c>
      <c r="T123" s="50"/>
      <c r="U123" s="50"/>
      <c r="V123" s="50"/>
      <c r="W123" s="198"/>
    </row>
    <row r="124" ht="15.75" customHeight="1">
      <c r="B124" s="527"/>
      <c r="C124" s="527"/>
      <c r="D124" s="527"/>
      <c r="E124" s="527"/>
      <c r="F124" s="527"/>
      <c r="G124" s="527"/>
      <c r="H124" s="527"/>
      <c r="I124" s="527"/>
      <c r="J124" s="50" t="s">
        <v>5883</v>
      </c>
      <c r="K124" s="50" t="s">
        <v>5000</v>
      </c>
      <c r="L124" s="50" t="s">
        <v>4239</v>
      </c>
      <c r="M124" s="50" t="s">
        <v>50</v>
      </c>
      <c r="N124" s="50" t="s">
        <v>826</v>
      </c>
      <c r="O124" s="50" t="s">
        <v>1285</v>
      </c>
      <c r="P124" s="50" t="s">
        <v>1285</v>
      </c>
      <c r="Q124" s="160">
        <v>45418.0</v>
      </c>
      <c r="R124" s="160">
        <v>46148.0</v>
      </c>
      <c r="S124" s="524" t="s">
        <v>5010</v>
      </c>
      <c r="T124" s="50"/>
      <c r="U124" s="50"/>
      <c r="V124" s="50"/>
      <c r="W124" s="198"/>
    </row>
    <row r="125" ht="15.75" customHeight="1">
      <c r="B125" s="527"/>
      <c r="C125" s="527"/>
      <c r="D125" s="527"/>
      <c r="E125" s="527"/>
      <c r="F125" s="527"/>
      <c r="G125" s="527"/>
      <c r="H125" s="527"/>
      <c r="I125" s="527"/>
      <c r="J125" s="50" t="s">
        <v>5884</v>
      </c>
      <c r="K125" s="50" t="s">
        <v>5000</v>
      </c>
      <c r="L125" s="50" t="s">
        <v>4239</v>
      </c>
      <c r="M125" s="50" t="s">
        <v>50</v>
      </c>
      <c r="N125" s="50" t="s">
        <v>634</v>
      </c>
      <c r="O125" s="50" t="s">
        <v>1727</v>
      </c>
      <c r="P125" s="50" t="s">
        <v>1727</v>
      </c>
      <c r="Q125" s="160">
        <v>45383.0</v>
      </c>
      <c r="R125" s="160">
        <v>46113.0</v>
      </c>
      <c r="S125" s="524" t="s">
        <v>5010</v>
      </c>
      <c r="T125" s="50"/>
      <c r="U125" s="50"/>
      <c r="V125" s="50"/>
      <c r="W125" s="198"/>
    </row>
    <row r="126" ht="15.75" customHeight="1">
      <c r="B126" s="433"/>
      <c r="C126" s="433"/>
      <c r="D126" s="433"/>
      <c r="E126" s="433"/>
      <c r="F126" s="433"/>
      <c r="G126" s="433"/>
      <c r="H126" s="433"/>
      <c r="I126" s="433"/>
      <c r="J126" s="50" t="s">
        <v>5885</v>
      </c>
      <c r="K126" s="50" t="s">
        <v>5000</v>
      </c>
      <c r="L126" s="50" t="s">
        <v>4239</v>
      </c>
      <c r="M126" s="50" t="s">
        <v>50</v>
      </c>
      <c r="N126" s="50" t="s">
        <v>826</v>
      </c>
      <c r="O126" s="50" t="s">
        <v>826</v>
      </c>
      <c r="P126" s="50" t="s">
        <v>826</v>
      </c>
      <c r="Q126" s="160">
        <v>45564.0</v>
      </c>
      <c r="R126" s="160">
        <v>46294.0</v>
      </c>
      <c r="S126" s="50" t="s">
        <v>4989</v>
      </c>
      <c r="T126" s="50"/>
      <c r="U126" s="50"/>
      <c r="V126" s="50"/>
      <c r="W126" s="198"/>
    </row>
    <row r="127" ht="15.75" customHeight="1">
      <c r="B127" s="520">
        <v>32.0</v>
      </c>
      <c r="C127" s="520" t="s">
        <v>5886</v>
      </c>
      <c r="D127" s="520" t="s">
        <v>5000</v>
      </c>
      <c r="E127" s="520" t="s">
        <v>5887</v>
      </c>
      <c r="F127" s="520" t="s">
        <v>5887</v>
      </c>
      <c r="G127" s="520" t="s">
        <v>5888</v>
      </c>
      <c r="H127" s="521">
        <v>45978.0</v>
      </c>
      <c r="I127" s="520" t="s">
        <v>5889</v>
      </c>
      <c r="J127" s="50" t="s">
        <v>5890</v>
      </c>
      <c r="K127" s="50" t="s">
        <v>5000</v>
      </c>
      <c r="L127" s="50" t="s">
        <v>4239</v>
      </c>
      <c r="M127" s="50" t="s">
        <v>50</v>
      </c>
      <c r="N127" s="50" t="s">
        <v>586</v>
      </c>
      <c r="O127" s="50" t="s">
        <v>586</v>
      </c>
      <c r="P127" s="50" t="s">
        <v>5891</v>
      </c>
      <c r="Q127" s="160">
        <v>45855.0</v>
      </c>
      <c r="R127" s="160">
        <v>46585.0</v>
      </c>
      <c r="S127" s="50" t="s">
        <v>4989</v>
      </c>
      <c r="T127" s="50"/>
      <c r="U127" s="50"/>
      <c r="V127" s="50"/>
      <c r="W127" s="198"/>
    </row>
    <row r="128" ht="15.75" customHeight="1">
      <c r="B128" s="527"/>
      <c r="C128" s="527"/>
      <c r="D128" s="527"/>
      <c r="E128" s="527"/>
      <c r="F128" s="527"/>
      <c r="G128" s="527"/>
      <c r="H128" s="527"/>
      <c r="I128" s="527"/>
      <c r="J128" s="50" t="s">
        <v>5892</v>
      </c>
      <c r="K128" s="50" t="s">
        <v>5000</v>
      </c>
      <c r="L128" s="50" t="s">
        <v>4239</v>
      </c>
      <c r="M128" s="50" t="s">
        <v>50</v>
      </c>
      <c r="N128" s="50" t="s">
        <v>586</v>
      </c>
      <c r="O128" s="50" t="s">
        <v>5893</v>
      </c>
      <c r="P128" s="50" t="s">
        <v>5357</v>
      </c>
      <c r="Q128" s="160">
        <v>45744.0</v>
      </c>
      <c r="R128" s="160">
        <v>46840.0</v>
      </c>
      <c r="S128" s="50" t="s">
        <v>4989</v>
      </c>
      <c r="T128" s="50"/>
      <c r="U128" s="50"/>
      <c r="V128" s="50"/>
      <c r="W128" s="198"/>
    </row>
    <row r="129" ht="15.75" customHeight="1">
      <c r="B129" s="527"/>
      <c r="C129" s="527"/>
      <c r="D129" s="527"/>
      <c r="E129" s="527"/>
      <c r="F129" s="527"/>
      <c r="G129" s="527"/>
      <c r="H129" s="527"/>
      <c r="I129" s="527"/>
      <c r="J129" s="50" t="s">
        <v>5894</v>
      </c>
      <c r="K129" s="50" t="s">
        <v>5000</v>
      </c>
      <c r="L129" s="50" t="s">
        <v>4239</v>
      </c>
      <c r="M129" s="50" t="s">
        <v>50</v>
      </c>
      <c r="N129" s="50" t="s">
        <v>586</v>
      </c>
      <c r="O129" s="50" t="s">
        <v>2990</v>
      </c>
      <c r="P129" s="50" t="s">
        <v>2990</v>
      </c>
      <c r="Q129" s="76">
        <v>45280.0</v>
      </c>
      <c r="R129" s="76">
        <v>46011.0</v>
      </c>
      <c r="S129" s="531" t="s">
        <v>5010</v>
      </c>
      <c r="T129" s="50"/>
      <c r="U129" s="50"/>
      <c r="V129" s="50"/>
      <c r="W129" s="198"/>
    </row>
    <row r="130" ht="15.75" customHeight="1">
      <c r="B130" s="527"/>
      <c r="C130" s="527"/>
      <c r="D130" s="527"/>
      <c r="E130" s="527"/>
      <c r="F130" s="527"/>
      <c r="G130" s="527"/>
      <c r="H130" s="527"/>
      <c r="I130" s="527"/>
      <c r="J130" s="50" t="s">
        <v>5895</v>
      </c>
      <c r="K130" s="50" t="s">
        <v>5000</v>
      </c>
      <c r="L130" s="50" t="s">
        <v>4239</v>
      </c>
      <c r="M130" s="50" t="s">
        <v>50</v>
      </c>
      <c r="N130" s="50" t="s">
        <v>586</v>
      </c>
      <c r="O130" s="50" t="s">
        <v>5896</v>
      </c>
      <c r="P130" s="50" t="s">
        <v>5896</v>
      </c>
      <c r="Q130" s="160">
        <v>45674.0</v>
      </c>
      <c r="R130" s="160">
        <v>46404.0</v>
      </c>
      <c r="S130" s="50" t="s">
        <v>4989</v>
      </c>
      <c r="T130" s="50"/>
      <c r="U130" s="50"/>
      <c r="V130" s="50"/>
      <c r="W130" s="198"/>
    </row>
    <row r="131" ht="15.75" customHeight="1">
      <c r="B131" s="527"/>
      <c r="C131" s="527"/>
      <c r="D131" s="527"/>
      <c r="E131" s="527"/>
      <c r="F131" s="527"/>
      <c r="G131" s="527"/>
      <c r="H131" s="527"/>
      <c r="I131" s="527"/>
      <c r="J131" s="50" t="s">
        <v>5897</v>
      </c>
      <c r="K131" s="50" t="s">
        <v>5000</v>
      </c>
      <c r="L131" s="50" t="s">
        <v>4239</v>
      </c>
      <c r="M131" s="50" t="s">
        <v>50</v>
      </c>
      <c r="N131" s="50" t="s">
        <v>586</v>
      </c>
      <c r="O131" s="50" t="s">
        <v>2589</v>
      </c>
      <c r="P131" s="50" t="s">
        <v>2588</v>
      </c>
      <c r="Q131" s="160">
        <v>45317.0</v>
      </c>
      <c r="R131" s="166">
        <v>46048.0</v>
      </c>
      <c r="S131" s="531" t="s">
        <v>5010</v>
      </c>
      <c r="T131" s="50"/>
      <c r="U131" s="50"/>
      <c r="V131" s="50"/>
      <c r="W131" s="198"/>
    </row>
    <row r="132" ht="15.75" customHeight="1">
      <c r="B132" s="527"/>
      <c r="C132" s="527"/>
      <c r="D132" s="527"/>
      <c r="E132" s="527"/>
      <c r="F132" s="527"/>
      <c r="G132" s="527"/>
      <c r="H132" s="527"/>
      <c r="I132" s="527"/>
      <c r="J132" s="50" t="s">
        <v>5898</v>
      </c>
      <c r="K132" s="50" t="s">
        <v>5000</v>
      </c>
      <c r="L132" s="50" t="s">
        <v>4239</v>
      </c>
      <c r="M132" s="50" t="s">
        <v>32</v>
      </c>
      <c r="N132" s="50" t="s">
        <v>586</v>
      </c>
      <c r="O132" s="50" t="s">
        <v>586</v>
      </c>
      <c r="P132" s="50" t="s">
        <v>2474</v>
      </c>
      <c r="Q132" s="532">
        <v>45772.0</v>
      </c>
      <c r="R132" s="532">
        <v>45774.0</v>
      </c>
      <c r="S132" s="50" t="s">
        <v>4989</v>
      </c>
      <c r="T132" s="50"/>
      <c r="U132" s="50"/>
      <c r="V132" s="50"/>
      <c r="W132" s="198"/>
    </row>
    <row r="133" ht="15.75" customHeight="1">
      <c r="B133" s="527"/>
      <c r="C133" s="527"/>
      <c r="D133" s="527"/>
      <c r="E133" s="527"/>
      <c r="F133" s="527"/>
      <c r="G133" s="527"/>
      <c r="H133" s="527"/>
      <c r="I133" s="527"/>
      <c r="J133" s="50" t="s">
        <v>5899</v>
      </c>
      <c r="K133" s="50" t="s">
        <v>5000</v>
      </c>
      <c r="L133" s="50" t="s">
        <v>4239</v>
      </c>
      <c r="M133" s="50" t="s">
        <v>32</v>
      </c>
      <c r="N133" s="50" t="s">
        <v>586</v>
      </c>
      <c r="O133" s="50" t="s">
        <v>586</v>
      </c>
      <c r="P133" s="50" t="s">
        <v>586</v>
      </c>
      <c r="Q133" s="160">
        <v>45545.0</v>
      </c>
      <c r="R133" s="160">
        <v>46275.0</v>
      </c>
      <c r="S133" s="50" t="s">
        <v>4989</v>
      </c>
      <c r="T133" s="50"/>
      <c r="U133" s="50"/>
      <c r="V133" s="50"/>
      <c r="W133" s="198"/>
    </row>
    <row r="134" ht="15.75" customHeight="1">
      <c r="B134" s="527"/>
      <c r="C134" s="527"/>
      <c r="D134" s="527"/>
      <c r="E134" s="527"/>
      <c r="F134" s="527"/>
      <c r="G134" s="527"/>
      <c r="H134" s="527"/>
      <c r="I134" s="527"/>
      <c r="J134" s="50" t="s">
        <v>5900</v>
      </c>
      <c r="K134" s="50" t="s">
        <v>5000</v>
      </c>
      <c r="L134" s="50" t="s">
        <v>4239</v>
      </c>
      <c r="M134" s="50" t="s">
        <v>32</v>
      </c>
      <c r="N134" s="50" t="s">
        <v>586</v>
      </c>
      <c r="O134" s="50" t="s">
        <v>586</v>
      </c>
      <c r="P134" s="50" t="s">
        <v>586</v>
      </c>
      <c r="Q134" s="532">
        <v>45682.0</v>
      </c>
      <c r="R134" s="532">
        <v>45684.0</v>
      </c>
      <c r="S134" s="50" t="s">
        <v>4989</v>
      </c>
      <c r="T134" s="50"/>
      <c r="U134" s="50"/>
      <c r="V134" s="50"/>
      <c r="W134" s="198"/>
    </row>
    <row r="135" ht="15.75" customHeight="1">
      <c r="B135" s="527"/>
      <c r="C135" s="527"/>
      <c r="D135" s="527"/>
      <c r="E135" s="527"/>
      <c r="F135" s="527"/>
      <c r="G135" s="527"/>
      <c r="H135" s="527"/>
      <c r="I135" s="527"/>
      <c r="J135" s="50" t="s">
        <v>5901</v>
      </c>
      <c r="K135" s="50" t="s">
        <v>5000</v>
      </c>
      <c r="L135" s="50" t="s">
        <v>4239</v>
      </c>
      <c r="M135" s="50" t="s">
        <v>32</v>
      </c>
      <c r="N135" s="50" t="s">
        <v>586</v>
      </c>
      <c r="O135" s="50" t="s">
        <v>586</v>
      </c>
      <c r="P135" s="50" t="s">
        <v>2474</v>
      </c>
      <c r="Q135" s="160">
        <v>45349.0</v>
      </c>
      <c r="R135" s="121">
        <v>46080.0</v>
      </c>
      <c r="S135" s="50" t="s">
        <v>4989</v>
      </c>
      <c r="T135" s="50"/>
      <c r="U135" s="50"/>
      <c r="V135" s="50"/>
      <c r="W135" s="198"/>
    </row>
    <row r="136" ht="15.75" customHeight="1">
      <c r="B136" s="527"/>
      <c r="C136" s="527"/>
      <c r="D136" s="527"/>
      <c r="E136" s="527"/>
      <c r="F136" s="527"/>
      <c r="G136" s="527"/>
      <c r="H136" s="527"/>
      <c r="I136" s="527"/>
      <c r="J136" s="50" t="s">
        <v>5902</v>
      </c>
      <c r="K136" s="50" t="s">
        <v>5000</v>
      </c>
      <c r="L136" s="50" t="s">
        <v>4239</v>
      </c>
      <c r="M136" s="50" t="s">
        <v>32</v>
      </c>
      <c r="N136" s="50" t="s">
        <v>586</v>
      </c>
      <c r="O136" s="50" t="s">
        <v>586</v>
      </c>
      <c r="P136" s="50" t="s">
        <v>5903</v>
      </c>
      <c r="Q136" s="160">
        <v>44027.0</v>
      </c>
      <c r="R136" s="160">
        <v>45853.0</v>
      </c>
      <c r="S136" s="531" t="s">
        <v>5010</v>
      </c>
      <c r="T136" s="50"/>
      <c r="U136" s="50"/>
      <c r="V136" s="50"/>
      <c r="W136" s="198"/>
    </row>
    <row r="137" ht="15.75" customHeight="1">
      <c r="B137" s="527"/>
      <c r="C137" s="527"/>
      <c r="D137" s="527"/>
      <c r="E137" s="527"/>
      <c r="F137" s="527"/>
      <c r="G137" s="527"/>
      <c r="H137" s="527"/>
      <c r="I137" s="527"/>
      <c r="J137" s="50" t="s">
        <v>5904</v>
      </c>
      <c r="K137" s="50" t="s">
        <v>5000</v>
      </c>
      <c r="L137" s="50" t="s">
        <v>4239</v>
      </c>
      <c r="M137" s="50" t="s">
        <v>32</v>
      </c>
      <c r="N137" s="50" t="s">
        <v>586</v>
      </c>
      <c r="O137" s="50" t="s">
        <v>5896</v>
      </c>
      <c r="P137" s="50" t="s">
        <v>3041</v>
      </c>
      <c r="Q137" s="160">
        <v>44648.0</v>
      </c>
      <c r="R137" s="160">
        <v>45379.0</v>
      </c>
      <c r="S137" s="531" t="s">
        <v>5010</v>
      </c>
      <c r="T137" s="50"/>
      <c r="U137" s="50"/>
      <c r="V137" s="50"/>
      <c r="W137" s="198"/>
    </row>
    <row r="138" ht="15.75" customHeight="1">
      <c r="B138" s="433"/>
      <c r="C138" s="433"/>
      <c r="D138" s="433"/>
      <c r="E138" s="433"/>
      <c r="F138" s="433"/>
      <c r="G138" s="433"/>
      <c r="H138" s="433"/>
      <c r="I138" s="433"/>
      <c r="J138" s="50" t="s">
        <v>5905</v>
      </c>
      <c r="K138" s="50" t="s">
        <v>5000</v>
      </c>
      <c r="L138" s="50" t="s">
        <v>4239</v>
      </c>
      <c r="M138" s="50" t="s">
        <v>32</v>
      </c>
      <c r="N138" s="50" t="s">
        <v>586</v>
      </c>
      <c r="O138" s="50" t="s">
        <v>586</v>
      </c>
      <c r="P138" s="50" t="s">
        <v>1301</v>
      </c>
      <c r="Q138" s="160">
        <v>45146.0</v>
      </c>
      <c r="R138" s="160">
        <v>45877.0</v>
      </c>
      <c r="S138" s="531" t="s">
        <v>5010</v>
      </c>
      <c r="T138" s="50"/>
      <c r="U138" s="50"/>
      <c r="V138" s="50"/>
      <c r="W138" s="198"/>
    </row>
    <row r="139" ht="15.75" customHeight="1">
      <c r="B139" s="520">
        <v>33.0</v>
      </c>
      <c r="C139" s="520" t="s">
        <v>5906</v>
      </c>
      <c r="D139" s="520" t="s">
        <v>5907</v>
      </c>
      <c r="E139" s="520" t="s">
        <v>5908</v>
      </c>
      <c r="F139" s="520" t="s">
        <v>5909</v>
      </c>
      <c r="G139" s="520" t="s">
        <v>5910</v>
      </c>
      <c r="H139" s="521">
        <v>45954.0</v>
      </c>
      <c r="I139" s="520" t="s">
        <v>5911</v>
      </c>
      <c r="J139" s="50" t="s">
        <v>5912</v>
      </c>
      <c r="K139" s="50" t="s">
        <v>5000</v>
      </c>
      <c r="L139" s="50" t="s">
        <v>4239</v>
      </c>
      <c r="M139" s="50" t="s">
        <v>50</v>
      </c>
      <c r="N139" s="50" t="s">
        <v>1293</v>
      </c>
      <c r="O139" s="50" t="s">
        <v>3402</v>
      </c>
      <c r="P139" s="50" t="s">
        <v>540</v>
      </c>
      <c r="Q139" s="76">
        <v>45229.0</v>
      </c>
      <c r="R139" s="76">
        <v>45960.0</v>
      </c>
      <c r="S139" s="531" t="s">
        <v>5010</v>
      </c>
      <c r="T139" s="50"/>
      <c r="U139" s="50"/>
      <c r="V139" s="50"/>
      <c r="W139" s="198"/>
    </row>
    <row r="140" ht="15.75" customHeight="1">
      <c r="B140" s="527"/>
      <c r="C140" s="527"/>
      <c r="D140" s="527"/>
      <c r="E140" s="527"/>
      <c r="F140" s="527"/>
      <c r="G140" s="527"/>
      <c r="H140" s="527"/>
      <c r="I140" s="527"/>
      <c r="J140" s="50" t="s">
        <v>5913</v>
      </c>
      <c r="K140" s="50" t="s">
        <v>5000</v>
      </c>
      <c r="L140" s="50" t="s">
        <v>4239</v>
      </c>
      <c r="M140" s="50" t="s">
        <v>50</v>
      </c>
      <c r="N140" s="50" t="s">
        <v>1293</v>
      </c>
      <c r="O140" s="50" t="s">
        <v>3412</v>
      </c>
      <c r="P140" s="50" t="s">
        <v>3412</v>
      </c>
      <c r="Q140" s="76">
        <v>45288.0</v>
      </c>
      <c r="R140" s="91">
        <v>46019.0</v>
      </c>
      <c r="S140" s="531" t="s">
        <v>5010</v>
      </c>
      <c r="T140" s="50"/>
      <c r="U140" s="50"/>
      <c r="V140" s="50"/>
      <c r="W140" s="198"/>
    </row>
    <row r="141" ht="15.75" customHeight="1">
      <c r="B141" s="527"/>
      <c r="C141" s="527"/>
      <c r="D141" s="527"/>
      <c r="E141" s="527"/>
      <c r="F141" s="527"/>
      <c r="G141" s="527"/>
      <c r="H141" s="527"/>
      <c r="I141" s="527"/>
      <c r="J141" s="50" t="s">
        <v>5914</v>
      </c>
      <c r="K141" s="50" t="s">
        <v>5000</v>
      </c>
      <c r="L141" s="50" t="s">
        <v>4239</v>
      </c>
      <c r="M141" s="50" t="s">
        <v>50</v>
      </c>
      <c r="N141" s="50" t="s">
        <v>586</v>
      </c>
      <c r="O141" s="50" t="s">
        <v>5896</v>
      </c>
      <c r="P141" s="50" t="s">
        <v>4874</v>
      </c>
      <c r="Q141" s="160">
        <v>45322.0</v>
      </c>
      <c r="R141" s="166">
        <v>46053.0</v>
      </c>
      <c r="S141" s="531" t="s">
        <v>5010</v>
      </c>
      <c r="T141" s="50"/>
      <c r="U141" s="50"/>
      <c r="V141" s="50"/>
      <c r="W141" s="198"/>
    </row>
    <row r="142" ht="15.75" customHeight="1">
      <c r="B142" s="527"/>
      <c r="C142" s="527"/>
      <c r="D142" s="527"/>
      <c r="E142" s="527"/>
      <c r="F142" s="527"/>
      <c r="G142" s="527"/>
      <c r="H142" s="527"/>
      <c r="I142" s="527"/>
      <c r="J142" s="50" t="s">
        <v>5915</v>
      </c>
      <c r="K142" s="50" t="s">
        <v>5000</v>
      </c>
      <c r="L142" s="50" t="s">
        <v>4239</v>
      </c>
      <c r="M142" s="50" t="s">
        <v>50</v>
      </c>
      <c r="N142" s="50" t="s">
        <v>1293</v>
      </c>
      <c r="O142" s="50" t="s">
        <v>3402</v>
      </c>
      <c r="P142" s="50" t="s">
        <v>5916</v>
      </c>
      <c r="Q142" s="160">
        <v>45481.0</v>
      </c>
      <c r="R142" s="160">
        <v>46576.0</v>
      </c>
      <c r="S142" s="50" t="s">
        <v>4989</v>
      </c>
      <c r="T142" s="50"/>
      <c r="U142" s="50"/>
      <c r="V142" s="50"/>
      <c r="W142" s="198"/>
    </row>
    <row r="143" ht="15.75" customHeight="1">
      <c r="B143" s="433"/>
      <c r="C143" s="433"/>
      <c r="D143" s="433"/>
      <c r="E143" s="433"/>
      <c r="F143" s="433"/>
      <c r="G143" s="433"/>
      <c r="H143" s="433"/>
      <c r="I143" s="433"/>
      <c r="J143" s="50" t="s">
        <v>5917</v>
      </c>
      <c r="K143" s="50" t="s">
        <v>5000</v>
      </c>
      <c r="L143" s="50" t="s">
        <v>4239</v>
      </c>
      <c r="M143" s="50" t="s">
        <v>50</v>
      </c>
      <c r="N143" s="50" t="s">
        <v>1293</v>
      </c>
      <c r="O143" s="50" t="s">
        <v>4611</v>
      </c>
      <c r="P143" s="50" t="s">
        <v>4611</v>
      </c>
      <c r="Q143" s="160">
        <v>45747.0</v>
      </c>
      <c r="R143" s="160">
        <v>47208.0</v>
      </c>
      <c r="S143" s="50" t="s">
        <v>4989</v>
      </c>
      <c r="T143" s="50"/>
      <c r="U143" s="50"/>
      <c r="V143" s="50"/>
      <c r="W143" s="198"/>
    </row>
    <row r="144" ht="15.75" customHeight="1">
      <c r="B144" s="50">
        <v>34.0</v>
      </c>
      <c r="C144" s="50" t="s">
        <v>5918</v>
      </c>
      <c r="D144" s="50" t="s">
        <v>5000</v>
      </c>
      <c r="E144" s="50" t="s">
        <v>5285</v>
      </c>
      <c r="F144" s="50" t="s">
        <v>5919</v>
      </c>
      <c r="G144" s="50" t="s">
        <v>5919</v>
      </c>
      <c r="H144" s="76">
        <v>45982.0</v>
      </c>
      <c r="I144" s="50" t="s">
        <v>5920</v>
      </c>
      <c r="J144" s="50" t="s">
        <v>5242</v>
      </c>
      <c r="K144" s="50"/>
      <c r="L144" s="50"/>
      <c r="M144" s="50"/>
      <c r="N144" s="50"/>
      <c r="O144" s="50"/>
      <c r="P144" s="50"/>
      <c r="Q144" s="50"/>
      <c r="R144" s="50"/>
      <c r="S144" s="50"/>
      <c r="T144" s="50"/>
      <c r="U144" s="50"/>
      <c r="V144" s="50"/>
      <c r="W144" s="198"/>
    </row>
    <row r="145" ht="15.75" customHeight="1">
      <c r="B145" s="50">
        <v>35.0</v>
      </c>
      <c r="C145" s="50" t="s">
        <v>5921</v>
      </c>
      <c r="D145" s="50" t="s">
        <v>5000</v>
      </c>
      <c r="E145" s="50" t="s">
        <v>5922</v>
      </c>
      <c r="F145" s="50" t="s">
        <v>5923</v>
      </c>
      <c r="G145" s="50" t="s">
        <v>5923</v>
      </c>
      <c r="H145" s="149">
        <v>46041.0</v>
      </c>
      <c r="I145" s="50"/>
      <c r="J145" s="50" t="s">
        <v>5924</v>
      </c>
      <c r="K145" s="50" t="s">
        <v>5000</v>
      </c>
      <c r="L145" s="50" t="s">
        <v>4239</v>
      </c>
      <c r="M145" s="50" t="s">
        <v>32</v>
      </c>
      <c r="N145" s="50" t="s">
        <v>88</v>
      </c>
      <c r="O145" s="50" t="s">
        <v>125</v>
      </c>
      <c r="P145" s="50" t="s">
        <v>125</v>
      </c>
      <c r="Q145" s="580">
        <v>46006.0</v>
      </c>
      <c r="R145" s="580">
        <v>46736.0</v>
      </c>
      <c r="S145" s="50" t="s">
        <v>4989</v>
      </c>
      <c r="T145" s="50"/>
      <c r="U145" s="50"/>
      <c r="V145" s="50"/>
      <c r="W145" s="198"/>
    </row>
    <row r="146" ht="15.75" customHeight="1">
      <c r="B146" s="50">
        <v>36.0</v>
      </c>
      <c r="C146" s="50" t="s">
        <v>5925</v>
      </c>
      <c r="D146" s="50" t="s">
        <v>5000</v>
      </c>
      <c r="E146" s="50" t="s">
        <v>4646</v>
      </c>
      <c r="F146" s="50" t="s">
        <v>4646</v>
      </c>
      <c r="G146" s="50" t="s">
        <v>5926</v>
      </c>
      <c r="H146" s="580">
        <v>45985.0</v>
      </c>
      <c r="I146" s="113" t="s">
        <v>5927</v>
      </c>
      <c r="J146" s="50" t="s">
        <v>5928</v>
      </c>
      <c r="K146" s="50" t="s">
        <v>5000</v>
      </c>
      <c r="L146" s="50" t="s">
        <v>4255</v>
      </c>
      <c r="M146" s="50" t="s">
        <v>69</v>
      </c>
      <c r="N146" s="50" t="s">
        <v>47</v>
      </c>
      <c r="O146" s="50" t="s">
        <v>47</v>
      </c>
      <c r="P146" s="50" t="s">
        <v>1838</v>
      </c>
      <c r="Q146" s="50" t="s">
        <v>5929</v>
      </c>
      <c r="R146" s="113" t="s">
        <v>5930</v>
      </c>
      <c r="S146" s="50" t="s">
        <v>4989</v>
      </c>
      <c r="T146" s="50"/>
      <c r="U146" s="50"/>
      <c r="V146" s="50"/>
      <c r="W146" s="198"/>
    </row>
    <row r="147" ht="15.75" customHeight="1">
      <c r="B147" s="113">
        <v>36.0</v>
      </c>
      <c r="C147" s="50" t="s">
        <v>5925</v>
      </c>
      <c r="D147" s="50" t="s">
        <v>5000</v>
      </c>
      <c r="E147" s="50" t="s">
        <v>4646</v>
      </c>
      <c r="F147" s="50" t="s">
        <v>4646</v>
      </c>
      <c r="G147" s="50" t="s">
        <v>5926</v>
      </c>
      <c r="H147" s="581">
        <v>46164.0</v>
      </c>
      <c r="I147" s="113" t="s">
        <v>5931</v>
      </c>
      <c r="J147" s="113" t="s">
        <v>5932</v>
      </c>
      <c r="K147" s="50" t="s">
        <v>5000</v>
      </c>
      <c r="L147" s="113" t="s">
        <v>4258</v>
      </c>
      <c r="M147" s="50" t="s">
        <v>69</v>
      </c>
      <c r="N147" s="113" t="s">
        <v>47</v>
      </c>
      <c r="O147" s="113" t="s">
        <v>47</v>
      </c>
      <c r="P147" s="113" t="s">
        <v>1838</v>
      </c>
      <c r="Q147" s="113" t="s">
        <v>5929</v>
      </c>
      <c r="R147" s="113" t="s">
        <v>5930</v>
      </c>
      <c r="S147" s="50" t="s">
        <v>4989</v>
      </c>
      <c r="T147" s="50"/>
      <c r="U147" s="50"/>
      <c r="V147" s="50"/>
      <c r="W147" s="198"/>
    </row>
    <row r="148" ht="15.75" customHeight="1">
      <c r="B148" s="113">
        <v>36.0</v>
      </c>
      <c r="C148" s="50" t="s">
        <v>5925</v>
      </c>
      <c r="D148" s="50" t="s">
        <v>5000</v>
      </c>
      <c r="E148" s="50" t="s">
        <v>4646</v>
      </c>
      <c r="F148" s="50" t="s">
        <v>4646</v>
      </c>
      <c r="G148" s="50" t="s">
        <v>5926</v>
      </c>
      <c r="H148" s="581">
        <v>46164.0</v>
      </c>
      <c r="I148" s="113" t="s">
        <v>5931</v>
      </c>
      <c r="J148" s="113" t="s">
        <v>5933</v>
      </c>
      <c r="K148" s="50" t="s">
        <v>5000</v>
      </c>
      <c r="L148" s="113" t="s">
        <v>4255</v>
      </c>
      <c r="M148" s="50" t="s">
        <v>69</v>
      </c>
      <c r="N148" s="113" t="s">
        <v>47</v>
      </c>
      <c r="O148" s="113" t="s">
        <v>47</v>
      </c>
      <c r="P148" s="113" t="s">
        <v>818</v>
      </c>
      <c r="Q148" s="113" t="s">
        <v>5929</v>
      </c>
      <c r="R148" s="113" t="s">
        <v>5930</v>
      </c>
      <c r="S148" s="50" t="s">
        <v>4989</v>
      </c>
      <c r="T148" s="50"/>
      <c r="U148" s="50"/>
      <c r="V148" s="50"/>
      <c r="W148" s="198"/>
    </row>
    <row r="149" ht="15.75" customHeight="1">
      <c r="B149" s="113">
        <v>36.0</v>
      </c>
      <c r="C149" s="50" t="s">
        <v>5925</v>
      </c>
      <c r="D149" s="50" t="s">
        <v>5000</v>
      </c>
      <c r="E149" s="50" t="s">
        <v>4646</v>
      </c>
      <c r="F149" s="50" t="s">
        <v>4646</v>
      </c>
      <c r="G149" s="50" t="s">
        <v>5926</v>
      </c>
      <c r="H149" s="581">
        <v>46164.0</v>
      </c>
      <c r="I149" s="113" t="s">
        <v>5931</v>
      </c>
      <c r="J149" s="113" t="s">
        <v>5934</v>
      </c>
      <c r="K149" s="50" t="s">
        <v>5000</v>
      </c>
      <c r="L149" s="113" t="s">
        <v>4255</v>
      </c>
      <c r="M149" s="50" t="s">
        <v>69</v>
      </c>
      <c r="N149" s="113" t="s">
        <v>47</v>
      </c>
      <c r="O149" s="113" t="s">
        <v>47</v>
      </c>
      <c r="P149" s="113" t="s">
        <v>1200</v>
      </c>
      <c r="Q149" s="113" t="s">
        <v>5929</v>
      </c>
      <c r="R149" s="113" t="s">
        <v>5930</v>
      </c>
      <c r="S149" s="50" t="s">
        <v>4989</v>
      </c>
      <c r="T149" s="50"/>
      <c r="U149" s="50"/>
      <c r="V149" s="50"/>
      <c r="W149" s="198"/>
    </row>
    <row r="150" ht="15.75" customHeight="1">
      <c r="B150" s="113">
        <v>36.0</v>
      </c>
      <c r="C150" s="50" t="s">
        <v>5925</v>
      </c>
      <c r="D150" s="50" t="s">
        <v>5000</v>
      </c>
      <c r="E150" s="50" t="s">
        <v>4646</v>
      </c>
      <c r="F150" s="50" t="s">
        <v>4646</v>
      </c>
      <c r="G150" s="50" t="s">
        <v>5926</v>
      </c>
      <c r="H150" s="581">
        <v>46164.0</v>
      </c>
      <c r="I150" s="113" t="s">
        <v>5931</v>
      </c>
      <c r="J150" s="113" t="s">
        <v>5935</v>
      </c>
      <c r="K150" s="50" t="s">
        <v>5000</v>
      </c>
      <c r="L150" s="113" t="s">
        <v>4255</v>
      </c>
      <c r="M150" s="50" t="s">
        <v>69</v>
      </c>
      <c r="N150" s="113" t="s">
        <v>47</v>
      </c>
      <c r="O150" s="113" t="s">
        <v>47</v>
      </c>
      <c r="P150" s="113" t="s">
        <v>1175</v>
      </c>
      <c r="Q150" s="113" t="s">
        <v>5929</v>
      </c>
      <c r="R150" s="113" t="s">
        <v>5930</v>
      </c>
      <c r="S150" s="50" t="s">
        <v>4989</v>
      </c>
      <c r="T150" s="50"/>
      <c r="U150" s="50"/>
      <c r="V150" s="50"/>
      <c r="W150" s="198"/>
    </row>
    <row r="151" ht="15.75" customHeight="1">
      <c r="B151" s="113">
        <v>36.0</v>
      </c>
      <c r="C151" s="50" t="s">
        <v>5925</v>
      </c>
      <c r="D151" s="50" t="s">
        <v>5000</v>
      </c>
      <c r="E151" s="50" t="s">
        <v>4646</v>
      </c>
      <c r="F151" s="50" t="s">
        <v>4646</v>
      </c>
      <c r="G151" s="50" t="s">
        <v>5926</v>
      </c>
      <c r="H151" s="581">
        <v>46164.0</v>
      </c>
      <c r="I151" s="113" t="s">
        <v>5931</v>
      </c>
      <c r="J151" s="113" t="s">
        <v>5936</v>
      </c>
      <c r="K151" s="50" t="s">
        <v>5000</v>
      </c>
      <c r="L151" s="113" t="s">
        <v>4255</v>
      </c>
      <c r="M151" s="50" t="s">
        <v>69</v>
      </c>
      <c r="N151" s="113" t="s">
        <v>47</v>
      </c>
      <c r="O151" s="113" t="s">
        <v>47</v>
      </c>
      <c r="P151" s="113" t="s">
        <v>1175</v>
      </c>
      <c r="Q151" s="113" t="s">
        <v>5929</v>
      </c>
      <c r="R151" s="113" t="s">
        <v>5930</v>
      </c>
      <c r="S151" s="50" t="s">
        <v>4989</v>
      </c>
      <c r="T151" s="50"/>
      <c r="U151" s="50"/>
      <c r="V151" s="50"/>
      <c r="W151" s="198"/>
    </row>
    <row r="152" ht="15.75" customHeight="1">
      <c r="B152" s="50">
        <v>37.0</v>
      </c>
      <c r="C152" s="50" t="s">
        <v>5937</v>
      </c>
      <c r="D152" s="50" t="s">
        <v>5000</v>
      </c>
      <c r="E152" s="50" t="s">
        <v>4646</v>
      </c>
      <c r="F152" s="50" t="s">
        <v>4646</v>
      </c>
      <c r="G152" s="50" t="s">
        <v>4645</v>
      </c>
      <c r="H152" s="580">
        <v>45988.0</v>
      </c>
      <c r="I152" s="50" t="s">
        <v>5938</v>
      </c>
      <c r="J152" s="50" t="s">
        <v>5939</v>
      </c>
      <c r="K152" s="50" t="s">
        <v>5016</v>
      </c>
      <c r="L152" s="50" t="s">
        <v>4231</v>
      </c>
      <c r="M152" s="50" t="s">
        <v>221</v>
      </c>
      <c r="N152" s="50" t="s">
        <v>47</v>
      </c>
      <c r="O152" s="50" t="s">
        <v>47</v>
      </c>
      <c r="P152" s="50" t="s">
        <v>1525</v>
      </c>
      <c r="Q152" s="582">
        <v>42491.0</v>
      </c>
      <c r="R152" s="582">
        <v>43221.0</v>
      </c>
      <c r="S152" s="103" t="s">
        <v>5436</v>
      </c>
      <c r="T152" s="50" t="s">
        <v>5940</v>
      </c>
      <c r="U152" s="50" t="s">
        <v>5941</v>
      </c>
      <c r="V152" s="50"/>
      <c r="W152" s="198"/>
    </row>
    <row r="153" ht="15.75" customHeight="1">
      <c r="B153" s="50">
        <v>38.0</v>
      </c>
      <c r="C153" s="50" t="s">
        <v>5942</v>
      </c>
      <c r="D153" s="50" t="s">
        <v>5000</v>
      </c>
      <c r="E153" s="50" t="s">
        <v>5943</v>
      </c>
      <c r="F153" s="50" t="s">
        <v>5943</v>
      </c>
      <c r="G153" s="50" t="s">
        <v>5943</v>
      </c>
      <c r="H153" s="580">
        <v>45977.0</v>
      </c>
      <c r="I153" s="50" t="s">
        <v>5944</v>
      </c>
      <c r="J153" s="50" t="s">
        <v>5945</v>
      </c>
      <c r="K153" s="50" t="s">
        <v>5016</v>
      </c>
      <c r="L153" s="50" t="s">
        <v>4231</v>
      </c>
      <c r="M153" s="50" t="s">
        <v>50</v>
      </c>
      <c r="N153" s="50" t="s">
        <v>1222</v>
      </c>
      <c r="O153" s="50" t="s">
        <v>1222</v>
      </c>
      <c r="P153" s="50" t="s">
        <v>5946</v>
      </c>
      <c r="Q153" s="582">
        <v>45870.0</v>
      </c>
      <c r="R153" s="582">
        <v>46600.0</v>
      </c>
      <c r="S153" s="103" t="s">
        <v>5436</v>
      </c>
      <c r="T153" s="50"/>
      <c r="U153" s="50"/>
      <c r="V153" s="50"/>
      <c r="W153" s="198"/>
    </row>
    <row r="154" ht="15.75" customHeight="1">
      <c r="B154" s="50">
        <v>38.0</v>
      </c>
      <c r="C154" s="50" t="s">
        <v>5942</v>
      </c>
      <c r="D154" s="50" t="s">
        <v>5000</v>
      </c>
      <c r="E154" s="50" t="s">
        <v>5943</v>
      </c>
      <c r="F154" s="50" t="s">
        <v>5943</v>
      </c>
      <c r="G154" s="50" t="s">
        <v>5943</v>
      </c>
      <c r="H154" s="580">
        <v>45978.0</v>
      </c>
      <c r="I154" s="50" t="s">
        <v>5947</v>
      </c>
      <c r="J154" s="50" t="s">
        <v>5948</v>
      </c>
      <c r="K154" s="50" t="s">
        <v>5016</v>
      </c>
      <c r="L154" s="50" t="s">
        <v>4231</v>
      </c>
      <c r="M154" s="50" t="s">
        <v>50</v>
      </c>
      <c r="N154" s="50" t="s">
        <v>1222</v>
      </c>
      <c r="O154" s="50" t="s">
        <v>1222</v>
      </c>
      <c r="P154" s="50" t="s">
        <v>5949</v>
      </c>
      <c r="Q154" s="149">
        <v>45748.0</v>
      </c>
      <c r="R154" s="149">
        <v>46478.0</v>
      </c>
      <c r="S154" s="103" t="s">
        <v>5436</v>
      </c>
      <c r="T154" s="50"/>
      <c r="U154" s="50"/>
      <c r="V154" s="50"/>
      <c r="W154" s="198"/>
    </row>
    <row r="155" ht="15.75" customHeight="1">
      <c r="B155" s="50">
        <v>38.0</v>
      </c>
      <c r="C155" s="50" t="s">
        <v>5942</v>
      </c>
      <c r="D155" s="50" t="s">
        <v>5000</v>
      </c>
      <c r="E155" s="50" t="s">
        <v>5943</v>
      </c>
      <c r="F155" s="50" t="s">
        <v>5943</v>
      </c>
      <c r="G155" s="50" t="s">
        <v>5943</v>
      </c>
      <c r="H155" s="580">
        <v>45979.0</v>
      </c>
      <c r="I155" s="50" t="s">
        <v>5950</v>
      </c>
      <c r="J155" s="50" t="s">
        <v>5951</v>
      </c>
      <c r="K155" s="50" t="s">
        <v>5016</v>
      </c>
      <c r="L155" s="50" t="s">
        <v>4231</v>
      </c>
      <c r="M155" s="50" t="s">
        <v>50</v>
      </c>
      <c r="N155" s="50" t="s">
        <v>1222</v>
      </c>
      <c r="O155" s="50" t="s">
        <v>1222</v>
      </c>
      <c r="P155" s="50" t="s">
        <v>5952</v>
      </c>
      <c r="Q155" s="149">
        <v>45539.0</v>
      </c>
      <c r="R155" s="149">
        <v>46269.0</v>
      </c>
      <c r="S155" s="103" t="s">
        <v>5436</v>
      </c>
      <c r="T155" s="50"/>
      <c r="U155" s="50"/>
      <c r="V155" s="50"/>
      <c r="W155" s="198"/>
    </row>
    <row r="156" ht="15.75" customHeight="1">
      <c r="B156" s="50">
        <v>38.0</v>
      </c>
      <c r="C156" s="50" t="s">
        <v>5942</v>
      </c>
      <c r="D156" s="50" t="s">
        <v>5000</v>
      </c>
      <c r="E156" s="50" t="s">
        <v>5943</v>
      </c>
      <c r="F156" s="50" t="s">
        <v>5943</v>
      </c>
      <c r="G156" s="50" t="s">
        <v>5943</v>
      </c>
      <c r="H156" s="580">
        <v>45979.0</v>
      </c>
      <c r="I156" s="50" t="s">
        <v>5950</v>
      </c>
      <c r="J156" s="50" t="s">
        <v>5953</v>
      </c>
      <c r="K156" s="50" t="s">
        <v>5954</v>
      </c>
      <c r="L156" s="50" t="s">
        <v>4231</v>
      </c>
      <c r="M156" s="50" t="s">
        <v>50</v>
      </c>
      <c r="N156" s="50" t="s">
        <v>1222</v>
      </c>
      <c r="O156" s="50" t="s">
        <v>1222</v>
      </c>
      <c r="P156" s="50" t="s">
        <v>5955</v>
      </c>
      <c r="Q156" s="149">
        <v>45546.0</v>
      </c>
      <c r="R156" s="149">
        <v>46276.0</v>
      </c>
      <c r="S156" s="103" t="s">
        <v>5436</v>
      </c>
      <c r="T156" s="50"/>
      <c r="U156" s="50"/>
      <c r="V156" s="50"/>
      <c r="W156" s="198"/>
    </row>
    <row r="157" ht="15.75" customHeight="1">
      <c r="B157" s="50">
        <v>38.0</v>
      </c>
      <c r="C157" s="50" t="s">
        <v>5942</v>
      </c>
      <c r="D157" s="50" t="s">
        <v>5000</v>
      </c>
      <c r="E157" s="50" t="s">
        <v>5943</v>
      </c>
      <c r="F157" s="50" t="s">
        <v>5943</v>
      </c>
      <c r="G157" s="50" t="s">
        <v>5943</v>
      </c>
      <c r="H157" s="580">
        <v>45979.0</v>
      </c>
      <c r="I157" s="50" t="s">
        <v>5956</v>
      </c>
      <c r="J157" s="50" t="s">
        <v>5957</v>
      </c>
      <c r="K157" s="50" t="s">
        <v>5016</v>
      </c>
      <c r="L157" s="50" t="s">
        <v>4231</v>
      </c>
      <c r="M157" s="50" t="s">
        <v>50</v>
      </c>
      <c r="N157" s="50" t="s">
        <v>1222</v>
      </c>
      <c r="O157" s="50" t="s">
        <v>1222</v>
      </c>
      <c r="P157" s="50" t="s">
        <v>5958</v>
      </c>
      <c r="Q157" s="149">
        <v>45931.0</v>
      </c>
      <c r="R157" s="149">
        <v>46661.0</v>
      </c>
      <c r="S157" s="103" t="s">
        <v>5436</v>
      </c>
      <c r="T157" s="50"/>
      <c r="U157" s="50"/>
      <c r="V157" s="50"/>
      <c r="W157" s="198"/>
    </row>
    <row r="158" ht="15.75" customHeight="1">
      <c r="B158" s="50">
        <v>38.0</v>
      </c>
      <c r="C158" s="50" t="s">
        <v>5942</v>
      </c>
      <c r="D158" s="50" t="s">
        <v>5000</v>
      </c>
      <c r="E158" s="50" t="s">
        <v>5943</v>
      </c>
      <c r="F158" s="50" t="s">
        <v>5943</v>
      </c>
      <c r="G158" s="50" t="s">
        <v>5943</v>
      </c>
      <c r="H158" s="580">
        <v>45980.0</v>
      </c>
      <c r="I158" s="50" t="s">
        <v>5956</v>
      </c>
      <c r="J158" s="50" t="s">
        <v>5959</v>
      </c>
      <c r="K158" s="50" t="s">
        <v>5016</v>
      </c>
      <c r="L158" s="50" t="s">
        <v>4231</v>
      </c>
      <c r="M158" s="50" t="s">
        <v>32</v>
      </c>
      <c r="N158" s="50" t="s">
        <v>1222</v>
      </c>
      <c r="O158" s="50" t="s">
        <v>1222</v>
      </c>
      <c r="P158" s="50" t="s">
        <v>1222</v>
      </c>
      <c r="Q158" s="149">
        <v>45554.0</v>
      </c>
      <c r="R158" s="149">
        <v>46284.0</v>
      </c>
      <c r="S158" s="103" t="s">
        <v>5436</v>
      </c>
      <c r="T158" s="50"/>
      <c r="U158" s="50"/>
      <c r="V158" s="50"/>
      <c r="W158" s="198"/>
    </row>
    <row r="159" ht="15.75" customHeight="1">
      <c r="B159" s="50">
        <v>39.0</v>
      </c>
      <c r="C159" s="50" t="s">
        <v>5960</v>
      </c>
      <c r="D159" s="50" t="s">
        <v>5000</v>
      </c>
      <c r="E159" s="50" t="s">
        <v>5961</v>
      </c>
      <c r="F159" s="50" t="s">
        <v>5962</v>
      </c>
      <c r="G159" s="50" t="s">
        <v>5962</v>
      </c>
      <c r="H159" s="580">
        <v>45979.0</v>
      </c>
      <c r="I159" s="50" t="s">
        <v>5963</v>
      </c>
      <c r="J159" s="50" t="s">
        <v>5964</v>
      </c>
      <c r="K159" s="50" t="s">
        <v>5000</v>
      </c>
      <c r="L159" s="50" t="s">
        <v>4255</v>
      </c>
      <c r="M159" s="50" t="s">
        <v>50</v>
      </c>
      <c r="N159" s="50" t="s">
        <v>281</v>
      </c>
      <c r="O159" s="50" t="s">
        <v>281</v>
      </c>
      <c r="P159" s="50" t="s">
        <v>281</v>
      </c>
      <c r="Q159" s="149">
        <v>45730.0</v>
      </c>
      <c r="R159" s="149">
        <v>46460.0</v>
      </c>
      <c r="S159" s="50" t="s">
        <v>4989</v>
      </c>
      <c r="T159" s="50"/>
      <c r="U159" s="50"/>
      <c r="V159" s="50"/>
      <c r="W159" s="198"/>
    </row>
    <row r="160" ht="15.75" customHeight="1">
      <c r="B160" s="50">
        <v>39.0</v>
      </c>
      <c r="C160" s="50" t="s">
        <v>5960</v>
      </c>
      <c r="D160" s="50" t="s">
        <v>5000</v>
      </c>
      <c r="E160" s="50" t="s">
        <v>5961</v>
      </c>
      <c r="F160" s="50" t="s">
        <v>5962</v>
      </c>
      <c r="G160" s="50" t="s">
        <v>5962</v>
      </c>
      <c r="H160" s="580">
        <v>45979.0</v>
      </c>
      <c r="I160" s="50" t="s">
        <v>5963</v>
      </c>
      <c r="J160" s="50" t="s">
        <v>5965</v>
      </c>
      <c r="K160" s="50" t="s">
        <v>5000</v>
      </c>
      <c r="L160" s="50" t="s">
        <v>4255</v>
      </c>
      <c r="M160" s="50" t="s">
        <v>50</v>
      </c>
      <c r="N160" s="50" t="s">
        <v>88</v>
      </c>
      <c r="O160" s="50" t="s">
        <v>5966</v>
      </c>
      <c r="P160" s="50" t="s">
        <v>5966</v>
      </c>
      <c r="Q160" s="149">
        <v>45930.0</v>
      </c>
      <c r="R160" s="149">
        <v>46660.0</v>
      </c>
      <c r="S160" s="50" t="s">
        <v>4989</v>
      </c>
      <c r="T160" s="50"/>
      <c r="U160" s="50"/>
      <c r="V160" s="50"/>
      <c r="W160" s="198"/>
    </row>
    <row r="161" ht="15.75" customHeight="1">
      <c r="B161" s="50">
        <v>39.0</v>
      </c>
      <c r="C161" s="50" t="s">
        <v>5960</v>
      </c>
      <c r="D161" s="50" t="s">
        <v>5000</v>
      </c>
      <c r="E161" s="50" t="s">
        <v>5961</v>
      </c>
      <c r="F161" s="50" t="s">
        <v>5962</v>
      </c>
      <c r="G161" s="50" t="s">
        <v>5962</v>
      </c>
      <c r="H161" s="580">
        <v>45979.0</v>
      </c>
      <c r="I161" s="50" t="s">
        <v>5963</v>
      </c>
      <c r="J161" s="50" t="s">
        <v>5967</v>
      </c>
      <c r="K161" s="50" t="s">
        <v>5000</v>
      </c>
      <c r="L161" s="50" t="s">
        <v>4255</v>
      </c>
      <c r="M161" s="50" t="s">
        <v>32</v>
      </c>
      <c r="N161" s="50" t="s">
        <v>281</v>
      </c>
      <c r="O161" s="50" t="s">
        <v>277</v>
      </c>
      <c r="P161" s="50" t="s">
        <v>277</v>
      </c>
      <c r="Q161" s="50" t="s">
        <v>5968</v>
      </c>
      <c r="R161" s="149">
        <v>46264.0</v>
      </c>
      <c r="S161" s="531" t="s">
        <v>5010</v>
      </c>
      <c r="T161" s="50" t="s">
        <v>5969</v>
      </c>
      <c r="U161" s="50" t="s">
        <v>5970</v>
      </c>
      <c r="V161" s="50"/>
      <c r="W161" s="198"/>
    </row>
    <row r="162" ht="15.75" customHeight="1">
      <c r="B162" s="50">
        <v>39.0</v>
      </c>
      <c r="C162" s="50" t="s">
        <v>5960</v>
      </c>
      <c r="D162" s="50" t="s">
        <v>5000</v>
      </c>
      <c r="E162" s="50" t="s">
        <v>5961</v>
      </c>
      <c r="F162" s="50" t="s">
        <v>5962</v>
      </c>
      <c r="G162" s="50" t="s">
        <v>5962</v>
      </c>
      <c r="H162" s="580">
        <v>45979.0</v>
      </c>
      <c r="I162" s="50" t="s">
        <v>5963</v>
      </c>
      <c r="J162" s="50" t="s">
        <v>5971</v>
      </c>
      <c r="K162" s="50" t="s">
        <v>5000</v>
      </c>
      <c r="L162" s="50" t="s">
        <v>4239</v>
      </c>
      <c r="M162" s="50" t="s">
        <v>32</v>
      </c>
      <c r="N162" s="50" t="s">
        <v>281</v>
      </c>
      <c r="O162" s="50" t="s">
        <v>277</v>
      </c>
      <c r="P162" s="50" t="s">
        <v>277</v>
      </c>
      <c r="Q162" s="50" t="s">
        <v>5968</v>
      </c>
      <c r="R162" s="149">
        <v>46264.0</v>
      </c>
      <c r="S162" s="531" t="s">
        <v>5010</v>
      </c>
      <c r="T162" s="50" t="s">
        <v>5969</v>
      </c>
      <c r="U162" s="50" t="s">
        <v>5970</v>
      </c>
      <c r="V162" s="50"/>
      <c r="W162" s="198"/>
    </row>
    <row r="163" ht="15.75" customHeight="1">
      <c r="B163" s="50">
        <v>39.0</v>
      </c>
      <c r="C163" s="50" t="s">
        <v>5960</v>
      </c>
      <c r="D163" s="50" t="s">
        <v>5000</v>
      </c>
      <c r="E163" s="50" t="s">
        <v>5961</v>
      </c>
      <c r="F163" s="50" t="s">
        <v>5962</v>
      </c>
      <c r="G163" s="50" t="s">
        <v>5962</v>
      </c>
      <c r="H163" s="580">
        <v>45979.0</v>
      </c>
      <c r="I163" s="50" t="s">
        <v>5963</v>
      </c>
      <c r="J163" s="50" t="s">
        <v>5972</v>
      </c>
      <c r="K163" s="50" t="s">
        <v>5000</v>
      </c>
      <c r="L163" s="50" t="s">
        <v>4255</v>
      </c>
      <c r="M163" s="50" t="s">
        <v>32</v>
      </c>
      <c r="N163" s="50" t="s">
        <v>281</v>
      </c>
      <c r="O163" s="50" t="s">
        <v>277</v>
      </c>
      <c r="P163" s="50" t="s">
        <v>277</v>
      </c>
      <c r="Q163" s="50" t="s">
        <v>5968</v>
      </c>
      <c r="R163" s="149">
        <v>46264.0</v>
      </c>
      <c r="S163" s="531" t="s">
        <v>5010</v>
      </c>
      <c r="T163" s="50" t="s">
        <v>5969</v>
      </c>
      <c r="U163" s="50" t="s">
        <v>5970</v>
      </c>
      <c r="V163" s="50"/>
      <c r="W163" s="198"/>
    </row>
    <row r="164" ht="15.75" customHeight="1">
      <c r="B164" s="50">
        <v>39.0</v>
      </c>
      <c r="C164" s="50" t="s">
        <v>5960</v>
      </c>
      <c r="D164" s="50" t="s">
        <v>5000</v>
      </c>
      <c r="E164" s="50" t="s">
        <v>5961</v>
      </c>
      <c r="F164" s="50" t="s">
        <v>5962</v>
      </c>
      <c r="G164" s="50" t="s">
        <v>5962</v>
      </c>
      <c r="H164" s="580">
        <v>45979.0</v>
      </c>
      <c r="I164" s="50" t="s">
        <v>5963</v>
      </c>
      <c r="J164" s="50" t="s">
        <v>5973</v>
      </c>
      <c r="K164" s="50" t="s">
        <v>5000</v>
      </c>
      <c r="L164" s="50" t="s">
        <v>4255</v>
      </c>
      <c r="M164" s="50" t="s">
        <v>32</v>
      </c>
      <c r="N164" s="50" t="s">
        <v>281</v>
      </c>
      <c r="O164" s="50" t="s">
        <v>277</v>
      </c>
      <c r="P164" s="50" t="s">
        <v>353</v>
      </c>
      <c r="Q164" s="50" t="s">
        <v>5968</v>
      </c>
      <c r="R164" s="149">
        <v>46264.0</v>
      </c>
      <c r="S164" s="531" t="s">
        <v>5010</v>
      </c>
      <c r="T164" s="50" t="s">
        <v>5969</v>
      </c>
      <c r="U164" s="50" t="s">
        <v>5970</v>
      </c>
      <c r="V164" s="50"/>
      <c r="W164" s="198"/>
    </row>
    <row r="165" ht="15.75" customHeight="1">
      <c r="B165" s="50">
        <v>39.0</v>
      </c>
      <c r="C165" s="50" t="s">
        <v>5960</v>
      </c>
      <c r="D165" s="50" t="s">
        <v>5000</v>
      </c>
      <c r="E165" s="50" t="s">
        <v>5961</v>
      </c>
      <c r="F165" s="50" t="s">
        <v>5962</v>
      </c>
      <c r="G165" s="50" t="s">
        <v>5962</v>
      </c>
      <c r="H165" s="580">
        <v>45979.0</v>
      </c>
      <c r="I165" s="50" t="s">
        <v>5963</v>
      </c>
      <c r="J165" s="50" t="s">
        <v>5974</v>
      </c>
      <c r="K165" s="50" t="s">
        <v>5000</v>
      </c>
      <c r="L165" s="50" t="s">
        <v>4239</v>
      </c>
      <c r="M165" s="50" t="s">
        <v>32</v>
      </c>
      <c r="N165" s="50" t="s">
        <v>281</v>
      </c>
      <c r="O165" s="50" t="s">
        <v>277</v>
      </c>
      <c r="P165" s="50" t="s">
        <v>277</v>
      </c>
      <c r="Q165" s="50" t="s">
        <v>5968</v>
      </c>
      <c r="R165" s="149">
        <v>46264.0</v>
      </c>
      <c r="S165" s="531" t="s">
        <v>5010</v>
      </c>
      <c r="T165" s="50" t="s">
        <v>5969</v>
      </c>
      <c r="U165" s="50" t="s">
        <v>5970</v>
      </c>
      <c r="V165" s="50"/>
      <c r="W165" s="198"/>
    </row>
    <row r="166" ht="15.75" customHeight="1">
      <c r="B166" s="50">
        <v>39.0</v>
      </c>
      <c r="C166" s="50" t="s">
        <v>5960</v>
      </c>
      <c r="D166" s="50" t="s">
        <v>5000</v>
      </c>
      <c r="E166" s="50" t="s">
        <v>5961</v>
      </c>
      <c r="F166" s="50" t="s">
        <v>5962</v>
      </c>
      <c r="G166" s="50" t="s">
        <v>5962</v>
      </c>
      <c r="H166" s="580">
        <v>45979.0</v>
      </c>
      <c r="I166" s="50" t="s">
        <v>5963</v>
      </c>
      <c r="J166" s="50" t="s">
        <v>5975</v>
      </c>
      <c r="K166" s="50" t="s">
        <v>5000</v>
      </c>
      <c r="L166" s="50" t="s">
        <v>4239</v>
      </c>
      <c r="M166" s="50" t="s">
        <v>32</v>
      </c>
      <c r="N166" s="50" t="s">
        <v>281</v>
      </c>
      <c r="O166" s="50" t="s">
        <v>277</v>
      </c>
      <c r="P166" s="50" t="s">
        <v>277</v>
      </c>
      <c r="Q166" s="50" t="s">
        <v>5968</v>
      </c>
      <c r="R166" s="149">
        <v>46264.0</v>
      </c>
      <c r="S166" s="531" t="s">
        <v>5010</v>
      </c>
      <c r="T166" s="50" t="s">
        <v>5969</v>
      </c>
      <c r="U166" s="50" t="s">
        <v>5970</v>
      </c>
      <c r="V166" s="50"/>
      <c r="W166" s="198"/>
    </row>
    <row r="167" ht="15.75" customHeight="1">
      <c r="B167" s="50">
        <v>39.0</v>
      </c>
      <c r="C167" s="50" t="s">
        <v>5960</v>
      </c>
      <c r="D167" s="50" t="s">
        <v>5000</v>
      </c>
      <c r="E167" s="50" t="s">
        <v>5961</v>
      </c>
      <c r="F167" s="50" t="s">
        <v>5962</v>
      </c>
      <c r="G167" s="50" t="s">
        <v>5962</v>
      </c>
      <c r="H167" s="580">
        <v>45979.0</v>
      </c>
      <c r="I167" s="50" t="s">
        <v>5963</v>
      </c>
      <c r="J167" s="50" t="s">
        <v>5976</v>
      </c>
      <c r="K167" s="50" t="s">
        <v>5000</v>
      </c>
      <c r="L167" s="50" t="s">
        <v>4239</v>
      </c>
      <c r="M167" s="50" t="s">
        <v>32</v>
      </c>
      <c r="N167" s="50" t="s">
        <v>281</v>
      </c>
      <c r="O167" s="50" t="s">
        <v>277</v>
      </c>
      <c r="P167" s="50" t="s">
        <v>277</v>
      </c>
      <c r="Q167" s="50" t="s">
        <v>5968</v>
      </c>
      <c r="R167" s="149">
        <v>46264.0</v>
      </c>
      <c r="S167" s="531" t="s">
        <v>5010</v>
      </c>
      <c r="T167" s="50" t="s">
        <v>5969</v>
      </c>
      <c r="U167" s="50" t="s">
        <v>5970</v>
      </c>
      <c r="V167" s="50"/>
      <c r="W167" s="198"/>
    </row>
    <row r="168" ht="15.75" customHeight="1">
      <c r="B168" s="50">
        <v>39.0</v>
      </c>
      <c r="C168" s="50" t="s">
        <v>5960</v>
      </c>
      <c r="D168" s="50" t="s">
        <v>5000</v>
      </c>
      <c r="E168" s="50" t="s">
        <v>5961</v>
      </c>
      <c r="F168" s="50" t="s">
        <v>5962</v>
      </c>
      <c r="G168" s="50" t="s">
        <v>5962</v>
      </c>
      <c r="H168" s="580">
        <v>45979.0</v>
      </c>
      <c r="I168" s="50" t="s">
        <v>5963</v>
      </c>
      <c r="J168" s="50" t="s">
        <v>5977</v>
      </c>
      <c r="K168" s="50" t="s">
        <v>5000</v>
      </c>
      <c r="L168" s="50" t="s">
        <v>4239</v>
      </c>
      <c r="M168" s="50" t="s">
        <v>32</v>
      </c>
      <c r="N168" s="50" t="s">
        <v>281</v>
      </c>
      <c r="O168" s="50" t="s">
        <v>277</v>
      </c>
      <c r="P168" s="50" t="s">
        <v>277</v>
      </c>
      <c r="Q168" s="580">
        <v>45976.0</v>
      </c>
      <c r="R168" s="580">
        <v>46341.0</v>
      </c>
      <c r="S168" s="50" t="s">
        <v>4989</v>
      </c>
      <c r="T168" s="50"/>
      <c r="U168" s="50"/>
      <c r="V168" s="50"/>
      <c r="W168" s="198"/>
    </row>
    <row r="169" ht="15.75" customHeight="1">
      <c r="B169" s="50">
        <v>39.0</v>
      </c>
      <c r="C169" s="50" t="s">
        <v>5960</v>
      </c>
      <c r="D169" s="50" t="s">
        <v>5000</v>
      </c>
      <c r="E169" s="50" t="s">
        <v>5961</v>
      </c>
      <c r="F169" s="50" t="s">
        <v>5962</v>
      </c>
      <c r="G169" s="50" t="s">
        <v>5962</v>
      </c>
      <c r="H169" s="580">
        <v>45979.0</v>
      </c>
      <c r="I169" s="50" t="s">
        <v>5963</v>
      </c>
      <c r="J169" s="50" t="s">
        <v>5978</v>
      </c>
      <c r="K169" s="50" t="s">
        <v>5000</v>
      </c>
      <c r="L169" s="50" t="s">
        <v>4239</v>
      </c>
      <c r="M169" s="50" t="s">
        <v>32</v>
      </c>
      <c r="N169" s="50" t="s">
        <v>281</v>
      </c>
      <c r="O169" s="50" t="s">
        <v>277</v>
      </c>
      <c r="P169" s="50" t="s">
        <v>277</v>
      </c>
      <c r="Q169" s="50" t="s">
        <v>5979</v>
      </c>
      <c r="R169" s="580">
        <v>46310.0</v>
      </c>
      <c r="S169" s="531" t="s">
        <v>5010</v>
      </c>
      <c r="T169" s="50" t="s">
        <v>5980</v>
      </c>
      <c r="U169" s="50" t="s">
        <v>5981</v>
      </c>
      <c r="V169" s="50"/>
      <c r="W169" s="198"/>
    </row>
    <row r="170" ht="15.75" customHeight="1">
      <c r="B170" s="50">
        <v>39.0</v>
      </c>
      <c r="C170" s="50" t="s">
        <v>5960</v>
      </c>
      <c r="D170" s="50" t="s">
        <v>5000</v>
      </c>
      <c r="E170" s="50" t="s">
        <v>5961</v>
      </c>
      <c r="F170" s="50" t="s">
        <v>5962</v>
      </c>
      <c r="G170" s="50" t="s">
        <v>5962</v>
      </c>
      <c r="H170" s="580">
        <v>45979.0</v>
      </c>
      <c r="I170" s="50" t="s">
        <v>5963</v>
      </c>
      <c r="J170" s="50" t="s">
        <v>5982</v>
      </c>
      <c r="K170" s="50" t="s">
        <v>5000</v>
      </c>
      <c r="L170" s="50" t="s">
        <v>4255</v>
      </c>
      <c r="M170" s="50" t="s">
        <v>32</v>
      </c>
      <c r="N170" s="50" t="s">
        <v>281</v>
      </c>
      <c r="O170" s="50" t="s">
        <v>277</v>
      </c>
      <c r="P170" s="50" t="s">
        <v>277</v>
      </c>
      <c r="Q170" s="50" t="s">
        <v>5968</v>
      </c>
      <c r="R170" s="149">
        <v>45899.0</v>
      </c>
      <c r="S170" s="531" t="s">
        <v>5010</v>
      </c>
      <c r="T170" s="50" t="s">
        <v>5969</v>
      </c>
      <c r="U170" s="50" t="s">
        <v>5983</v>
      </c>
      <c r="V170" s="50"/>
      <c r="W170" s="198"/>
    </row>
    <row r="171" ht="15.75" customHeight="1">
      <c r="B171" s="50">
        <v>40.0</v>
      </c>
      <c r="C171" s="50" t="s">
        <v>5984</v>
      </c>
      <c r="D171" s="50" t="s">
        <v>5000</v>
      </c>
      <c r="E171" s="50" t="s">
        <v>5985</v>
      </c>
      <c r="F171" s="50" t="s">
        <v>5862</v>
      </c>
      <c r="G171" s="50" t="s">
        <v>5862</v>
      </c>
      <c r="H171" s="50"/>
      <c r="I171" s="50"/>
      <c r="J171" s="50" t="s">
        <v>5986</v>
      </c>
      <c r="K171" s="50" t="s">
        <v>5987</v>
      </c>
      <c r="L171" s="50" t="s">
        <v>4239</v>
      </c>
      <c r="M171" s="50" t="s">
        <v>69</v>
      </c>
      <c r="N171" s="50" t="s">
        <v>47</v>
      </c>
      <c r="O171" s="50" t="s">
        <v>47</v>
      </c>
      <c r="P171" s="50" t="s">
        <v>5988</v>
      </c>
      <c r="Q171" s="160">
        <v>45531.0</v>
      </c>
      <c r="R171" s="160">
        <v>46261.0</v>
      </c>
      <c r="S171" s="50" t="s">
        <v>4989</v>
      </c>
      <c r="T171" s="50"/>
      <c r="U171" s="50"/>
      <c r="V171" s="50"/>
      <c r="W171" s="198"/>
    </row>
    <row r="172" ht="15.75" customHeight="1">
      <c r="B172" s="50">
        <v>41.0</v>
      </c>
      <c r="C172" s="50" t="s">
        <v>5989</v>
      </c>
      <c r="D172" s="50" t="s">
        <v>5000</v>
      </c>
      <c r="E172" s="50" t="s">
        <v>4646</v>
      </c>
      <c r="F172" s="50" t="s">
        <v>4646</v>
      </c>
      <c r="G172" s="50" t="s">
        <v>4645</v>
      </c>
      <c r="H172" s="149">
        <v>46118.0</v>
      </c>
      <c r="I172" s="50" t="s">
        <v>5990</v>
      </c>
      <c r="J172" s="50" t="s">
        <v>5991</v>
      </c>
      <c r="K172" s="50" t="s">
        <v>5000</v>
      </c>
      <c r="L172" s="50" t="s">
        <v>4255</v>
      </c>
      <c r="M172" s="50" t="s">
        <v>69</v>
      </c>
      <c r="N172" s="50" t="s">
        <v>47</v>
      </c>
      <c r="O172" s="50" t="s">
        <v>47</v>
      </c>
      <c r="P172" s="50" t="s">
        <v>79</v>
      </c>
      <c r="Q172" s="149">
        <v>45869.0</v>
      </c>
      <c r="R172" s="149">
        <v>46965.0</v>
      </c>
      <c r="S172" s="50" t="s">
        <v>4989</v>
      </c>
      <c r="T172" s="50"/>
      <c r="U172" s="50"/>
      <c r="V172" s="50"/>
      <c r="W172" s="198"/>
    </row>
    <row r="173" ht="15.75" customHeight="1">
      <c r="B173" s="50">
        <v>42.0</v>
      </c>
      <c r="C173" s="50" t="s">
        <v>5992</v>
      </c>
      <c r="D173" s="50" t="s">
        <v>5000</v>
      </c>
      <c r="E173" s="50" t="s">
        <v>5993</v>
      </c>
      <c r="F173" s="50" t="s">
        <v>5993</v>
      </c>
      <c r="G173" s="50" t="s">
        <v>5993</v>
      </c>
      <c r="H173" s="149">
        <v>46111.0</v>
      </c>
      <c r="I173" s="50" t="s">
        <v>5994</v>
      </c>
      <c r="J173" s="50" t="s">
        <v>5995</v>
      </c>
      <c r="K173" s="50" t="s">
        <v>5000</v>
      </c>
      <c r="L173" s="50" t="s">
        <v>4239</v>
      </c>
      <c r="M173" s="50" t="s">
        <v>69</v>
      </c>
      <c r="N173" s="50" t="s">
        <v>142</v>
      </c>
      <c r="O173" s="50" t="s">
        <v>5996</v>
      </c>
      <c r="P173" s="50" t="s">
        <v>3063</v>
      </c>
      <c r="Q173" s="160">
        <v>45132.0</v>
      </c>
      <c r="R173" s="160">
        <v>46228.0</v>
      </c>
      <c r="S173" s="524" t="s">
        <v>5010</v>
      </c>
      <c r="T173" s="50"/>
      <c r="U173" s="50"/>
      <c r="V173" s="50"/>
      <c r="W173" s="198"/>
    </row>
    <row r="174" ht="15.75" customHeight="1">
      <c r="B174" s="113">
        <v>43.0</v>
      </c>
      <c r="C174" s="113" t="s">
        <v>5997</v>
      </c>
      <c r="D174" s="113" t="s">
        <v>5000</v>
      </c>
      <c r="E174" s="113" t="s">
        <v>5844</v>
      </c>
      <c r="F174" s="113" t="s">
        <v>5852</v>
      </c>
      <c r="G174" s="113" t="s">
        <v>5852</v>
      </c>
      <c r="H174" s="63">
        <v>46174.0</v>
      </c>
      <c r="I174" s="113" t="s">
        <v>5998</v>
      </c>
      <c r="J174" s="113" t="s">
        <v>5855</v>
      </c>
      <c r="K174" s="113" t="s">
        <v>5000</v>
      </c>
      <c r="L174" s="113" t="s">
        <v>4239</v>
      </c>
      <c r="M174" s="113" t="s">
        <v>32</v>
      </c>
      <c r="N174" s="113" t="s">
        <v>179</v>
      </c>
      <c r="O174" s="113" t="s">
        <v>666</v>
      </c>
      <c r="P174" s="113" t="s">
        <v>741</v>
      </c>
      <c r="Q174" s="63">
        <v>45523.0</v>
      </c>
      <c r="R174" s="63">
        <v>46618.0</v>
      </c>
      <c r="S174" s="50" t="s">
        <v>4989</v>
      </c>
      <c r="T174" s="50"/>
      <c r="U174" s="50"/>
      <c r="V174" s="50"/>
      <c r="W174" s="198"/>
    </row>
    <row r="175" ht="15.75" customHeight="1">
      <c r="B175" s="113">
        <v>44.0</v>
      </c>
      <c r="C175" s="113" t="s">
        <v>5999</v>
      </c>
      <c r="D175" s="113" t="s">
        <v>5000</v>
      </c>
      <c r="E175" s="113" t="s">
        <v>5844</v>
      </c>
      <c r="F175" s="113" t="s">
        <v>5878</v>
      </c>
      <c r="G175" s="113" t="s">
        <v>5878</v>
      </c>
      <c r="H175" s="583">
        <v>46198.0</v>
      </c>
      <c r="I175" s="113" t="s">
        <v>6000</v>
      </c>
      <c r="J175" s="113" t="s">
        <v>6001</v>
      </c>
      <c r="K175" s="113" t="s">
        <v>5000</v>
      </c>
      <c r="L175" s="113" t="s">
        <v>4231</v>
      </c>
      <c r="M175" s="113" t="s">
        <v>69</v>
      </c>
      <c r="N175" s="113" t="s">
        <v>826</v>
      </c>
      <c r="O175" s="113" t="s">
        <v>6002</v>
      </c>
      <c r="P175" s="113" t="s">
        <v>6002</v>
      </c>
      <c r="Q175" s="63">
        <v>45694.0</v>
      </c>
      <c r="R175" s="63">
        <v>46424.0</v>
      </c>
      <c r="S175" s="113" t="s">
        <v>4989</v>
      </c>
      <c r="T175" s="113" t="s">
        <v>6003</v>
      </c>
      <c r="U175" s="50"/>
      <c r="V175" s="50"/>
      <c r="W175" s="198"/>
    </row>
    <row r="176" ht="15.75" customHeight="1">
      <c r="B176" s="50"/>
      <c r="C176" s="50"/>
      <c r="D176" s="50"/>
      <c r="E176" s="50"/>
      <c r="F176" s="50"/>
      <c r="G176" s="50"/>
      <c r="H176" s="50"/>
      <c r="I176" s="50"/>
      <c r="J176" s="50"/>
      <c r="K176" s="50"/>
      <c r="L176" s="50"/>
      <c r="M176" s="50"/>
      <c r="N176" s="50"/>
      <c r="O176" s="50"/>
      <c r="P176" s="50"/>
      <c r="Q176" s="50"/>
      <c r="R176" s="50"/>
      <c r="S176" s="50"/>
      <c r="T176" s="50"/>
      <c r="U176" s="50"/>
      <c r="V176" s="50"/>
      <c r="W176" s="198"/>
    </row>
    <row r="177" ht="15.75" customHeight="1">
      <c r="B177" s="50"/>
      <c r="C177" s="50"/>
      <c r="D177" s="50"/>
      <c r="E177" s="50"/>
      <c r="F177" s="50"/>
      <c r="G177" s="50"/>
      <c r="H177" s="50"/>
      <c r="I177" s="50"/>
      <c r="J177" s="50"/>
      <c r="K177" s="50"/>
      <c r="L177" s="50"/>
      <c r="M177" s="50"/>
      <c r="N177" s="50"/>
      <c r="O177" s="50"/>
      <c r="P177" s="50"/>
      <c r="Q177" s="50"/>
      <c r="R177" s="50"/>
      <c r="S177" s="50"/>
      <c r="T177" s="50"/>
      <c r="U177" s="50"/>
      <c r="V177" s="50"/>
      <c r="W177" s="198"/>
    </row>
    <row r="178" ht="15.75" customHeight="1">
      <c r="B178" s="50"/>
      <c r="C178" s="50"/>
      <c r="D178" s="50"/>
      <c r="E178" s="50"/>
      <c r="F178" s="50"/>
      <c r="G178" s="50"/>
      <c r="H178" s="50"/>
      <c r="I178" s="50"/>
      <c r="J178" s="50"/>
      <c r="K178" s="50"/>
      <c r="L178" s="50"/>
      <c r="M178" s="50"/>
      <c r="N178" s="50"/>
      <c r="O178" s="50"/>
      <c r="P178" s="50"/>
      <c r="Q178" s="50"/>
      <c r="R178" s="50"/>
      <c r="S178" s="50"/>
      <c r="T178" s="50"/>
      <c r="U178" s="50"/>
      <c r="V178" s="50"/>
      <c r="W178" s="198"/>
    </row>
    <row r="179" ht="15.75" customHeight="1">
      <c r="B179" s="50"/>
      <c r="C179" s="50"/>
      <c r="D179" s="50"/>
      <c r="E179" s="50"/>
      <c r="F179" s="50"/>
      <c r="G179" s="50"/>
      <c r="H179" s="50"/>
      <c r="I179" s="50"/>
      <c r="J179" s="50"/>
      <c r="K179" s="50"/>
      <c r="L179" s="50"/>
      <c r="M179" s="50"/>
      <c r="N179" s="50"/>
      <c r="O179" s="50"/>
      <c r="P179" s="50"/>
      <c r="Q179" s="50"/>
      <c r="R179" s="50"/>
      <c r="S179" s="50"/>
      <c r="T179" s="50"/>
      <c r="U179" s="50"/>
      <c r="V179" s="50"/>
      <c r="W179" s="198"/>
    </row>
    <row r="180" ht="15.75" customHeight="1">
      <c r="B180" s="50"/>
      <c r="C180" s="50"/>
      <c r="D180" s="50"/>
      <c r="E180" s="50"/>
      <c r="F180" s="50"/>
      <c r="G180" s="50"/>
      <c r="H180" s="50"/>
      <c r="I180" s="50"/>
      <c r="J180" s="50"/>
      <c r="K180" s="50"/>
      <c r="L180" s="50"/>
      <c r="M180" s="50"/>
      <c r="N180" s="50"/>
      <c r="O180" s="50"/>
      <c r="P180" s="50"/>
      <c r="Q180" s="50"/>
      <c r="R180" s="50"/>
      <c r="S180" s="50"/>
      <c r="T180" s="50"/>
      <c r="U180" s="50"/>
      <c r="V180" s="50"/>
      <c r="W180" s="198"/>
    </row>
    <row r="181" ht="15.75" customHeight="1">
      <c r="B181" s="50"/>
      <c r="C181" s="50"/>
      <c r="D181" s="50"/>
      <c r="E181" s="50"/>
      <c r="F181" s="50"/>
      <c r="G181" s="50"/>
      <c r="H181" s="50"/>
      <c r="I181" s="50"/>
      <c r="J181" s="50"/>
      <c r="K181" s="50"/>
      <c r="L181" s="50"/>
      <c r="M181" s="50"/>
      <c r="N181" s="50"/>
      <c r="O181" s="50"/>
      <c r="P181" s="50"/>
      <c r="Q181" s="50"/>
      <c r="R181" s="50"/>
      <c r="S181" s="50"/>
      <c r="T181" s="50"/>
      <c r="U181" s="50"/>
      <c r="V181" s="50"/>
      <c r="W181" s="198"/>
    </row>
    <row r="182" ht="15.75" customHeight="1">
      <c r="B182" s="50"/>
      <c r="C182" s="50"/>
      <c r="D182" s="50"/>
      <c r="E182" s="50"/>
      <c r="F182" s="50"/>
      <c r="G182" s="50"/>
      <c r="H182" s="50"/>
      <c r="I182" s="50"/>
      <c r="J182" s="50"/>
      <c r="K182" s="50"/>
      <c r="L182" s="50"/>
      <c r="M182" s="50"/>
      <c r="N182" s="50"/>
      <c r="O182" s="50"/>
      <c r="P182" s="50"/>
      <c r="Q182" s="50"/>
      <c r="R182" s="50"/>
      <c r="S182" s="50"/>
      <c r="T182" s="50"/>
      <c r="U182" s="50"/>
      <c r="V182" s="50"/>
      <c r="W182" s="198"/>
    </row>
    <row r="183" ht="15.75" customHeight="1">
      <c r="B183" s="50"/>
      <c r="C183" s="50"/>
      <c r="D183" s="50"/>
      <c r="E183" s="50"/>
      <c r="F183" s="50"/>
      <c r="G183" s="50"/>
      <c r="H183" s="50"/>
      <c r="I183" s="50"/>
      <c r="J183" s="50"/>
      <c r="K183" s="50"/>
      <c r="L183" s="50"/>
      <c r="M183" s="50"/>
      <c r="N183" s="50"/>
      <c r="O183" s="50"/>
      <c r="P183" s="50"/>
      <c r="Q183" s="50"/>
      <c r="R183" s="50"/>
      <c r="S183" s="50"/>
      <c r="T183" s="50"/>
      <c r="U183" s="50"/>
      <c r="V183" s="50"/>
      <c r="W183" s="198"/>
    </row>
    <row r="184" ht="15.75" customHeight="1">
      <c r="B184" s="50"/>
      <c r="C184" s="50"/>
      <c r="D184" s="50"/>
      <c r="E184" s="50"/>
      <c r="F184" s="50"/>
      <c r="G184" s="50"/>
      <c r="H184" s="50"/>
      <c r="I184" s="50"/>
      <c r="J184" s="50"/>
      <c r="K184" s="50"/>
      <c r="L184" s="50"/>
      <c r="M184" s="50"/>
      <c r="N184" s="50"/>
      <c r="O184" s="50"/>
      <c r="P184" s="50"/>
      <c r="Q184" s="50"/>
      <c r="R184" s="50"/>
      <c r="S184" s="50"/>
      <c r="T184" s="50"/>
      <c r="U184" s="50"/>
      <c r="V184" s="50"/>
      <c r="W184" s="198"/>
    </row>
    <row r="185" ht="15.75" customHeight="1">
      <c r="B185" s="50"/>
      <c r="C185" s="50"/>
      <c r="D185" s="50"/>
      <c r="E185" s="50"/>
      <c r="F185" s="50"/>
      <c r="G185" s="50"/>
      <c r="H185" s="50"/>
      <c r="I185" s="50"/>
      <c r="J185" s="50"/>
      <c r="K185" s="50"/>
      <c r="L185" s="50"/>
      <c r="M185" s="50"/>
      <c r="N185" s="50"/>
      <c r="O185" s="50"/>
      <c r="P185" s="50"/>
      <c r="Q185" s="50"/>
      <c r="R185" s="50"/>
      <c r="S185" s="50"/>
      <c r="T185" s="50"/>
      <c r="U185" s="50"/>
      <c r="V185" s="50"/>
      <c r="W185" s="198"/>
    </row>
    <row r="186" ht="15.75" customHeight="1">
      <c r="B186" s="50"/>
      <c r="C186" s="50"/>
      <c r="D186" s="50"/>
      <c r="E186" s="50"/>
      <c r="F186" s="50"/>
      <c r="G186" s="50"/>
      <c r="H186" s="50"/>
      <c r="I186" s="50"/>
      <c r="J186" s="50"/>
      <c r="K186" s="50"/>
      <c r="L186" s="50"/>
      <c r="M186" s="50"/>
      <c r="N186" s="50"/>
      <c r="O186" s="50"/>
      <c r="P186" s="50"/>
      <c r="Q186" s="50"/>
      <c r="R186" s="50"/>
      <c r="S186" s="50"/>
      <c r="T186" s="50"/>
      <c r="U186" s="50"/>
      <c r="V186" s="50"/>
      <c r="W186" s="198"/>
    </row>
    <row r="187" ht="15.75" customHeight="1">
      <c r="B187" s="50"/>
      <c r="C187" s="50"/>
      <c r="D187" s="50"/>
      <c r="E187" s="50"/>
      <c r="F187" s="50"/>
      <c r="G187" s="50"/>
      <c r="H187" s="50"/>
      <c r="I187" s="50"/>
      <c r="J187" s="50"/>
      <c r="K187" s="50"/>
      <c r="L187" s="50"/>
      <c r="M187" s="50"/>
      <c r="N187" s="50"/>
      <c r="O187" s="50"/>
      <c r="P187" s="50"/>
      <c r="Q187" s="50"/>
      <c r="R187" s="50"/>
      <c r="S187" s="50"/>
      <c r="T187" s="50"/>
      <c r="U187" s="50"/>
      <c r="V187" s="50"/>
      <c r="W187" s="198"/>
    </row>
    <row r="188" ht="15.75" customHeight="1">
      <c r="B188" s="50"/>
      <c r="C188" s="50"/>
      <c r="D188" s="50"/>
      <c r="E188" s="50"/>
      <c r="F188" s="50"/>
      <c r="G188" s="50"/>
      <c r="H188" s="50"/>
      <c r="I188" s="50"/>
      <c r="J188" s="50"/>
      <c r="K188" s="50"/>
      <c r="L188" s="50"/>
      <c r="M188" s="50"/>
      <c r="N188" s="50"/>
      <c r="O188" s="50"/>
      <c r="P188" s="50"/>
      <c r="Q188" s="50"/>
      <c r="R188" s="50"/>
      <c r="S188" s="50"/>
      <c r="T188" s="50"/>
      <c r="U188" s="50"/>
      <c r="V188" s="50"/>
      <c r="W188" s="198"/>
    </row>
    <row r="189" ht="15.75" customHeight="1">
      <c r="B189" s="50"/>
      <c r="C189" s="50"/>
      <c r="D189" s="50"/>
      <c r="E189" s="50"/>
      <c r="F189" s="50"/>
      <c r="G189" s="50"/>
      <c r="H189" s="50"/>
      <c r="I189" s="50"/>
      <c r="J189" s="50"/>
      <c r="K189" s="50"/>
      <c r="L189" s="50"/>
      <c r="M189" s="50"/>
      <c r="N189" s="50"/>
      <c r="O189" s="50"/>
      <c r="P189" s="50"/>
      <c r="Q189" s="50"/>
      <c r="R189" s="50"/>
      <c r="S189" s="50"/>
      <c r="T189" s="50"/>
      <c r="U189" s="50"/>
      <c r="V189" s="50"/>
      <c r="W189" s="198"/>
    </row>
    <row r="190" ht="15.75" customHeight="1">
      <c r="B190" s="50"/>
      <c r="C190" s="50"/>
      <c r="D190" s="50"/>
      <c r="E190" s="50"/>
      <c r="F190" s="50"/>
      <c r="G190" s="50"/>
      <c r="H190" s="50"/>
      <c r="I190" s="50"/>
      <c r="J190" s="50"/>
      <c r="K190" s="50"/>
      <c r="L190" s="50"/>
      <c r="M190" s="50"/>
      <c r="N190" s="50"/>
      <c r="O190" s="50"/>
      <c r="P190" s="50"/>
      <c r="Q190" s="50"/>
      <c r="R190" s="50"/>
      <c r="S190" s="50"/>
      <c r="T190" s="50"/>
      <c r="U190" s="50"/>
      <c r="V190" s="50"/>
      <c r="W190" s="198"/>
    </row>
    <row r="191" ht="15.75" customHeight="1">
      <c r="B191" s="50"/>
      <c r="C191" s="50"/>
      <c r="D191" s="50"/>
      <c r="E191" s="50"/>
      <c r="F191" s="50"/>
      <c r="G191" s="50"/>
      <c r="H191" s="50"/>
      <c r="I191" s="50"/>
      <c r="J191" s="50"/>
      <c r="K191" s="50"/>
      <c r="L191" s="50"/>
      <c r="M191" s="50"/>
      <c r="N191" s="50"/>
      <c r="O191" s="50"/>
      <c r="P191" s="50"/>
      <c r="Q191" s="50"/>
      <c r="R191" s="50"/>
      <c r="S191" s="50"/>
      <c r="T191" s="50"/>
      <c r="U191" s="50"/>
      <c r="V191" s="50"/>
      <c r="W191" s="198"/>
    </row>
    <row r="192" ht="15.75" customHeight="1">
      <c r="B192" s="50"/>
      <c r="C192" s="50"/>
      <c r="D192" s="50"/>
      <c r="E192" s="50"/>
      <c r="F192" s="50"/>
      <c r="G192" s="50"/>
      <c r="H192" s="50"/>
      <c r="I192" s="50"/>
      <c r="J192" s="50"/>
      <c r="K192" s="50"/>
      <c r="L192" s="50"/>
      <c r="M192" s="50"/>
      <c r="N192" s="50"/>
      <c r="O192" s="50"/>
      <c r="P192" s="50"/>
      <c r="Q192" s="50"/>
      <c r="R192" s="50"/>
      <c r="S192" s="50"/>
      <c r="T192" s="50"/>
      <c r="U192" s="50"/>
      <c r="V192" s="50"/>
      <c r="W192" s="198"/>
    </row>
    <row r="193" ht="15.75" customHeight="1">
      <c r="B193" s="50"/>
      <c r="C193" s="50"/>
      <c r="D193" s="50"/>
      <c r="E193" s="50"/>
      <c r="F193" s="50"/>
      <c r="G193" s="50"/>
      <c r="H193" s="50"/>
      <c r="I193" s="50"/>
      <c r="J193" s="50"/>
      <c r="K193" s="50"/>
      <c r="L193" s="50"/>
      <c r="M193" s="50"/>
      <c r="N193" s="50"/>
      <c r="O193" s="50"/>
      <c r="P193" s="50"/>
      <c r="Q193" s="50"/>
      <c r="R193" s="50"/>
      <c r="S193" s="50"/>
      <c r="T193" s="50"/>
      <c r="U193" s="50"/>
      <c r="V193" s="50"/>
      <c r="W193" s="198"/>
    </row>
    <row r="194" ht="15.75" customHeight="1">
      <c r="B194" s="50"/>
      <c r="C194" s="50"/>
      <c r="D194" s="50"/>
      <c r="E194" s="50"/>
      <c r="F194" s="50"/>
      <c r="G194" s="50"/>
      <c r="H194" s="50"/>
      <c r="I194" s="50"/>
      <c r="J194" s="50"/>
      <c r="K194" s="50"/>
      <c r="L194" s="50"/>
      <c r="M194" s="50"/>
      <c r="N194" s="50"/>
      <c r="O194" s="50"/>
      <c r="P194" s="50"/>
      <c r="Q194" s="50"/>
      <c r="R194" s="50"/>
      <c r="S194" s="50"/>
      <c r="T194" s="50"/>
      <c r="U194" s="50"/>
      <c r="V194" s="50"/>
      <c r="W194" s="198"/>
    </row>
    <row r="195" ht="15.75" customHeight="1">
      <c r="B195" s="50"/>
      <c r="C195" s="50"/>
      <c r="D195" s="50"/>
      <c r="E195" s="50"/>
      <c r="F195" s="50"/>
      <c r="G195" s="50"/>
      <c r="H195" s="50"/>
      <c r="I195" s="50"/>
      <c r="J195" s="50"/>
      <c r="K195" s="50"/>
      <c r="L195" s="50"/>
      <c r="M195" s="50"/>
      <c r="N195" s="50"/>
      <c r="O195" s="50"/>
      <c r="P195" s="50"/>
      <c r="Q195" s="50"/>
      <c r="R195" s="50"/>
      <c r="S195" s="50"/>
      <c r="T195" s="50"/>
      <c r="U195" s="50"/>
      <c r="V195" s="50"/>
      <c r="W195" s="198"/>
    </row>
    <row r="196" ht="15.75" customHeight="1">
      <c r="B196" s="50"/>
      <c r="C196" s="50"/>
      <c r="D196" s="50"/>
      <c r="E196" s="50"/>
      <c r="F196" s="50"/>
      <c r="G196" s="50"/>
      <c r="H196" s="50"/>
      <c r="I196" s="50"/>
      <c r="J196" s="50"/>
      <c r="K196" s="50"/>
      <c r="L196" s="50"/>
      <c r="M196" s="50"/>
      <c r="N196" s="50"/>
      <c r="O196" s="50"/>
      <c r="P196" s="50"/>
      <c r="Q196" s="50"/>
      <c r="R196" s="50"/>
      <c r="S196" s="50"/>
      <c r="T196" s="50"/>
      <c r="U196" s="50"/>
      <c r="V196" s="50"/>
      <c r="W196" s="198"/>
    </row>
    <row r="197" ht="15.75" customHeight="1">
      <c r="B197" s="50"/>
      <c r="C197" s="50"/>
      <c r="D197" s="50"/>
      <c r="E197" s="50"/>
      <c r="F197" s="50"/>
      <c r="G197" s="50"/>
      <c r="H197" s="50"/>
      <c r="I197" s="50"/>
      <c r="J197" s="50"/>
      <c r="K197" s="50"/>
      <c r="L197" s="50"/>
      <c r="M197" s="50"/>
      <c r="N197" s="50"/>
      <c r="O197" s="50"/>
      <c r="P197" s="50"/>
      <c r="Q197" s="50"/>
      <c r="R197" s="50"/>
      <c r="S197" s="50"/>
      <c r="T197" s="50"/>
      <c r="U197" s="50"/>
      <c r="V197" s="50"/>
      <c r="W197" s="198"/>
    </row>
    <row r="198" ht="15.75" customHeight="1">
      <c r="B198" s="50"/>
      <c r="C198" s="50"/>
      <c r="D198" s="50"/>
      <c r="E198" s="50"/>
      <c r="F198" s="50"/>
      <c r="G198" s="50"/>
      <c r="H198" s="50"/>
      <c r="I198" s="50"/>
      <c r="J198" s="50"/>
      <c r="K198" s="50"/>
      <c r="L198" s="50"/>
      <c r="M198" s="50"/>
      <c r="N198" s="50"/>
      <c r="O198" s="50"/>
      <c r="P198" s="50"/>
      <c r="Q198" s="50"/>
      <c r="R198" s="50"/>
      <c r="S198" s="50"/>
      <c r="T198" s="50"/>
      <c r="U198" s="50"/>
      <c r="V198" s="50"/>
      <c r="W198" s="198"/>
    </row>
    <row r="199" ht="15.75" customHeight="1">
      <c r="B199" s="50"/>
      <c r="C199" s="50"/>
      <c r="D199" s="50"/>
      <c r="E199" s="50"/>
      <c r="F199" s="50"/>
      <c r="G199" s="50"/>
      <c r="H199" s="50"/>
      <c r="I199" s="50"/>
      <c r="J199" s="50"/>
      <c r="K199" s="50"/>
      <c r="L199" s="50"/>
      <c r="M199" s="50"/>
      <c r="N199" s="50"/>
      <c r="O199" s="50"/>
      <c r="P199" s="50"/>
      <c r="Q199" s="50"/>
      <c r="R199" s="50"/>
      <c r="S199" s="50"/>
      <c r="T199" s="50"/>
      <c r="U199" s="50"/>
      <c r="V199" s="50"/>
      <c r="W199" s="198"/>
    </row>
    <row r="200" ht="15.75" customHeight="1">
      <c r="B200" s="50"/>
      <c r="C200" s="50"/>
      <c r="D200" s="50"/>
      <c r="E200" s="50"/>
      <c r="F200" s="50"/>
      <c r="G200" s="50"/>
      <c r="H200" s="50"/>
      <c r="I200" s="50"/>
      <c r="J200" s="50"/>
      <c r="K200" s="50"/>
      <c r="L200" s="50"/>
      <c r="M200" s="50"/>
      <c r="N200" s="50"/>
      <c r="O200" s="50"/>
      <c r="P200" s="50"/>
      <c r="Q200" s="50"/>
      <c r="R200" s="50"/>
      <c r="S200" s="50"/>
      <c r="T200" s="50"/>
      <c r="U200" s="50"/>
      <c r="V200" s="50"/>
      <c r="W200" s="198"/>
    </row>
    <row r="201" ht="15.75" customHeight="1">
      <c r="B201" s="50"/>
      <c r="C201" s="50"/>
      <c r="D201" s="50"/>
      <c r="E201" s="50"/>
      <c r="F201" s="50"/>
      <c r="G201" s="50"/>
      <c r="H201" s="50"/>
      <c r="I201" s="50"/>
      <c r="J201" s="50"/>
      <c r="K201" s="50"/>
      <c r="L201" s="50"/>
      <c r="M201" s="50"/>
      <c r="N201" s="50"/>
      <c r="O201" s="50"/>
      <c r="P201" s="50"/>
      <c r="Q201" s="50"/>
      <c r="R201" s="50"/>
      <c r="S201" s="50"/>
      <c r="T201" s="50"/>
      <c r="U201" s="50"/>
      <c r="V201" s="50"/>
      <c r="W201" s="198"/>
    </row>
    <row r="202" ht="15.75" customHeight="1">
      <c r="B202" s="50"/>
      <c r="C202" s="50"/>
      <c r="D202" s="50"/>
      <c r="E202" s="50"/>
      <c r="F202" s="50"/>
      <c r="G202" s="50"/>
      <c r="H202" s="50"/>
      <c r="I202" s="50"/>
      <c r="J202" s="50"/>
      <c r="K202" s="50"/>
      <c r="L202" s="50"/>
      <c r="M202" s="50"/>
      <c r="N202" s="50"/>
      <c r="O202" s="50"/>
      <c r="P202" s="50"/>
      <c r="Q202" s="50"/>
      <c r="R202" s="50"/>
      <c r="S202" s="50"/>
      <c r="T202" s="50"/>
      <c r="U202" s="50"/>
      <c r="V202" s="50"/>
      <c r="W202" s="198"/>
    </row>
    <row r="203" ht="15.75" customHeight="1">
      <c r="B203" s="50"/>
      <c r="C203" s="50"/>
      <c r="D203" s="50"/>
      <c r="E203" s="50"/>
      <c r="F203" s="50"/>
      <c r="G203" s="50"/>
      <c r="H203" s="50"/>
      <c r="I203" s="50"/>
      <c r="J203" s="50"/>
      <c r="K203" s="50"/>
      <c r="L203" s="50"/>
      <c r="M203" s="50"/>
      <c r="N203" s="50"/>
      <c r="O203" s="50"/>
      <c r="P203" s="50"/>
      <c r="Q203" s="50"/>
      <c r="R203" s="50"/>
      <c r="S203" s="50"/>
      <c r="T203" s="50"/>
      <c r="U203" s="50"/>
      <c r="V203" s="50"/>
      <c r="W203" s="198"/>
    </row>
    <row r="204" ht="15.75" customHeight="1">
      <c r="B204" s="50"/>
      <c r="C204" s="50"/>
      <c r="D204" s="50"/>
      <c r="E204" s="50"/>
      <c r="F204" s="50"/>
      <c r="G204" s="50"/>
      <c r="H204" s="50"/>
      <c r="I204" s="50"/>
      <c r="J204" s="50"/>
      <c r="K204" s="50"/>
      <c r="L204" s="50"/>
      <c r="M204" s="50"/>
      <c r="N204" s="50"/>
      <c r="O204" s="50"/>
      <c r="P204" s="50"/>
      <c r="Q204" s="50"/>
      <c r="R204" s="50"/>
      <c r="S204" s="50"/>
      <c r="T204" s="50"/>
      <c r="U204" s="50"/>
      <c r="V204" s="50"/>
      <c r="W204" s="198"/>
    </row>
    <row r="205" ht="15.75" customHeight="1">
      <c r="B205" s="50"/>
      <c r="C205" s="50"/>
      <c r="D205" s="50"/>
      <c r="E205" s="50"/>
      <c r="F205" s="50"/>
      <c r="G205" s="50"/>
      <c r="H205" s="50"/>
      <c r="I205" s="50"/>
      <c r="J205" s="50"/>
      <c r="K205" s="50"/>
      <c r="L205" s="50"/>
      <c r="M205" s="50"/>
      <c r="N205" s="50"/>
      <c r="O205" s="50"/>
      <c r="P205" s="50"/>
      <c r="Q205" s="50"/>
      <c r="R205" s="50"/>
      <c r="S205" s="50"/>
      <c r="T205" s="50"/>
      <c r="U205" s="50"/>
      <c r="V205" s="50"/>
      <c r="W205" s="198"/>
    </row>
    <row r="206" ht="15.75" customHeight="1">
      <c r="B206" s="50"/>
      <c r="C206" s="50"/>
      <c r="D206" s="50"/>
      <c r="E206" s="50"/>
      <c r="F206" s="50"/>
      <c r="G206" s="50"/>
      <c r="H206" s="50"/>
      <c r="I206" s="50"/>
      <c r="J206" s="50"/>
      <c r="K206" s="50"/>
      <c r="L206" s="50"/>
      <c r="M206" s="50"/>
      <c r="N206" s="50"/>
      <c r="O206" s="50"/>
      <c r="P206" s="50"/>
      <c r="Q206" s="50"/>
      <c r="R206" s="50"/>
      <c r="S206" s="50"/>
      <c r="T206" s="50"/>
      <c r="U206" s="50"/>
      <c r="V206" s="50"/>
      <c r="W206" s="198"/>
    </row>
    <row r="207" ht="15.75" customHeight="1">
      <c r="B207" s="50"/>
      <c r="C207" s="50"/>
      <c r="D207" s="50"/>
      <c r="E207" s="50"/>
      <c r="F207" s="50"/>
      <c r="G207" s="50"/>
      <c r="H207" s="50"/>
      <c r="I207" s="50"/>
      <c r="J207" s="50"/>
      <c r="K207" s="50"/>
      <c r="L207" s="50"/>
      <c r="M207" s="50"/>
      <c r="N207" s="50"/>
      <c r="O207" s="50"/>
      <c r="P207" s="50"/>
      <c r="Q207" s="50"/>
      <c r="R207" s="50"/>
      <c r="S207" s="50"/>
      <c r="T207" s="50"/>
      <c r="U207" s="50"/>
      <c r="V207" s="50"/>
      <c r="W207" s="198"/>
    </row>
    <row r="208" ht="15.75" customHeight="1">
      <c r="B208" s="50"/>
      <c r="C208" s="50"/>
      <c r="D208" s="50"/>
      <c r="E208" s="50"/>
      <c r="F208" s="50"/>
      <c r="G208" s="50"/>
      <c r="H208" s="50"/>
      <c r="I208" s="50"/>
      <c r="J208" s="50"/>
      <c r="K208" s="50"/>
      <c r="L208" s="50"/>
      <c r="M208" s="50"/>
      <c r="N208" s="50"/>
      <c r="O208" s="50"/>
      <c r="P208" s="50"/>
      <c r="Q208" s="50"/>
      <c r="R208" s="50"/>
      <c r="S208" s="50"/>
      <c r="T208" s="50"/>
      <c r="U208" s="50"/>
      <c r="V208" s="50"/>
      <c r="W208" s="198"/>
    </row>
    <row r="209" ht="15.75" customHeight="1">
      <c r="B209" s="50"/>
      <c r="C209" s="50"/>
      <c r="D209" s="50"/>
      <c r="E209" s="50"/>
      <c r="F209" s="50"/>
      <c r="G209" s="50"/>
      <c r="H209" s="50"/>
      <c r="I209" s="50"/>
      <c r="J209" s="50"/>
      <c r="K209" s="50"/>
      <c r="L209" s="50"/>
      <c r="M209" s="50"/>
      <c r="N209" s="50"/>
      <c r="O209" s="50"/>
      <c r="P209" s="50"/>
      <c r="Q209" s="50"/>
      <c r="R209" s="50"/>
      <c r="S209" s="50"/>
      <c r="T209" s="50"/>
      <c r="U209" s="50"/>
      <c r="V209" s="50"/>
      <c r="W209" s="198"/>
    </row>
    <row r="210" ht="15.75" customHeight="1">
      <c r="B210" s="50"/>
      <c r="C210" s="50"/>
      <c r="D210" s="50"/>
      <c r="E210" s="50"/>
      <c r="F210" s="50"/>
      <c r="G210" s="50"/>
      <c r="H210" s="50"/>
      <c r="I210" s="50"/>
      <c r="J210" s="50"/>
      <c r="K210" s="50"/>
      <c r="L210" s="50"/>
      <c r="M210" s="50"/>
      <c r="N210" s="50"/>
      <c r="O210" s="50"/>
      <c r="P210" s="50"/>
      <c r="Q210" s="50"/>
      <c r="R210" s="50"/>
      <c r="S210" s="50"/>
      <c r="T210" s="50"/>
      <c r="U210" s="50"/>
      <c r="V210" s="50"/>
      <c r="W210" s="198"/>
    </row>
    <row r="211" ht="15.75" customHeight="1">
      <c r="B211" s="50"/>
      <c r="C211" s="50"/>
      <c r="D211" s="50"/>
      <c r="E211" s="50"/>
      <c r="F211" s="50"/>
      <c r="G211" s="50"/>
      <c r="H211" s="50"/>
      <c r="I211" s="50"/>
      <c r="J211" s="50"/>
      <c r="K211" s="50"/>
      <c r="L211" s="50"/>
      <c r="M211" s="50"/>
      <c r="N211" s="50"/>
      <c r="O211" s="50"/>
      <c r="P211" s="50"/>
      <c r="Q211" s="50"/>
      <c r="R211" s="50"/>
      <c r="S211" s="50"/>
      <c r="T211" s="50"/>
      <c r="U211" s="50"/>
      <c r="V211" s="50"/>
      <c r="W211" s="198"/>
    </row>
    <row r="212" ht="15.75" customHeight="1">
      <c r="B212" s="50"/>
      <c r="C212" s="50"/>
      <c r="D212" s="50"/>
      <c r="E212" s="50"/>
      <c r="F212" s="50"/>
      <c r="G212" s="50"/>
      <c r="H212" s="50"/>
      <c r="I212" s="50"/>
      <c r="J212" s="50"/>
      <c r="K212" s="50"/>
      <c r="L212" s="50"/>
      <c r="M212" s="50"/>
      <c r="N212" s="50"/>
      <c r="O212" s="50"/>
      <c r="P212" s="50"/>
      <c r="Q212" s="50"/>
      <c r="R212" s="50"/>
      <c r="S212" s="50"/>
      <c r="T212" s="50"/>
      <c r="U212" s="50"/>
      <c r="V212" s="50"/>
      <c r="W212" s="198"/>
    </row>
    <row r="213" ht="15.75" customHeight="1">
      <c r="B213" s="50"/>
      <c r="C213" s="50"/>
      <c r="D213" s="50"/>
      <c r="E213" s="50"/>
      <c r="F213" s="50"/>
      <c r="G213" s="50"/>
      <c r="H213" s="50"/>
      <c r="I213" s="50"/>
      <c r="J213" s="50"/>
      <c r="K213" s="50"/>
      <c r="L213" s="50"/>
      <c r="M213" s="50"/>
      <c r="N213" s="50"/>
      <c r="O213" s="50"/>
      <c r="P213" s="50"/>
      <c r="Q213" s="50"/>
      <c r="R213" s="50"/>
      <c r="S213" s="50"/>
      <c r="T213" s="50"/>
      <c r="U213" s="50"/>
      <c r="V213" s="50"/>
      <c r="W213" s="198"/>
    </row>
    <row r="214" ht="15.75" customHeight="1">
      <c r="B214" s="50"/>
      <c r="C214" s="50"/>
      <c r="D214" s="50"/>
      <c r="E214" s="50"/>
      <c r="F214" s="50"/>
      <c r="G214" s="50"/>
      <c r="H214" s="50"/>
      <c r="I214" s="50"/>
      <c r="J214" s="50"/>
      <c r="K214" s="50"/>
      <c r="L214" s="50"/>
      <c r="M214" s="50"/>
      <c r="N214" s="50"/>
      <c r="O214" s="50"/>
      <c r="P214" s="50"/>
      <c r="Q214" s="50"/>
      <c r="R214" s="50"/>
      <c r="S214" s="50"/>
      <c r="T214" s="50"/>
      <c r="U214" s="50"/>
      <c r="V214" s="50"/>
      <c r="W214" s="198"/>
    </row>
    <row r="215" ht="15.75" customHeight="1">
      <c r="B215" s="50"/>
      <c r="C215" s="50"/>
      <c r="D215" s="50"/>
      <c r="E215" s="50"/>
      <c r="F215" s="50"/>
      <c r="G215" s="50"/>
      <c r="H215" s="50"/>
      <c r="I215" s="50"/>
      <c r="J215" s="50"/>
      <c r="K215" s="50"/>
      <c r="L215" s="50"/>
      <c r="M215" s="50"/>
      <c r="N215" s="50"/>
      <c r="O215" s="50"/>
      <c r="P215" s="50"/>
      <c r="Q215" s="50"/>
      <c r="R215" s="50"/>
      <c r="S215" s="50"/>
      <c r="T215" s="50"/>
      <c r="U215" s="50"/>
      <c r="V215" s="50"/>
      <c r="W215" s="198"/>
    </row>
    <row r="216" ht="15.75" customHeight="1">
      <c r="B216" s="50"/>
      <c r="C216" s="50"/>
      <c r="D216" s="50"/>
      <c r="E216" s="50"/>
      <c r="F216" s="50"/>
      <c r="G216" s="50"/>
      <c r="H216" s="50"/>
      <c r="I216" s="50"/>
      <c r="J216" s="50"/>
      <c r="K216" s="50"/>
      <c r="L216" s="50"/>
      <c r="M216" s="50"/>
      <c r="N216" s="50"/>
      <c r="O216" s="50"/>
      <c r="P216" s="50"/>
      <c r="Q216" s="50"/>
      <c r="R216" s="50"/>
      <c r="S216" s="50"/>
      <c r="T216" s="50"/>
      <c r="U216" s="50"/>
      <c r="V216" s="50"/>
      <c r="W216" s="198"/>
    </row>
    <row r="217" ht="15.75" customHeight="1">
      <c r="B217" s="50"/>
      <c r="C217" s="50"/>
      <c r="D217" s="50"/>
      <c r="E217" s="50"/>
      <c r="F217" s="50"/>
      <c r="G217" s="50"/>
      <c r="H217" s="50"/>
      <c r="I217" s="50"/>
      <c r="J217" s="50"/>
      <c r="K217" s="50"/>
      <c r="L217" s="50"/>
      <c r="M217" s="50"/>
      <c r="N217" s="50"/>
      <c r="O217" s="50"/>
      <c r="P217" s="50"/>
      <c r="Q217" s="50"/>
      <c r="R217" s="50"/>
      <c r="S217" s="50"/>
      <c r="T217" s="50"/>
      <c r="U217" s="50"/>
      <c r="V217" s="50"/>
      <c r="W217" s="198"/>
    </row>
    <row r="218" ht="15.75" customHeight="1">
      <c r="B218" s="50"/>
      <c r="C218" s="50"/>
      <c r="D218" s="50"/>
      <c r="E218" s="50"/>
      <c r="F218" s="50"/>
      <c r="G218" s="50"/>
      <c r="H218" s="50"/>
      <c r="I218" s="50"/>
      <c r="J218" s="50"/>
      <c r="K218" s="50"/>
      <c r="L218" s="50"/>
      <c r="M218" s="50"/>
      <c r="N218" s="50"/>
      <c r="O218" s="50"/>
      <c r="P218" s="50"/>
      <c r="Q218" s="50"/>
      <c r="R218" s="50"/>
      <c r="S218" s="50"/>
      <c r="T218" s="50"/>
      <c r="U218" s="50"/>
      <c r="V218" s="50"/>
      <c r="W218" s="198"/>
    </row>
    <row r="219" ht="15.75" customHeight="1">
      <c r="B219" s="50"/>
      <c r="C219" s="50"/>
      <c r="D219" s="50"/>
      <c r="E219" s="50"/>
      <c r="F219" s="50"/>
      <c r="G219" s="50"/>
      <c r="H219" s="50"/>
      <c r="I219" s="50"/>
      <c r="J219" s="50"/>
      <c r="K219" s="50"/>
      <c r="L219" s="50"/>
      <c r="M219" s="50"/>
      <c r="N219" s="50"/>
      <c r="O219" s="50"/>
      <c r="P219" s="50"/>
      <c r="Q219" s="50"/>
      <c r="R219" s="50"/>
      <c r="S219" s="50"/>
      <c r="T219" s="50"/>
      <c r="U219" s="50"/>
      <c r="V219" s="50"/>
      <c r="W219" s="198"/>
    </row>
    <row r="220" ht="15.75" customHeight="1">
      <c r="B220" s="50"/>
      <c r="C220" s="50"/>
      <c r="D220" s="50"/>
      <c r="E220" s="50"/>
      <c r="F220" s="50"/>
      <c r="G220" s="50"/>
      <c r="H220" s="50"/>
      <c r="I220" s="50"/>
      <c r="J220" s="50"/>
      <c r="K220" s="50"/>
      <c r="L220" s="50"/>
      <c r="M220" s="50"/>
      <c r="N220" s="50"/>
      <c r="O220" s="50"/>
      <c r="P220" s="50"/>
      <c r="Q220" s="50"/>
      <c r="R220" s="50"/>
      <c r="S220" s="50"/>
      <c r="T220" s="50"/>
      <c r="U220" s="50"/>
      <c r="V220" s="50"/>
      <c r="W220" s="198"/>
    </row>
    <row r="221" ht="15.75" customHeight="1">
      <c r="B221" s="50"/>
      <c r="C221" s="50"/>
      <c r="D221" s="50"/>
      <c r="E221" s="50"/>
      <c r="F221" s="50"/>
      <c r="G221" s="50"/>
      <c r="H221" s="50"/>
      <c r="I221" s="50"/>
      <c r="J221" s="50"/>
      <c r="K221" s="50"/>
      <c r="L221" s="50"/>
      <c r="M221" s="50"/>
      <c r="N221" s="50"/>
      <c r="O221" s="50"/>
      <c r="P221" s="50"/>
      <c r="Q221" s="50"/>
      <c r="R221" s="50"/>
      <c r="S221" s="50"/>
      <c r="T221" s="50"/>
      <c r="U221" s="50"/>
      <c r="V221" s="50"/>
      <c r="W221" s="198"/>
    </row>
    <row r="222" ht="15.75" customHeight="1">
      <c r="B222" s="50"/>
      <c r="C222" s="50"/>
      <c r="D222" s="50"/>
      <c r="E222" s="50"/>
      <c r="F222" s="50"/>
      <c r="G222" s="50"/>
      <c r="H222" s="50"/>
      <c r="I222" s="50"/>
      <c r="J222" s="50"/>
      <c r="K222" s="50"/>
      <c r="L222" s="50"/>
      <c r="M222" s="50"/>
      <c r="N222" s="50"/>
      <c r="O222" s="50"/>
      <c r="P222" s="50"/>
      <c r="Q222" s="50"/>
      <c r="R222" s="50"/>
      <c r="S222" s="50"/>
      <c r="T222" s="50"/>
      <c r="U222" s="50"/>
      <c r="V222" s="50"/>
      <c r="W222" s="198"/>
    </row>
    <row r="223" ht="15.75" customHeight="1">
      <c r="B223" s="50"/>
      <c r="C223" s="50"/>
      <c r="D223" s="50"/>
      <c r="E223" s="50"/>
      <c r="F223" s="50"/>
      <c r="G223" s="50"/>
      <c r="H223" s="50"/>
      <c r="I223" s="50"/>
      <c r="J223" s="50"/>
      <c r="K223" s="50"/>
      <c r="L223" s="50"/>
      <c r="M223" s="50"/>
      <c r="N223" s="50"/>
      <c r="O223" s="50"/>
      <c r="P223" s="50"/>
      <c r="Q223" s="50"/>
      <c r="R223" s="50"/>
      <c r="S223" s="50"/>
      <c r="T223" s="50"/>
      <c r="U223" s="50"/>
      <c r="V223" s="50"/>
      <c r="W223" s="198"/>
    </row>
    <row r="224" ht="15.75" customHeight="1">
      <c r="B224" s="50"/>
      <c r="C224" s="50"/>
      <c r="D224" s="50"/>
      <c r="E224" s="50"/>
      <c r="F224" s="50"/>
      <c r="G224" s="50"/>
      <c r="H224" s="50"/>
      <c r="I224" s="50"/>
      <c r="J224" s="50"/>
      <c r="K224" s="50"/>
      <c r="L224" s="50"/>
      <c r="M224" s="50"/>
      <c r="N224" s="50"/>
      <c r="O224" s="50"/>
      <c r="P224" s="50"/>
      <c r="Q224" s="50"/>
      <c r="R224" s="50"/>
      <c r="S224" s="50"/>
      <c r="T224" s="50"/>
      <c r="U224" s="50"/>
      <c r="V224" s="50"/>
      <c r="W224" s="198"/>
    </row>
    <row r="225" ht="15.75" customHeight="1">
      <c r="B225" s="50"/>
      <c r="C225" s="50"/>
      <c r="D225" s="50"/>
      <c r="E225" s="50"/>
      <c r="F225" s="50"/>
      <c r="G225" s="50"/>
      <c r="H225" s="50"/>
      <c r="I225" s="50"/>
      <c r="J225" s="50"/>
      <c r="K225" s="50"/>
      <c r="L225" s="50"/>
      <c r="M225" s="50"/>
      <c r="N225" s="50"/>
      <c r="O225" s="50"/>
      <c r="P225" s="50"/>
      <c r="Q225" s="50"/>
      <c r="R225" s="50"/>
      <c r="S225" s="50"/>
      <c r="T225" s="50"/>
      <c r="U225" s="50"/>
      <c r="V225" s="50"/>
      <c r="W225" s="198"/>
    </row>
    <row r="226" ht="15.75" customHeight="1">
      <c r="B226" s="50"/>
      <c r="C226" s="50"/>
      <c r="D226" s="50"/>
      <c r="E226" s="50"/>
      <c r="F226" s="50"/>
      <c r="G226" s="50"/>
      <c r="H226" s="50"/>
      <c r="I226" s="50"/>
      <c r="J226" s="50"/>
      <c r="K226" s="50"/>
      <c r="L226" s="50"/>
      <c r="M226" s="50"/>
      <c r="N226" s="50"/>
      <c r="O226" s="50"/>
      <c r="P226" s="50"/>
      <c r="Q226" s="50"/>
      <c r="R226" s="50"/>
      <c r="S226" s="50"/>
      <c r="T226" s="50"/>
      <c r="U226" s="50"/>
      <c r="V226" s="50"/>
      <c r="W226" s="198"/>
    </row>
    <row r="227" ht="15.75" customHeight="1">
      <c r="B227" s="50"/>
      <c r="C227" s="50"/>
      <c r="D227" s="50"/>
      <c r="E227" s="50"/>
      <c r="F227" s="50"/>
      <c r="G227" s="50"/>
      <c r="H227" s="50"/>
      <c r="I227" s="50"/>
      <c r="J227" s="50"/>
      <c r="K227" s="50"/>
      <c r="L227" s="50"/>
      <c r="M227" s="50"/>
      <c r="N227" s="50"/>
      <c r="O227" s="50"/>
      <c r="P227" s="50"/>
      <c r="Q227" s="50"/>
      <c r="R227" s="50"/>
      <c r="S227" s="50"/>
      <c r="T227" s="50"/>
      <c r="U227" s="50"/>
      <c r="V227" s="50"/>
      <c r="W227" s="198"/>
    </row>
    <row r="228" ht="15.75" customHeight="1">
      <c r="B228" s="50"/>
      <c r="C228" s="50"/>
      <c r="D228" s="50"/>
      <c r="E228" s="50"/>
      <c r="F228" s="50"/>
      <c r="G228" s="50"/>
      <c r="H228" s="50"/>
      <c r="I228" s="50"/>
      <c r="J228" s="50"/>
      <c r="K228" s="50"/>
      <c r="L228" s="50"/>
      <c r="M228" s="50"/>
      <c r="N228" s="50"/>
      <c r="O228" s="50"/>
      <c r="P228" s="50"/>
      <c r="Q228" s="50"/>
      <c r="R228" s="50"/>
      <c r="S228" s="50"/>
      <c r="T228" s="50"/>
      <c r="U228" s="50"/>
      <c r="V228" s="50"/>
      <c r="W228" s="198"/>
    </row>
    <row r="229" ht="15.75" customHeight="1">
      <c r="B229" s="50"/>
      <c r="C229" s="50"/>
      <c r="D229" s="50"/>
      <c r="E229" s="50"/>
      <c r="F229" s="50"/>
      <c r="G229" s="50"/>
      <c r="H229" s="50"/>
      <c r="I229" s="50"/>
      <c r="J229" s="50"/>
      <c r="K229" s="50"/>
      <c r="L229" s="50"/>
      <c r="M229" s="50"/>
      <c r="N229" s="50"/>
      <c r="O229" s="50"/>
      <c r="P229" s="50"/>
      <c r="Q229" s="50"/>
      <c r="R229" s="50"/>
      <c r="S229" s="50"/>
      <c r="T229" s="50"/>
      <c r="U229" s="50"/>
      <c r="V229" s="50"/>
      <c r="W229" s="198"/>
    </row>
    <row r="230" ht="15.75" customHeight="1">
      <c r="B230" s="50"/>
      <c r="C230" s="50"/>
      <c r="D230" s="50"/>
      <c r="E230" s="50"/>
      <c r="F230" s="50"/>
      <c r="G230" s="50"/>
      <c r="H230" s="50"/>
      <c r="I230" s="50"/>
      <c r="J230" s="50"/>
      <c r="K230" s="50"/>
      <c r="L230" s="50"/>
      <c r="M230" s="50"/>
      <c r="N230" s="50"/>
      <c r="O230" s="50"/>
      <c r="P230" s="50"/>
      <c r="Q230" s="50"/>
      <c r="R230" s="50"/>
      <c r="S230" s="50"/>
      <c r="T230" s="50"/>
      <c r="U230" s="50"/>
      <c r="V230" s="50"/>
      <c r="W230" s="198"/>
    </row>
    <row r="231" ht="15.75" customHeight="1">
      <c r="B231" s="50"/>
      <c r="C231" s="50"/>
      <c r="D231" s="50"/>
      <c r="E231" s="50"/>
      <c r="F231" s="50"/>
      <c r="G231" s="50"/>
      <c r="H231" s="50"/>
      <c r="I231" s="50"/>
      <c r="J231" s="50"/>
      <c r="K231" s="50"/>
      <c r="L231" s="50"/>
      <c r="M231" s="50"/>
      <c r="N231" s="50"/>
      <c r="O231" s="50"/>
      <c r="P231" s="50"/>
      <c r="Q231" s="50"/>
      <c r="R231" s="50"/>
      <c r="S231" s="50"/>
      <c r="T231" s="50"/>
      <c r="U231" s="50"/>
      <c r="V231" s="50"/>
      <c r="W231" s="198"/>
    </row>
    <row r="232" ht="15.75" customHeight="1">
      <c r="B232" s="50"/>
      <c r="C232" s="50"/>
      <c r="D232" s="50"/>
      <c r="E232" s="50"/>
      <c r="F232" s="50"/>
      <c r="G232" s="50"/>
      <c r="H232" s="50"/>
      <c r="I232" s="50"/>
      <c r="J232" s="50"/>
      <c r="K232" s="50"/>
      <c r="L232" s="50"/>
      <c r="M232" s="50"/>
      <c r="N232" s="50"/>
      <c r="O232" s="50"/>
      <c r="P232" s="50"/>
      <c r="Q232" s="50"/>
      <c r="R232" s="50"/>
      <c r="S232" s="50"/>
      <c r="T232" s="50"/>
      <c r="U232" s="50"/>
      <c r="V232" s="50"/>
      <c r="W232" s="198"/>
    </row>
    <row r="233" ht="15.75" customHeight="1">
      <c r="B233" s="50"/>
      <c r="C233" s="50"/>
      <c r="D233" s="50"/>
      <c r="E233" s="50"/>
      <c r="F233" s="50"/>
      <c r="G233" s="50"/>
      <c r="H233" s="50"/>
      <c r="I233" s="50"/>
      <c r="J233" s="50"/>
      <c r="K233" s="50"/>
      <c r="L233" s="50"/>
      <c r="M233" s="50"/>
      <c r="N233" s="50"/>
      <c r="O233" s="50"/>
      <c r="P233" s="50"/>
      <c r="Q233" s="50"/>
      <c r="R233" s="50"/>
      <c r="S233" s="50"/>
      <c r="T233" s="50"/>
      <c r="U233" s="50"/>
      <c r="V233" s="50"/>
      <c r="W233" s="198"/>
    </row>
    <row r="234" ht="15.75" customHeight="1">
      <c r="B234" s="50"/>
      <c r="C234" s="50"/>
      <c r="D234" s="50"/>
      <c r="E234" s="50"/>
      <c r="F234" s="50"/>
      <c r="G234" s="50"/>
      <c r="H234" s="50"/>
      <c r="I234" s="50"/>
      <c r="J234" s="50"/>
      <c r="K234" s="50"/>
      <c r="L234" s="50"/>
      <c r="M234" s="50"/>
      <c r="N234" s="50"/>
      <c r="O234" s="50"/>
      <c r="P234" s="50"/>
      <c r="Q234" s="50"/>
      <c r="R234" s="50"/>
      <c r="S234" s="50"/>
      <c r="T234" s="50"/>
      <c r="U234" s="50"/>
      <c r="V234" s="50"/>
      <c r="W234" s="198"/>
    </row>
    <row r="235" ht="15.75" customHeight="1">
      <c r="B235" s="50"/>
      <c r="C235" s="50"/>
      <c r="D235" s="50"/>
      <c r="E235" s="50"/>
      <c r="F235" s="50"/>
      <c r="G235" s="50"/>
      <c r="H235" s="50"/>
      <c r="I235" s="50"/>
      <c r="J235" s="50"/>
      <c r="K235" s="50"/>
      <c r="L235" s="50"/>
      <c r="M235" s="50"/>
      <c r="N235" s="50"/>
      <c r="O235" s="50"/>
      <c r="P235" s="50"/>
      <c r="Q235" s="50"/>
      <c r="R235" s="50"/>
      <c r="S235" s="50"/>
      <c r="T235" s="50"/>
      <c r="U235" s="50"/>
      <c r="V235" s="50"/>
      <c r="W235" s="198"/>
    </row>
    <row r="236" ht="15.75" customHeight="1">
      <c r="B236" s="50"/>
      <c r="C236" s="50"/>
      <c r="D236" s="50"/>
      <c r="E236" s="50"/>
      <c r="F236" s="50"/>
      <c r="G236" s="50"/>
      <c r="H236" s="50"/>
      <c r="I236" s="50"/>
      <c r="J236" s="50"/>
      <c r="K236" s="50"/>
      <c r="L236" s="50"/>
      <c r="M236" s="50"/>
      <c r="N236" s="50"/>
      <c r="O236" s="50"/>
      <c r="P236" s="50"/>
      <c r="Q236" s="50"/>
      <c r="R236" s="50"/>
      <c r="S236" s="50"/>
      <c r="T236" s="50"/>
      <c r="U236" s="50"/>
      <c r="V236" s="50"/>
      <c r="W236" s="198"/>
    </row>
    <row r="237" ht="15.75" customHeight="1">
      <c r="B237" s="50"/>
      <c r="C237" s="50"/>
      <c r="D237" s="50"/>
      <c r="E237" s="50"/>
      <c r="F237" s="50"/>
      <c r="G237" s="50"/>
      <c r="H237" s="50"/>
      <c r="I237" s="50"/>
      <c r="J237" s="50"/>
      <c r="K237" s="50"/>
      <c r="L237" s="50"/>
      <c r="M237" s="50"/>
      <c r="N237" s="50"/>
      <c r="O237" s="50"/>
      <c r="P237" s="50"/>
      <c r="Q237" s="50"/>
      <c r="R237" s="50"/>
      <c r="S237" s="50"/>
      <c r="T237" s="50"/>
      <c r="U237" s="50"/>
      <c r="V237" s="50"/>
      <c r="W237" s="198"/>
    </row>
    <row r="238" ht="15.75" customHeight="1">
      <c r="B238" s="50"/>
      <c r="C238" s="50"/>
      <c r="D238" s="50"/>
      <c r="E238" s="50"/>
      <c r="F238" s="50"/>
      <c r="G238" s="50"/>
      <c r="H238" s="50"/>
      <c r="I238" s="50"/>
      <c r="J238" s="50"/>
      <c r="K238" s="50"/>
      <c r="L238" s="50"/>
      <c r="M238" s="50"/>
      <c r="N238" s="50"/>
      <c r="O238" s="50"/>
      <c r="P238" s="50"/>
      <c r="Q238" s="50"/>
      <c r="R238" s="50"/>
      <c r="S238" s="50"/>
      <c r="T238" s="50"/>
      <c r="U238" s="50"/>
      <c r="V238" s="50"/>
      <c r="W238" s="198"/>
    </row>
    <row r="239" ht="15.75" customHeight="1">
      <c r="B239" s="50"/>
      <c r="C239" s="50"/>
      <c r="D239" s="50"/>
      <c r="E239" s="50"/>
      <c r="F239" s="50"/>
      <c r="G239" s="50"/>
      <c r="H239" s="50"/>
      <c r="I239" s="50"/>
      <c r="J239" s="50"/>
      <c r="K239" s="50"/>
      <c r="L239" s="50"/>
      <c r="M239" s="50"/>
      <c r="N239" s="50"/>
      <c r="O239" s="50"/>
      <c r="P239" s="50"/>
      <c r="Q239" s="50"/>
      <c r="R239" s="50"/>
      <c r="S239" s="50"/>
      <c r="T239" s="50"/>
      <c r="U239" s="50"/>
      <c r="V239" s="50"/>
      <c r="W239" s="198"/>
    </row>
    <row r="240" ht="15.75" customHeight="1">
      <c r="B240" s="50"/>
      <c r="C240" s="50"/>
      <c r="D240" s="50"/>
      <c r="E240" s="50"/>
      <c r="F240" s="50"/>
      <c r="G240" s="50"/>
      <c r="H240" s="50"/>
      <c r="I240" s="50"/>
      <c r="J240" s="50"/>
      <c r="K240" s="50"/>
      <c r="L240" s="50"/>
      <c r="M240" s="50"/>
      <c r="N240" s="50"/>
      <c r="O240" s="50"/>
      <c r="P240" s="50"/>
      <c r="Q240" s="50"/>
      <c r="R240" s="50"/>
      <c r="S240" s="50"/>
      <c r="T240" s="50"/>
      <c r="U240" s="50"/>
      <c r="V240" s="50"/>
      <c r="W240" s="198"/>
    </row>
    <row r="241" ht="15.75" customHeight="1">
      <c r="B241" s="50"/>
      <c r="C241" s="50"/>
      <c r="D241" s="50"/>
      <c r="E241" s="50"/>
      <c r="F241" s="50"/>
      <c r="G241" s="50"/>
      <c r="H241" s="50"/>
      <c r="I241" s="50"/>
      <c r="J241" s="50"/>
      <c r="K241" s="50"/>
      <c r="L241" s="50"/>
      <c r="M241" s="50"/>
      <c r="N241" s="50"/>
      <c r="O241" s="50"/>
      <c r="P241" s="50"/>
      <c r="Q241" s="50"/>
      <c r="R241" s="50"/>
      <c r="S241" s="50"/>
      <c r="T241" s="50"/>
      <c r="U241" s="50"/>
      <c r="V241" s="50"/>
      <c r="W241" s="198"/>
    </row>
    <row r="242" ht="15.75" customHeight="1">
      <c r="B242" s="50"/>
      <c r="C242" s="50"/>
      <c r="D242" s="50"/>
      <c r="E242" s="50"/>
      <c r="F242" s="50"/>
      <c r="G242" s="50"/>
      <c r="H242" s="50"/>
      <c r="I242" s="50"/>
      <c r="J242" s="50"/>
      <c r="K242" s="50"/>
      <c r="L242" s="50"/>
      <c r="M242" s="50"/>
      <c r="N242" s="50"/>
      <c r="O242" s="50"/>
      <c r="P242" s="50"/>
      <c r="Q242" s="50"/>
      <c r="R242" s="50"/>
      <c r="S242" s="50"/>
      <c r="T242" s="50"/>
      <c r="U242" s="50"/>
      <c r="V242" s="50"/>
      <c r="W242" s="198"/>
    </row>
    <row r="243" ht="15.75" customHeight="1">
      <c r="B243" s="50"/>
      <c r="C243" s="50"/>
      <c r="D243" s="50"/>
      <c r="E243" s="50"/>
      <c r="F243" s="50"/>
      <c r="G243" s="50"/>
      <c r="H243" s="50"/>
      <c r="I243" s="50"/>
      <c r="J243" s="50"/>
      <c r="K243" s="50"/>
      <c r="L243" s="50"/>
      <c r="M243" s="50"/>
      <c r="N243" s="50"/>
      <c r="O243" s="50"/>
      <c r="P243" s="50"/>
      <c r="Q243" s="50"/>
      <c r="R243" s="50"/>
      <c r="S243" s="50"/>
      <c r="T243" s="50"/>
      <c r="U243" s="50"/>
      <c r="V243" s="50"/>
      <c r="W243" s="198"/>
    </row>
    <row r="244" ht="15.75" customHeight="1">
      <c r="B244" s="50"/>
      <c r="C244" s="50"/>
      <c r="D244" s="50"/>
      <c r="E244" s="50"/>
      <c r="F244" s="50"/>
      <c r="G244" s="50"/>
      <c r="H244" s="50"/>
      <c r="I244" s="50"/>
      <c r="J244" s="50"/>
      <c r="K244" s="50"/>
      <c r="L244" s="50"/>
      <c r="M244" s="50"/>
      <c r="N244" s="50"/>
      <c r="O244" s="50"/>
      <c r="P244" s="50"/>
      <c r="Q244" s="50"/>
      <c r="R244" s="50"/>
      <c r="S244" s="50"/>
      <c r="T244" s="50"/>
      <c r="U244" s="50"/>
      <c r="V244" s="50"/>
      <c r="W244" s="198"/>
    </row>
    <row r="245" ht="15.75" customHeight="1">
      <c r="B245" s="50"/>
      <c r="C245" s="50"/>
      <c r="D245" s="50"/>
      <c r="E245" s="50"/>
      <c r="F245" s="50"/>
      <c r="G245" s="50"/>
      <c r="H245" s="50"/>
      <c r="I245" s="50"/>
      <c r="J245" s="50"/>
      <c r="K245" s="50"/>
      <c r="L245" s="50"/>
      <c r="M245" s="50"/>
      <c r="N245" s="50"/>
      <c r="O245" s="50"/>
      <c r="P245" s="50"/>
      <c r="Q245" s="50"/>
      <c r="R245" s="50"/>
      <c r="S245" s="50"/>
      <c r="T245" s="50"/>
      <c r="U245" s="50"/>
      <c r="V245" s="50"/>
      <c r="W245" s="198"/>
    </row>
    <row r="246" ht="15.75" customHeight="1">
      <c r="B246" s="50"/>
      <c r="C246" s="50"/>
      <c r="D246" s="50"/>
      <c r="E246" s="50"/>
      <c r="F246" s="50"/>
      <c r="G246" s="50"/>
      <c r="H246" s="50"/>
      <c r="I246" s="50"/>
      <c r="J246" s="50"/>
      <c r="K246" s="50"/>
      <c r="L246" s="50"/>
      <c r="M246" s="50"/>
      <c r="N246" s="50"/>
      <c r="O246" s="50"/>
      <c r="P246" s="50"/>
      <c r="Q246" s="50"/>
      <c r="R246" s="50"/>
      <c r="S246" s="50"/>
      <c r="T246" s="50"/>
      <c r="U246" s="50"/>
      <c r="V246" s="50"/>
      <c r="W246" s="198"/>
    </row>
    <row r="247" ht="15.75" customHeight="1">
      <c r="B247" s="50"/>
      <c r="C247" s="50"/>
      <c r="D247" s="50"/>
      <c r="E247" s="50"/>
      <c r="F247" s="50"/>
      <c r="G247" s="50"/>
      <c r="H247" s="50"/>
      <c r="I247" s="50"/>
      <c r="J247" s="50"/>
      <c r="K247" s="50"/>
      <c r="L247" s="50"/>
      <c r="M247" s="50"/>
      <c r="N247" s="50"/>
      <c r="O247" s="50"/>
      <c r="P247" s="50"/>
      <c r="Q247" s="50"/>
      <c r="R247" s="50"/>
      <c r="S247" s="50"/>
      <c r="T247" s="50"/>
      <c r="U247" s="50"/>
      <c r="V247" s="50"/>
      <c r="W247" s="198"/>
    </row>
    <row r="248" ht="15.75" customHeight="1">
      <c r="B248" s="50"/>
      <c r="C248" s="50"/>
      <c r="D248" s="50"/>
      <c r="E248" s="50"/>
      <c r="F248" s="50"/>
      <c r="G248" s="50"/>
      <c r="H248" s="50"/>
      <c r="I248" s="50"/>
      <c r="J248" s="50"/>
      <c r="K248" s="50"/>
      <c r="L248" s="50"/>
      <c r="M248" s="50"/>
      <c r="N248" s="50"/>
      <c r="O248" s="50"/>
      <c r="P248" s="50"/>
      <c r="Q248" s="50"/>
      <c r="R248" s="50"/>
      <c r="S248" s="50"/>
      <c r="T248" s="50"/>
      <c r="U248" s="50"/>
      <c r="V248" s="50"/>
      <c r="W248" s="198"/>
    </row>
    <row r="249" ht="15.75" customHeight="1">
      <c r="B249" s="50"/>
      <c r="C249" s="50"/>
      <c r="D249" s="50"/>
      <c r="E249" s="50"/>
      <c r="F249" s="50"/>
      <c r="G249" s="50"/>
      <c r="H249" s="50"/>
      <c r="I249" s="50"/>
      <c r="J249" s="50"/>
      <c r="K249" s="50"/>
      <c r="L249" s="50"/>
      <c r="M249" s="50"/>
      <c r="N249" s="50"/>
      <c r="O249" s="50"/>
      <c r="P249" s="50"/>
      <c r="Q249" s="50"/>
      <c r="R249" s="50"/>
      <c r="S249" s="50"/>
      <c r="T249" s="50"/>
      <c r="U249" s="50"/>
      <c r="V249" s="50"/>
      <c r="W249" s="198"/>
    </row>
    <row r="250" ht="15.75" customHeight="1">
      <c r="B250" s="50"/>
      <c r="C250" s="50"/>
      <c r="D250" s="50"/>
      <c r="E250" s="50"/>
      <c r="F250" s="50"/>
      <c r="G250" s="50"/>
      <c r="H250" s="50"/>
      <c r="I250" s="50"/>
      <c r="J250" s="50"/>
      <c r="K250" s="50"/>
      <c r="L250" s="50"/>
      <c r="M250" s="50"/>
      <c r="N250" s="50"/>
      <c r="O250" s="50"/>
      <c r="P250" s="50"/>
      <c r="Q250" s="50"/>
      <c r="R250" s="50"/>
      <c r="S250" s="50"/>
      <c r="T250" s="50"/>
      <c r="U250" s="50"/>
      <c r="V250" s="50"/>
      <c r="W250" s="198"/>
    </row>
    <row r="251" ht="15.75" customHeight="1">
      <c r="B251" s="50"/>
      <c r="C251" s="50"/>
      <c r="D251" s="50"/>
      <c r="E251" s="50"/>
      <c r="F251" s="50"/>
      <c r="G251" s="50"/>
      <c r="H251" s="50"/>
      <c r="I251" s="50"/>
      <c r="J251" s="50"/>
      <c r="K251" s="50"/>
      <c r="L251" s="50"/>
      <c r="M251" s="50"/>
      <c r="N251" s="50"/>
      <c r="O251" s="50"/>
      <c r="P251" s="50"/>
      <c r="Q251" s="50"/>
      <c r="R251" s="50"/>
      <c r="S251" s="50"/>
      <c r="T251" s="50"/>
      <c r="U251" s="50"/>
      <c r="V251" s="50"/>
      <c r="W251" s="198"/>
    </row>
    <row r="252" ht="15.75" customHeight="1">
      <c r="B252" s="50"/>
      <c r="C252" s="50"/>
      <c r="D252" s="50"/>
      <c r="E252" s="50"/>
      <c r="F252" s="50"/>
      <c r="G252" s="50"/>
      <c r="H252" s="50"/>
      <c r="I252" s="50"/>
      <c r="J252" s="50"/>
      <c r="K252" s="50"/>
      <c r="L252" s="50"/>
      <c r="M252" s="50"/>
      <c r="N252" s="50"/>
      <c r="O252" s="50"/>
      <c r="P252" s="50"/>
      <c r="Q252" s="50"/>
      <c r="R252" s="50"/>
      <c r="S252" s="50"/>
      <c r="T252" s="50"/>
      <c r="U252" s="50"/>
      <c r="V252" s="50"/>
      <c r="W252" s="198"/>
    </row>
    <row r="253" ht="15.75" customHeight="1">
      <c r="B253" s="50"/>
      <c r="C253" s="50"/>
      <c r="D253" s="50"/>
      <c r="E253" s="50"/>
      <c r="F253" s="50"/>
      <c r="G253" s="50"/>
      <c r="H253" s="50"/>
      <c r="I253" s="50"/>
      <c r="J253" s="50"/>
      <c r="K253" s="50"/>
      <c r="L253" s="50"/>
      <c r="M253" s="50"/>
      <c r="N253" s="50"/>
      <c r="O253" s="50"/>
      <c r="P253" s="50"/>
      <c r="Q253" s="50"/>
      <c r="R253" s="50"/>
      <c r="S253" s="50"/>
      <c r="T253" s="50"/>
      <c r="U253" s="50"/>
      <c r="V253" s="50"/>
      <c r="W253" s="198"/>
    </row>
    <row r="254" ht="15.75" customHeight="1">
      <c r="B254" s="50"/>
      <c r="C254" s="50"/>
      <c r="D254" s="50"/>
      <c r="E254" s="50"/>
      <c r="F254" s="50"/>
      <c r="G254" s="50"/>
      <c r="H254" s="50"/>
      <c r="I254" s="50"/>
      <c r="J254" s="50"/>
      <c r="K254" s="50"/>
      <c r="L254" s="50"/>
      <c r="M254" s="50"/>
      <c r="N254" s="50"/>
      <c r="O254" s="50"/>
      <c r="P254" s="50"/>
      <c r="Q254" s="50"/>
      <c r="R254" s="50"/>
      <c r="S254" s="50"/>
      <c r="T254" s="50"/>
      <c r="U254" s="50"/>
      <c r="V254" s="50"/>
      <c r="W254" s="198"/>
    </row>
    <row r="255" ht="15.75" customHeight="1">
      <c r="B255" s="50"/>
      <c r="C255" s="50"/>
      <c r="D255" s="50"/>
      <c r="E255" s="50"/>
      <c r="F255" s="50"/>
      <c r="G255" s="50"/>
      <c r="H255" s="50"/>
      <c r="I255" s="50"/>
      <c r="J255" s="50"/>
      <c r="K255" s="50"/>
      <c r="L255" s="50"/>
      <c r="M255" s="50"/>
      <c r="N255" s="50"/>
      <c r="O255" s="50"/>
      <c r="P255" s="50"/>
      <c r="Q255" s="50"/>
      <c r="R255" s="50"/>
      <c r="S255" s="50"/>
      <c r="T255" s="50"/>
      <c r="U255" s="50"/>
      <c r="V255" s="50"/>
      <c r="W255" s="198"/>
    </row>
    <row r="256" ht="15.75" customHeight="1">
      <c r="B256" s="50"/>
      <c r="C256" s="50"/>
      <c r="D256" s="50"/>
      <c r="E256" s="50"/>
      <c r="F256" s="50"/>
      <c r="G256" s="50"/>
      <c r="H256" s="50"/>
      <c r="I256" s="50"/>
      <c r="J256" s="50"/>
      <c r="K256" s="50"/>
      <c r="L256" s="50"/>
      <c r="M256" s="50"/>
      <c r="N256" s="50"/>
      <c r="O256" s="50"/>
      <c r="P256" s="50"/>
      <c r="Q256" s="50"/>
      <c r="R256" s="50"/>
      <c r="S256" s="50"/>
      <c r="T256" s="50"/>
      <c r="U256" s="50"/>
      <c r="V256" s="50"/>
      <c r="W256" s="198"/>
    </row>
    <row r="257" ht="15.75" customHeight="1">
      <c r="B257" s="50"/>
      <c r="C257" s="50"/>
      <c r="D257" s="50"/>
      <c r="E257" s="50"/>
      <c r="F257" s="50"/>
      <c r="G257" s="50"/>
      <c r="H257" s="50"/>
      <c r="I257" s="50"/>
      <c r="J257" s="50"/>
      <c r="K257" s="50"/>
      <c r="L257" s="50"/>
      <c r="M257" s="50"/>
      <c r="N257" s="50"/>
      <c r="O257" s="50"/>
      <c r="P257" s="50"/>
      <c r="Q257" s="50"/>
      <c r="R257" s="50"/>
      <c r="S257" s="50"/>
      <c r="T257" s="50"/>
      <c r="U257" s="50"/>
      <c r="V257" s="50"/>
      <c r="W257" s="198"/>
    </row>
    <row r="258" ht="15.75" customHeight="1">
      <c r="B258" s="50"/>
      <c r="C258" s="50"/>
      <c r="D258" s="50"/>
      <c r="E258" s="50"/>
      <c r="F258" s="50"/>
      <c r="G258" s="50"/>
      <c r="H258" s="50"/>
      <c r="I258" s="50"/>
      <c r="J258" s="50"/>
      <c r="K258" s="50"/>
      <c r="L258" s="50"/>
      <c r="M258" s="50"/>
      <c r="N258" s="50"/>
      <c r="O258" s="50"/>
      <c r="P258" s="50"/>
      <c r="Q258" s="50"/>
      <c r="R258" s="50"/>
      <c r="S258" s="50"/>
      <c r="T258" s="50"/>
      <c r="U258" s="50"/>
      <c r="V258" s="50"/>
      <c r="W258" s="198"/>
    </row>
    <row r="259" ht="15.75" customHeight="1">
      <c r="B259" s="50"/>
      <c r="C259" s="50"/>
      <c r="D259" s="50"/>
      <c r="E259" s="50"/>
      <c r="F259" s="50"/>
      <c r="G259" s="50"/>
      <c r="H259" s="50"/>
      <c r="I259" s="50"/>
      <c r="J259" s="50"/>
      <c r="K259" s="50"/>
      <c r="L259" s="50"/>
      <c r="M259" s="50"/>
      <c r="N259" s="50"/>
      <c r="O259" s="50"/>
      <c r="P259" s="50"/>
      <c r="Q259" s="50"/>
      <c r="R259" s="50"/>
      <c r="S259" s="50"/>
      <c r="T259" s="50"/>
      <c r="U259" s="50"/>
      <c r="V259" s="50"/>
      <c r="W259" s="198"/>
    </row>
    <row r="260" ht="15.75" customHeight="1">
      <c r="B260" s="50"/>
      <c r="C260" s="50"/>
      <c r="D260" s="50"/>
      <c r="E260" s="50"/>
      <c r="F260" s="50"/>
      <c r="G260" s="50"/>
      <c r="H260" s="50"/>
      <c r="I260" s="50"/>
      <c r="J260" s="50"/>
      <c r="K260" s="50"/>
      <c r="L260" s="50"/>
      <c r="M260" s="50"/>
      <c r="N260" s="50"/>
      <c r="O260" s="50"/>
      <c r="P260" s="50"/>
      <c r="Q260" s="50"/>
      <c r="R260" s="50"/>
      <c r="S260" s="50"/>
      <c r="T260" s="50"/>
      <c r="U260" s="50"/>
      <c r="V260" s="50"/>
      <c r="W260" s="198"/>
    </row>
    <row r="261" ht="15.75" customHeight="1">
      <c r="B261" s="50"/>
      <c r="C261" s="50"/>
      <c r="D261" s="50"/>
      <c r="E261" s="50"/>
      <c r="F261" s="50"/>
      <c r="G261" s="50"/>
      <c r="H261" s="50"/>
      <c r="I261" s="50"/>
      <c r="J261" s="50"/>
      <c r="K261" s="50"/>
      <c r="L261" s="50"/>
      <c r="M261" s="50"/>
      <c r="N261" s="50"/>
      <c r="O261" s="50"/>
      <c r="P261" s="50"/>
      <c r="Q261" s="50"/>
      <c r="R261" s="50"/>
      <c r="S261" s="50"/>
      <c r="T261" s="50"/>
      <c r="U261" s="50"/>
      <c r="V261" s="50"/>
      <c r="W261" s="198"/>
    </row>
    <row r="262" ht="15.75" customHeight="1">
      <c r="B262" s="50"/>
      <c r="C262" s="50"/>
      <c r="D262" s="50"/>
      <c r="E262" s="50"/>
      <c r="F262" s="50"/>
      <c r="G262" s="50"/>
      <c r="H262" s="50"/>
      <c r="I262" s="50"/>
      <c r="J262" s="50"/>
      <c r="K262" s="50"/>
      <c r="L262" s="50"/>
      <c r="M262" s="50"/>
      <c r="N262" s="50"/>
      <c r="O262" s="50"/>
      <c r="P262" s="50"/>
      <c r="Q262" s="50"/>
      <c r="R262" s="50"/>
      <c r="S262" s="50"/>
      <c r="T262" s="50"/>
      <c r="U262" s="50"/>
      <c r="V262" s="50"/>
      <c r="W262" s="198"/>
    </row>
    <row r="263" ht="15.75" customHeight="1">
      <c r="B263" s="50"/>
      <c r="C263" s="50"/>
      <c r="D263" s="50"/>
      <c r="E263" s="50"/>
      <c r="F263" s="50"/>
      <c r="G263" s="50"/>
      <c r="H263" s="50"/>
      <c r="I263" s="50"/>
      <c r="J263" s="50"/>
      <c r="K263" s="50"/>
      <c r="L263" s="50"/>
      <c r="M263" s="50"/>
      <c r="N263" s="50"/>
      <c r="O263" s="50"/>
      <c r="P263" s="50"/>
      <c r="Q263" s="50"/>
      <c r="R263" s="50"/>
      <c r="S263" s="50"/>
      <c r="T263" s="50"/>
      <c r="U263" s="50"/>
      <c r="V263" s="50"/>
      <c r="W263" s="198"/>
    </row>
    <row r="264" ht="15.75" customHeight="1">
      <c r="B264" s="50"/>
      <c r="C264" s="50"/>
      <c r="D264" s="50"/>
      <c r="E264" s="50"/>
      <c r="F264" s="50"/>
      <c r="G264" s="50"/>
      <c r="H264" s="50"/>
      <c r="I264" s="50"/>
      <c r="J264" s="50"/>
      <c r="K264" s="50"/>
      <c r="L264" s="50"/>
      <c r="M264" s="50"/>
      <c r="N264" s="50"/>
      <c r="O264" s="50"/>
      <c r="P264" s="50"/>
      <c r="Q264" s="50"/>
      <c r="R264" s="50"/>
      <c r="S264" s="50"/>
      <c r="T264" s="50"/>
      <c r="U264" s="50"/>
      <c r="V264" s="50"/>
      <c r="W264" s="198"/>
    </row>
    <row r="265" ht="15.75" customHeight="1">
      <c r="B265" s="50"/>
      <c r="C265" s="50"/>
      <c r="D265" s="50"/>
      <c r="E265" s="50"/>
      <c r="F265" s="50"/>
      <c r="G265" s="50"/>
      <c r="H265" s="50"/>
      <c r="I265" s="50"/>
      <c r="J265" s="50"/>
      <c r="K265" s="50"/>
      <c r="L265" s="50"/>
      <c r="M265" s="50"/>
      <c r="N265" s="50"/>
      <c r="O265" s="50"/>
      <c r="P265" s="50"/>
      <c r="Q265" s="50"/>
      <c r="R265" s="50"/>
      <c r="S265" s="50"/>
      <c r="T265" s="50"/>
      <c r="U265" s="50"/>
      <c r="V265" s="50"/>
      <c r="W265" s="198"/>
    </row>
    <row r="266" ht="15.75" customHeight="1">
      <c r="B266" s="50"/>
      <c r="C266" s="50"/>
      <c r="D266" s="50"/>
      <c r="E266" s="50"/>
      <c r="F266" s="50"/>
      <c r="G266" s="50"/>
      <c r="H266" s="50"/>
      <c r="I266" s="50"/>
      <c r="J266" s="50"/>
      <c r="K266" s="50"/>
      <c r="L266" s="50"/>
      <c r="M266" s="50"/>
      <c r="N266" s="50"/>
      <c r="O266" s="50"/>
      <c r="P266" s="50"/>
      <c r="Q266" s="50"/>
      <c r="R266" s="50"/>
      <c r="S266" s="50"/>
      <c r="T266" s="50"/>
      <c r="U266" s="50"/>
      <c r="V266" s="50"/>
      <c r="W266" s="198"/>
    </row>
    <row r="267" ht="15.75" customHeight="1">
      <c r="B267" s="50"/>
      <c r="C267" s="50"/>
      <c r="D267" s="50"/>
      <c r="E267" s="50"/>
      <c r="F267" s="50"/>
      <c r="G267" s="50"/>
      <c r="H267" s="50"/>
      <c r="I267" s="50"/>
      <c r="J267" s="50"/>
      <c r="K267" s="50"/>
      <c r="L267" s="50"/>
      <c r="M267" s="50"/>
      <c r="N267" s="50"/>
      <c r="O267" s="50"/>
      <c r="P267" s="50"/>
      <c r="Q267" s="50"/>
      <c r="R267" s="50"/>
      <c r="S267" s="50"/>
      <c r="T267" s="50"/>
      <c r="U267" s="50"/>
      <c r="V267" s="50"/>
      <c r="W267" s="198"/>
    </row>
    <row r="268" ht="15.75" customHeight="1">
      <c r="B268" s="50"/>
      <c r="C268" s="50"/>
      <c r="D268" s="50"/>
      <c r="E268" s="50"/>
      <c r="F268" s="50"/>
      <c r="G268" s="50"/>
      <c r="H268" s="50"/>
      <c r="I268" s="50"/>
      <c r="J268" s="50"/>
      <c r="K268" s="50"/>
      <c r="L268" s="50"/>
      <c r="M268" s="50"/>
      <c r="N268" s="50"/>
      <c r="O268" s="50"/>
      <c r="P268" s="50"/>
      <c r="Q268" s="50"/>
      <c r="R268" s="50"/>
      <c r="S268" s="50"/>
      <c r="T268" s="50"/>
      <c r="U268" s="50"/>
      <c r="V268" s="50"/>
      <c r="W268" s="198"/>
    </row>
    <row r="269" ht="15.75" customHeight="1">
      <c r="B269" s="50"/>
      <c r="C269" s="50"/>
      <c r="D269" s="50"/>
      <c r="E269" s="50"/>
      <c r="F269" s="50"/>
      <c r="G269" s="50"/>
      <c r="H269" s="50"/>
      <c r="I269" s="50"/>
      <c r="J269" s="50"/>
      <c r="K269" s="50"/>
      <c r="L269" s="50"/>
      <c r="M269" s="50"/>
      <c r="N269" s="50"/>
      <c r="O269" s="50"/>
      <c r="P269" s="50"/>
      <c r="Q269" s="50"/>
      <c r="R269" s="50"/>
      <c r="S269" s="50"/>
      <c r="T269" s="50"/>
      <c r="U269" s="50"/>
      <c r="V269" s="50"/>
      <c r="W269" s="198"/>
    </row>
    <row r="270" ht="15.75" customHeight="1">
      <c r="B270" s="50"/>
      <c r="C270" s="50"/>
      <c r="D270" s="50"/>
      <c r="E270" s="50"/>
      <c r="F270" s="50"/>
      <c r="G270" s="50"/>
      <c r="H270" s="50"/>
      <c r="I270" s="50"/>
      <c r="J270" s="50"/>
      <c r="K270" s="50"/>
      <c r="L270" s="50"/>
      <c r="M270" s="50"/>
      <c r="N270" s="50"/>
      <c r="O270" s="50"/>
      <c r="P270" s="50"/>
      <c r="Q270" s="50"/>
      <c r="R270" s="50"/>
      <c r="S270" s="50"/>
      <c r="T270" s="50"/>
      <c r="U270" s="50"/>
      <c r="V270" s="50"/>
      <c r="W270" s="198"/>
    </row>
    <row r="271" ht="15.75" customHeight="1">
      <c r="B271" s="50"/>
      <c r="C271" s="50"/>
      <c r="D271" s="50"/>
      <c r="E271" s="50"/>
      <c r="F271" s="50"/>
      <c r="G271" s="50"/>
      <c r="H271" s="50"/>
      <c r="I271" s="50"/>
      <c r="J271" s="50"/>
      <c r="K271" s="50"/>
      <c r="L271" s="50"/>
      <c r="M271" s="50"/>
      <c r="N271" s="50"/>
      <c r="O271" s="50"/>
      <c r="P271" s="50"/>
      <c r="Q271" s="50"/>
      <c r="R271" s="50"/>
      <c r="S271" s="50"/>
      <c r="T271" s="50"/>
      <c r="U271" s="50"/>
      <c r="V271" s="50"/>
      <c r="W271" s="198"/>
    </row>
    <row r="272" ht="15.75" customHeight="1">
      <c r="B272" s="50"/>
      <c r="C272" s="50"/>
      <c r="D272" s="50"/>
      <c r="E272" s="50"/>
      <c r="F272" s="50"/>
      <c r="G272" s="50"/>
      <c r="H272" s="50"/>
      <c r="I272" s="50"/>
      <c r="J272" s="50"/>
      <c r="K272" s="50"/>
      <c r="L272" s="50"/>
      <c r="M272" s="50"/>
      <c r="N272" s="50"/>
      <c r="O272" s="50"/>
      <c r="P272" s="50"/>
      <c r="Q272" s="50"/>
      <c r="R272" s="50"/>
      <c r="S272" s="50"/>
      <c r="T272" s="50"/>
      <c r="U272" s="50"/>
      <c r="V272" s="50"/>
      <c r="W272" s="198"/>
    </row>
    <row r="273" ht="15.75" customHeight="1">
      <c r="B273" s="198"/>
      <c r="C273" s="198"/>
      <c r="D273" s="198"/>
      <c r="E273" s="198"/>
      <c r="F273" s="198"/>
      <c r="G273" s="198"/>
      <c r="H273" s="198"/>
      <c r="I273" s="198"/>
      <c r="J273" s="198"/>
      <c r="K273" s="198"/>
      <c r="L273" s="198"/>
      <c r="M273" s="198"/>
      <c r="N273" s="198"/>
      <c r="O273" s="198"/>
      <c r="P273" s="198"/>
      <c r="Q273" s="198"/>
      <c r="R273" s="198"/>
      <c r="S273" s="198"/>
      <c r="T273" s="198"/>
      <c r="U273" s="198"/>
      <c r="V273" s="198"/>
      <c r="W273" s="198"/>
    </row>
    <row r="274" ht="15.75" customHeight="1">
      <c r="B274" s="198"/>
      <c r="C274" s="198"/>
      <c r="D274" s="198"/>
      <c r="E274" s="198"/>
      <c r="F274" s="198"/>
      <c r="G274" s="198"/>
      <c r="H274" s="198"/>
      <c r="I274" s="198"/>
      <c r="J274" s="198"/>
      <c r="K274" s="198"/>
      <c r="L274" s="198"/>
      <c r="M274" s="198"/>
      <c r="N274" s="198"/>
      <c r="O274" s="198"/>
      <c r="P274" s="198"/>
      <c r="Q274" s="198"/>
      <c r="R274" s="198"/>
      <c r="S274" s="198"/>
      <c r="T274" s="198"/>
      <c r="U274" s="198"/>
      <c r="V274" s="198"/>
      <c r="W274" s="198"/>
    </row>
    <row r="275" ht="15.75" customHeight="1">
      <c r="B275" s="198"/>
      <c r="C275" s="198"/>
      <c r="D275" s="198"/>
      <c r="E275" s="198"/>
      <c r="F275" s="198"/>
      <c r="G275" s="198"/>
      <c r="H275" s="198"/>
      <c r="I275" s="198"/>
      <c r="J275" s="198"/>
      <c r="K275" s="198"/>
      <c r="L275" s="198"/>
      <c r="M275" s="198"/>
      <c r="N275" s="198"/>
      <c r="O275" s="198"/>
      <c r="P275" s="198"/>
      <c r="Q275" s="198"/>
      <c r="R275" s="198"/>
      <c r="S275" s="198"/>
      <c r="T275" s="198"/>
      <c r="U275" s="198"/>
      <c r="V275" s="198"/>
      <c r="W275" s="198"/>
    </row>
    <row r="276" ht="15.75" customHeight="1">
      <c r="B276" s="198"/>
      <c r="C276" s="198"/>
      <c r="D276" s="198"/>
      <c r="E276" s="198"/>
      <c r="F276" s="198"/>
      <c r="G276" s="198"/>
      <c r="H276" s="198"/>
      <c r="I276" s="198"/>
      <c r="J276" s="198"/>
      <c r="K276" s="198"/>
      <c r="L276" s="198"/>
      <c r="M276" s="198"/>
      <c r="N276" s="198"/>
      <c r="O276" s="198"/>
      <c r="P276" s="198"/>
      <c r="Q276" s="198"/>
      <c r="R276" s="198"/>
      <c r="S276" s="198"/>
      <c r="T276" s="198"/>
      <c r="U276" s="198"/>
      <c r="V276" s="198"/>
      <c r="W276" s="198"/>
    </row>
    <row r="277" ht="15.75" customHeight="1">
      <c r="B277" s="198"/>
      <c r="C277" s="584" t="s">
        <v>6004</v>
      </c>
      <c r="D277" s="198"/>
      <c r="E277" s="198"/>
      <c r="F277" s="198"/>
      <c r="G277" s="198"/>
      <c r="H277" s="198"/>
      <c r="I277" s="198"/>
      <c r="J277" s="198"/>
      <c r="K277" s="198"/>
      <c r="L277" s="198"/>
      <c r="M277" s="198"/>
      <c r="N277" s="198"/>
      <c r="O277" s="198"/>
      <c r="P277" s="198"/>
      <c r="Q277" s="198"/>
      <c r="R277" s="198"/>
      <c r="S277" s="198"/>
      <c r="T277" s="198"/>
      <c r="U277" s="198"/>
      <c r="V277" s="198"/>
      <c r="W277" s="198"/>
    </row>
    <row r="278" ht="15.75" customHeight="1">
      <c r="B278" s="198"/>
      <c r="C278" s="585" t="s">
        <v>6005</v>
      </c>
      <c r="D278" s="586"/>
      <c r="E278" s="198"/>
      <c r="F278" s="198"/>
      <c r="G278" s="198"/>
      <c r="H278" s="198"/>
      <c r="I278" s="198"/>
      <c r="J278" s="198"/>
      <c r="K278" s="198"/>
      <c r="L278" s="198"/>
      <c r="M278" s="198"/>
      <c r="N278" s="198"/>
      <c r="O278" s="198"/>
      <c r="P278" s="198"/>
      <c r="Q278" s="198"/>
      <c r="R278" s="198"/>
      <c r="S278" s="198"/>
      <c r="T278" s="198"/>
      <c r="U278" s="198"/>
      <c r="V278" s="198"/>
      <c r="W278" s="198"/>
    </row>
    <row r="279" ht="15.75" customHeight="1">
      <c r="B279" s="198"/>
      <c r="C279" s="585" t="s">
        <v>5010</v>
      </c>
      <c r="D279" s="587"/>
      <c r="E279" s="198"/>
      <c r="F279" s="198"/>
      <c r="G279" s="198"/>
      <c r="H279" s="198"/>
      <c r="I279" s="198"/>
      <c r="J279" s="198"/>
      <c r="K279" s="198"/>
      <c r="L279" s="198"/>
      <c r="M279" s="198"/>
      <c r="N279" s="198"/>
      <c r="O279" s="198"/>
      <c r="P279" s="198"/>
      <c r="Q279" s="198"/>
      <c r="R279" s="198"/>
      <c r="S279" s="198"/>
      <c r="T279" s="198"/>
      <c r="U279" s="198"/>
      <c r="V279" s="198"/>
      <c r="W279" s="198"/>
    </row>
    <row r="280" ht="15.75" customHeight="1">
      <c r="B280" s="198"/>
      <c r="C280" s="198"/>
      <c r="D280" s="198"/>
      <c r="E280" s="198"/>
      <c r="F280" s="198"/>
      <c r="G280" s="198"/>
      <c r="H280" s="198"/>
      <c r="I280" s="198"/>
      <c r="J280" s="198"/>
      <c r="K280" s="198"/>
      <c r="L280" s="198"/>
      <c r="M280" s="198"/>
      <c r="N280" s="198"/>
      <c r="O280" s="198"/>
      <c r="P280" s="198"/>
      <c r="Q280" s="198"/>
      <c r="R280" s="198"/>
      <c r="S280" s="198"/>
      <c r="T280" s="198"/>
      <c r="U280" s="198"/>
      <c r="V280" s="198"/>
      <c r="W280" s="198"/>
    </row>
    <row r="281" ht="15.75" customHeight="1">
      <c r="B281" s="198"/>
      <c r="C281" s="198"/>
      <c r="D281" s="198"/>
      <c r="E281" s="198"/>
      <c r="F281" s="198"/>
      <c r="G281" s="198"/>
      <c r="H281" s="198"/>
      <c r="I281" s="198"/>
      <c r="J281" s="198"/>
      <c r="K281" s="198"/>
      <c r="L281" s="198"/>
      <c r="M281" s="198"/>
      <c r="N281" s="198"/>
      <c r="O281" s="198"/>
      <c r="P281" s="198"/>
      <c r="Q281" s="198"/>
      <c r="R281" s="198"/>
      <c r="S281" s="198"/>
      <c r="T281" s="198"/>
      <c r="U281" s="198"/>
      <c r="V281" s="198"/>
      <c r="W281" s="198"/>
    </row>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autoFilter ref="$A$4:$Z$154"/>
  <mergeCells count="136">
    <mergeCell ref="H83:H101"/>
    <mergeCell ref="I83:I101"/>
    <mergeCell ref="B73:B82"/>
    <mergeCell ref="B83:B101"/>
    <mergeCell ref="C83:C101"/>
    <mergeCell ref="D83:D101"/>
    <mergeCell ref="E83:E101"/>
    <mergeCell ref="F83:F101"/>
    <mergeCell ref="G83:G101"/>
    <mergeCell ref="H127:H138"/>
    <mergeCell ref="I127:I138"/>
    <mergeCell ref="B120:B126"/>
    <mergeCell ref="B127:B138"/>
    <mergeCell ref="C127:C138"/>
    <mergeCell ref="D127:D138"/>
    <mergeCell ref="E127:E138"/>
    <mergeCell ref="F127:F138"/>
    <mergeCell ref="G127:G138"/>
    <mergeCell ref="C5:C6"/>
    <mergeCell ref="D5:D6"/>
    <mergeCell ref="E5:E6"/>
    <mergeCell ref="F5:F6"/>
    <mergeCell ref="G5:G6"/>
    <mergeCell ref="H5:H6"/>
    <mergeCell ref="I5:I6"/>
    <mergeCell ref="H9:H16"/>
    <mergeCell ref="I9:I16"/>
    <mergeCell ref="B5:B6"/>
    <mergeCell ref="B7:B16"/>
    <mergeCell ref="C7:C16"/>
    <mergeCell ref="D7:D16"/>
    <mergeCell ref="E7:E16"/>
    <mergeCell ref="F7:F16"/>
    <mergeCell ref="G7:G16"/>
    <mergeCell ref="C17:C29"/>
    <mergeCell ref="D17:D29"/>
    <mergeCell ref="E17:E29"/>
    <mergeCell ref="F17:F29"/>
    <mergeCell ref="G17:G29"/>
    <mergeCell ref="H17:H29"/>
    <mergeCell ref="I17:I29"/>
    <mergeCell ref="H33:H34"/>
    <mergeCell ref="I33:I34"/>
    <mergeCell ref="B17:B29"/>
    <mergeCell ref="B33:B34"/>
    <mergeCell ref="C33:C34"/>
    <mergeCell ref="D33:D34"/>
    <mergeCell ref="E33:E34"/>
    <mergeCell ref="F33:F34"/>
    <mergeCell ref="G33:G34"/>
    <mergeCell ref="B139:B143"/>
    <mergeCell ref="C139:C143"/>
    <mergeCell ref="D139:D143"/>
    <mergeCell ref="E139:E143"/>
    <mergeCell ref="F139:F143"/>
    <mergeCell ref="G139:G143"/>
    <mergeCell ref="H139:H143"/>
    <mergeCell ref="I139:I143"/>
    <mergeCell ref="C37:C41"/>
    <mergeCell ref="D37:D41"/>
    <mergeCell ref="E37:E41"/>
    <mergeCell ref="F37:F41"/>
    <mergeCell ref="G37:G41"/>
    <mergeCell ref="H37:H41"/>
    <mergeCell ref="I37:I41"/>
    <mergeCell ref="B37:B41"/>
    <mergeCell ref="B44:B49"/>
    <mergeCell ref="C44:C49"/>
    <mergeCell ref="D44:D49"/>
    <mergeCell ref="E44:E49"/>
    <mergeCell ref="F44:F49"/>
    <mergeCell ref="G44:G49"/>
    <mergeCell ref="G50:G52"/>
    <mergeCell ref="H50:H52"/>
    <mergeCell ref="H44:H49"/>
    <mergeCell ref="I44:I49"/>
    <mergeCell ref="C50:C52"/>
    <mergeCell ref="D50:D52"/>
    <mergeCell ref="E50:E52"/>
    <mergeCell ref="F50:F52"/>
    <mergeCell ref="I50:I52"/>
    <mergeCell ref="H53:H60"/>
    <mergeCell ref="I53:I60"/>
    <mergeCell ref="B50:B52"/>
    <mergeCell ref="B53:B60"/>
    <mergeCell ref="C53:C60"/>
    <mergeCell ref="D53:D60"/>
    <mergeCell ref="E53:E60"/>
    <mergeCell ref="F53:F60"/>
    <mergeCell ref="G53:G60"/>
    <mergeCell ref="C62:C63"/>
    <mergeCell ref="D62:D63"/>
    <mergeCell ref="E62:E63"/>
    <mergeCell ref="F62:F63"/>
    <mergeCell ref="G62:G63"/>
    <mergeCell ref="H62:H63"/>
    <mergeCell ref="I62:I63"/>
    <mergeCell ref="B62:B63"/>
    <mergeCell ref="B64:B68"/>
    <mergeCell ref="C64:C68"/>
    <mergeCell ref="D64:D68"/>
    <mergeCell ref="E64:E68"/>
    <mergeCell ref="F64:F68"/>
    <mergeCell ref="G64:G68"/>
    <mergeCell ref="G73:G82"/>
    <mergeCell ref="H73:H82"/>
    <mergeCell ref="H64:H68"/>
    <mergeCell ref="I64:I68"/>
    <mergeCell ref="C73:C82"/>
    <mergeCell ref="D73:D82"/>
    <mergeCell ref="E73:E82"/>
    <mergeCell ref="F73:F82"/>
    <mergeCell ref="I73:I82"/>
    <mergeCell ref="C108:C113"/>
    <mergeCell ref="D108:D113"/>
    <mergeCell ref="E108:E113"/>
    <mergeCell ref="F108:F113"/>
    <mergeCell ref="G108:G113"/>
    <mergeCell ref="H108:H113"/>
    <mergeCell ref="I108:I113"/>
    <mergeCell ref="B108:B113"/>
    <mergeCell ref="B118:B119"/>
    <mergeCell ref="C118:C119"/>
    <mergeCell ref="D118:D119"/>
    <mergeCell ref="E118:E119"/>
    <mergeCell ref="F118:F119"/>
    <mergeCell ref="G118:G119"/>
    <mergeCell ref="G120:G126"/>
    <mergeCell ref="H120:H126"/>
    <mergeCell ref="H118:H119"/>
    <mergeCell ref="I118:I119"/>
    <mergeCell ref="C120:C126"/>
    <mergeCell ref="D120:D126"/>
    <mergeCell ref="E120:E126"/>
    <mergeCell ref="F120:F126"/>
    <mergeCell ref="I120:I12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8.63"/>
    <col customWidth="1" min="3" max="3" width="18.0"/>
    <col customWidth="1" min="4" max="4" width="52.38"/>
    <col customWidth="1" min="5" max="5" width="15.38"/>
    <col customWidth="1" min="6" max="6" width="10.38"/>
    <col customWidth="1" min="7" max="7" width="13.63"/>
    <col customWidth="1" min="8" max="8" width="11.0"/>
    <col customWidth="1" min="9" max="9" width="29.25"/>
    <col customWidth="1" min="10" max="10" width="45.88"/>
    <col customWidth="1" min="11" max="11" width="38.63"/>
    <col customWidth="1" min="12" max="12" width="34.25"/>
    <col customWidth="1" min="13" max="13" width="34.38"/>
    <col customWidth="1" min="14" max="14" width="33.0"/>
    <col customWidth="1" min="15" max="15" width="28.25"/>
    <col customWidth="1" min="16" max="16" width="29.5"/>
    <col customWidth="1" min="17" max="17" width="33.25"/>
    <col customWidth="1" min="18" max="18" width="36.0"/>
    <col customWidth="1" min="19" max="19" width="38.13"/>
    <col customWidth="1" min="20" max="20" width="39.0"/>
    <col customWidth="1" min="21" max="21" width="49.38"/>
    <col customWidth="1" min="22" max="22" width="59.13"/>
    <col customWidth="1" min="23" max="23" width="17.13"/>
    <col customWidth="1" min="24" max="24" width="148.63"/>
    <col customWidth="1" min="25" max="25" width="38.25"/>
    <col customWidth="1" min="26" max="26" width="10.5"/>
  </cols>
  <sheetData>
    <row r="2">
      <c r="D2" s="534" t="s">
        <v>5154</v>
      </c>
    </row>
    <row r="4">
      <c r="B4" s="535" t="s">
        <v>5156</v>
      </c>
      <c r="C4" s="32"/>
      <c r="D4" s="32"/>
      <c r="E4" s="32"/>
      <c r="F4" s="32"/>
      <c r="G4" s="32"/>
      <c r="H4" s="32"/>
      <c r="I4" s="32"/>
      <c r="J4" s="32"/>
      <c r="K4" s="32"/>
      <c r="L4" s="32"/>
      <c r="M4" s="32"/>
      <c r="N4" s="32"/>
      <c r="O4" s="32"/>
      <c r="P4" s="32"/>
      <c r="Q4" s="32"/>
      <c r="R4" s="32"/>
      <c r="S4" s="32"/>
      <c r="T4" s="32"/>
      <c r="U4" s="32"/>
      <c r="V4" s="37"/>
      <c r="W4" s="536"/>
      <c r="X4" s="537"/>
      <c r="Y4" s="537" t="s">
        <v>5162</v>
      </c>
    </row>
    <row r="5">
      <c r="B5" s="538" t="s">
        <v>5</v>
      </c>
      <c r="C5" s="538" t="s">
        <v>5166</v>
      </c>
      <c r="D5" s="538" t="s">
        <v>14</v>
      </c>
      <c r="E5" s="538" t="s">
        <v>5168</v>
      </c>
      <c r="F5" s="538" t="s">
        <v>5169</v>
      </c>
      <c r="G5" s="538" t="s">
        <v>385</v>
      </c>
      <c r="H5" s="538" t="s">
        <v>16</v>
      </c>
      <c r="I5" s="538" t="s">
        <v>15</v>
      </c>
      <c r="J5" s="538" t="s">
        <v>23</v>
      </c>
      <c r="K5" s="538" t="s">
        <v>5174</v>
      </c>
      <c r="L5" s="538" t="s">
        <v>5177</v>
      </c>
      <c r="M5" s="538" t="s">
        <v>5178</v>
      </c>
      <c r="N5" s="538" t="s">
        <v>5179</v>
      </c>
      <c r="O5" s="538" t="s">
        <v>5182</v>
      </c>
      <c r="P5" s="538" t="s">
        <v>5183</v>
      </c>
      <c r="Q5" s="538" t="s">
        <v>5184</v>
      </c>
      <c r="R5" s="538" t="s">
        <v>5186</v>
      </c>
      <c r="S5" s="538" t="s">
        <v>5187</v>
      </c>
      <c r="T5" s="538" t="s">
        <v>5188</v>
      </c>
      <c r="U5" s="538" t="s">
        <v>5189</v>
      </c>
      <c r="V5" s="538" t="s">
        <v>5191</v>
      </c>
      <c r="W5" s="538" t="s">
        <v>5193</v>
      </c>
      <c r="X5" s="540" t="s">
        <v>5194</v>
      </c>
      <c r="Y5" s="224"/>
    </row>
    <row r="6">
      <c r="B6" s="197">
        <v>1.0</v>
      </c>
      <c r="C6" s="197" t="s">
        <v>43</v>
      </c>
      <c r="D6" s="197" t="s">
        <v>5198</v>
      </c>
      <c r="E6" s="197" t="s">
        <v>170</v>
      </c>
      <c r="F6" s="197" t="s">
        <v>4258</v>
      </c>
      <c r="G6" s="197" t="s">
        <v>47</v>
      </c>
      <c r="H6" s="197" t="s">
        <v>47</v>
      </c>
      <c r="I6" s="197" t="s">
        <v>46</v>
      </c>
      <c r="J6" s="197" t="s">
        <v>5202</v>
      </c>
      <c r="K6" s="197" t="s">
        <v>187</v>
      </c>
      <c r="L6" s="197" t="s">
        <v>5203</v>
      </c>
      <c r="M6" s="197" t="s">
        <v>5204</v>
      </c>
      <c r="N6" s="197" t="s">
        <v>5205</v>
      </c>
      <c r="O6" s="197" t="s">
        <v>5206</v>
      </c>
      <c r="P6" s="197" t="s">
        <v>5208</v>
      </c>
      <c r="Q6" s="197" t="s">
        <v>5210</v>
      </c>
      <c r="R6" s="197" t="s">
        <v>5210</v>
      </c>
      <c r="S6" s="197" t="s">
        <v>5213</v>
      </c>
      <c r="T6" s="197" t="s">
        <v>5215</v>
      </c>
      <c r="U6" s="197" t="s">
        <v>5217</v>
      </c>
      <c r="V6" s="197" t="s">
        <v>5220</v>
      </c>
      <c r="W6" s="197"/>
      <c r="X6" s="246" t="s">
        <v>5222</v>
      </c>
      <c r="Y6" s="224"/>
    </row>
    <row r="7">
      <c r="B7" s="197">
        <v>2.0</v>
      </c>
      <c r="C7" s="197" t="s">
        <v>153</v>
      </c>
      <c r="D7" s="197" t="s">
        <v>5226</v>
      </c>
      <c r="E7" s="197" t="s">
        <v>170</v>
      </c>
      <c r="F7" s="197" t="s">
        <v>4239</v>
      </c>
      <c r="G7" s="197" t="s">
        <v>47</v>
      </c>
      <c r="H7" s="197" t="s">
        <v>47</v>
      </c>
      <c r="I7" s="197" t="s">
        <v>156</v>
      </c>
      <c r="J7" s="197" t="s">
        <v>5228</v>
      </c>
      <c r="K7" s="197" t="s">
        <v>5229</v>
      </c>
      <c r="L7" s="197" t="s">
        <v>5230</v>
      </c>
      <c r="M7" s="197" t="s">
        <v>5232</v>
      </c>
      <c r="N7" s="197" t="s">
        <v>5234</v>
      </c>
      <c r="O7" s="197" t="s">
        <v>5210</v>
      </c>
      <c r="P7" s="197" t="s">
        <v>5210</v>
      </c>
      <c r="Q7" s="197" t="s">
        <v>5210</v>
      </c>
      <c r="R7" s="197" t="s">
        <v>5210</v>
      </c>
      <c r="S7" s="197" t="s">
        <v>5210</v>
      </c>
      <c r="T7" s="197"/>
      <c r="U7" s="197" t="s">
        <v>5237</v>
      </c>
      <c r="V7" s="197" t="s">
        <v>5239</v>
      </c>
      <c r="W7" s="197"/>
      <c r="X7" s="246" t="s">
        <v>5243</v>
      </c>
      <c r="Y7" s="224"/>
    </row>
    <row r="8">
      <c r="B8" s="197">
        <v>3.0</v>
      </c>
      <c r="C8" s="197" t="s">
        <v>43</v>
      </c>
      <c r="D8" s="197" t="s">
        <v>4119</v>
      </c>
      <c r="E8" s="197" t="s">
        <v>84</v>
      </c>
      <c r="F8" s="197" t="s">
        <v>4239</v>
      </c>
      <c r="G8" s="197" t="s">
        <v>47</v>
      </c>
      <c r="H8" s="197" t="s">
        <v>47</v>
      </c>
      <c r="I8" s="197" t="s">
        <v>1639</v>
      </c>
      <c r="J8" s="197" t="s">
        <v>5247</v>
      </c>
      <c r="K8" s="197" t="s">
        <v>5249</v>
      </c>
      <c r="L8" s="197" t="s">
        <v>5250</v>
      </c>
      <c r="M8" s="197" t="s">
        <v>5251</v>
      </c>
      <c r="N8" s="197" t="s">
        <v>5252</v>
      </c>
      <c r="O8" s="197" t="s">
        <v>5254</v>
      </c>
      <c r="P8" s="197" t="s">
        <v>5210</v>
      </c>
      <c r="Q8" s="197" t="s">
        <v>5210</v>
      </c>
      <c r="R8" s="197" t="s">
        <v>5210</v>
      </c>
      <c r="S8" s="197" t="s">
        <v>5210</v>
      </c>
      <c r="T8" s="197" t="s">
        <v>5257</v>
      </c>
      <c r="U8" s="197" t="s">
        <v>5259</v>
      </c>
      <c r="V8" s="197" t="s">
        <v>5239</v>
      </c>
      <c r="W8" s="543">
        <v>45869.0</v>
      </c>
      <c r="X8" s="246" t="s">
        <v>5261</v>
      </c>
      <c r="Y8" s="224"/>
    </row>
    <row r="9">
      <c r="B9" s="197">
        <v>4.0</v>
      </c>
      <c r="C9" s="197" t="s">
        <v>697</v>
      </c>
      <c r="D9" s="197" t="s">
        <v>5263</v>
      </c>
      <c r="E9" s="197" t="s">
        <v>84</v>
      </c>
      <c r="F9" s="197" t="s">
        <v>4239</v>
      </c>
      <c r="G9" s="197" t="s">
        <v>718</v>
      </c>
      <c r="H9" s="197" t="s">
        <v>718</v>
      </c>
      <c r="I9" s="197" t="s">
        <v>718</v>
      </c>
      <c r="J9" s="197" t="s">
        <v>2382</v>
      </c>
      <c r="K9" s="197" t="s">
        <v>5269</v>
      </c>
      <c r="L9" s="197" t="s">
        <v>5271</v>
      </c>
      <c r="M9" s="197" t="s">
        <v>5272</v>
      </c>
      <c r="N9" s="197" t="s">
        <v>5275</v>
      </c>
      <c r="O9" s="197" t="s">
        <v>5276</v>
      </c>
      <c r="P9" s="197" t="s">
        <v>5210</v>
      </c>
      <c r="Q9" s="197" t="s">
        <v>5210</v>
      </c>
      <c r="R9" s="197" t="s">
        <v>5210</v>
      </c>
      <c r="S9" s="197" t="s">
        <v>5278</v>
      </c>
      <c r="T9" s="197" t="s">
        <v>5279</v>
      </c>
      <c r="U9" s="197" t="s">
        <v>5280</v>
      </c>
      <c r="V9" s="197" t="s">
        <v>37</v>
      </c>
      <c r="W9" s="197" t="s">
        <v>37</v>
      </c>
      <c r="X9" s="224"/>
      <c r="Y9" s="224"/>
    </row>
    <row r="10">
      <c r="B10" s="197">
        <v>5.0</v>
      </c>
      <c r="C10" s="197" t="s">
        <v>235</v>
      </c>
      <c r="D10" s="197" t="s">
        <v>5284</v>
      </c>
      <c r="E10" s="197" t="s">
        <v>63</v>
      </c>
      <c r="F10" s="197" t="s">
        <v>4258</v>
      </c>
      <c r="G10" s="197" t="s">
        <v>240</v>
      </c>
      <c r="H10" s="197" t="s">
        <v>240</v>
      </c>
      <c r="I10" s="197" t="s">
        <v>240</v>
      </c>
      <c r="J10" s="197" t="s">
        <v>5289</v>
      </c>
      <c r="K10" s="197" t="s">
        <v>5292</v>
      </c>
      <c r="L10" s="197" t="s">
        <v>5293</v>
      </c>
      <c r="M10" s="197" t="s">
        <v>5295</v>
      </c>
      <c r="N10" s="197" t="s">
        <v>5296</v>
      </c>
      <c r="O10" s="197" t="s">
        <v>5298</v>
      </c>
      <c r="P10" s="197" t="s">
        <v>5299</v>
      </c>
      <c r="Q10" s="197" t="s">
        <v>5301</v>
      </c>
      <c r="R10" s="197" t="s">
        <v>5302</v>
      </c>
      <c r="S10" s="197" t="s">
        <v>5303</v>
      </c>
      <c r="T10" s="197" t="s">
        <v>5304</v>
      </c>
      <c r="U10" s="197" t="s">
        <v>5306</v>
      </c>
      <c r="V10" s="197" t="s">
        <v>5307</v>
      </c>
      <c r="W10" s="543">
        <v>45869.0</v>
      </c>
      <c r="X10" s="246" t="s">
        <v>5308</v>
      </c>
      <c r="Y10" s="224"/>
    </row>
    <row r="11">
      <c r="B11" s="197">
        <v>6.0</v>
      </c>
      <c r="C11" s="197" t="s">
        <v>697</v>
      </c>
      <c r="D11" s="197" t="s">
        <v>5311</v>
      </c>
      <c r="E11" s="197" t="s">
        <v>84</v>
      </c>
      <c r="F11" s="197" t="s">
        <v>4208</v>
      </c>
      <c r="G11" s="197" t="s">
        <v>718</v>
      </c>
      <c r="H11" s="197" t="s">
        <v>718</v>
      </c>
      <c r="I11" s="197" t="s">
        <v>718</v>
      </c>
      <c r="J11" s="197"/>
      <c r="K11" s="197" t="s">
        <v>5318</v>
      </c>
      <c r="L11" s="197" t="s">
        <v>5319</v>
      </c>
      <c r="M11" s="197" t="s">
        <v>5319</v>
      </c>
      <c r="N11" s="197" t="s">
        <v>5319</v>
      </c>
      <c r="O11" s="197" t="s">
        <v>5319</v>
      </c>
      <c r="P11" s="197" t="s">
        <v>5319</v>
      </c>
      <c r="Q11" s="197" t="s">
        <v>5319</v>
      </c>
      <c r="R11" s="197" t="s">
        <v>5319</v>
      </c>
      <c r="S11" s="197" t="s">
        <v>5319</v>
      </c>
      <c r="T11" s="197" t="s">
        <v>5319</v>
      </c>
      <c r="U11" s="197" t="s">
        <v>5323</v>
      </c>
      <c r="V11" s="197" t="s">
        <v>37</v>
      </c>
      <c r="W11" s="197" t="s">
        <v>37</v>
      </c>
      <c r="X11" s="224"/>
      <c r="Y11" s="224"/>
    </row>
    <row r="12">
      <c r="B12" s="197">
        <v>7.0</v>
      </c>
      <c r="C12" s="197" t="s">
        <v>43</v>
      </c>
      <c r="D12" s="197" t="s">
        <v>5327</v>
      </c>
      <c r="E12" s="197" t="s">
        <v>170</v>
      </c>
      <c r="F12" s="197" t="s">
        <v>4239</v>
      </c>
      <c r="G12" s="197" t="s">
        <v>47</v>
      </c>
      <c r="H12" s="197" t="s">
        <v>47</v>
      </c>
      <c r="I12" s="197" t="s">
        <v>67</v>
      </c>
      <c r="J12" s="197" t="s">
        <v>5331</v>
      </c>
      <c r="K12" s="197" t="s">
        <v>5332</v>
      </c>
      <c r="L12" s="197" t="s">
        <v>5333</v>
      </c>
      <c r="M12" s="197" t="s">
        <v>5298</v>
      </c>
      <c r="N12" s="197" t="s">
        <v>5334</v>
      </c>
      <c r="O12" s="197" t="s">
        <v>5298</v>
      </c>
      <c r="P12" s="197" t="s">
        <v>5298</v>
      </c>
      <c r="Q12" s="197" t="s">
        <v>5298</v>
      </c>
      <c r="R12" s="197" t="s">
        <v>5298</v>
      </c>
      <c r="S12" s="197" t="s">
        <v>5298</v>
      </c>
      <c r="T12" s="197" t="s">
        <v>5339</v>
      </c>
      <c r="U12" s="197" t="s">
        <v>5340</v>
      </c>
      <c r="V12" s="197" t="s">
        <v>5342</v>
      </c>
      <c r="W12" s="545">
        <v>45966.0</v>
      </c>
      <c r="X12" s="224"/>
      <c r="Y12" s="224"/>
    </row>
    <row r="13">
      <c r="B13" s="197">
        <v>8.0</v>
      </c>
      <c r="C13" s="197" t="s">
        <v>43</v>
      </c>
      <c r="D13" s="197" t="s">
        <v>5347</v>
      </c>
      <c r="E13" s="197" t="s">
        <v>170</v>
      </c>
      <c r="F13" s="197" t="s">
        <v>4239</v>
      </c>
      <c r="G13" s="197" t="s">
        <v>47</v>
      </c>
      <c r="H13" s="197" t="s">
        <v>47</v>
      </c>
      <c r="I13" s="197" t="s">
        <v>67</v>
      </c>
      <c r="J13" s="197" t="s">
        <v>5350</v>
      </c>
      <c r="K13" s="197" t="s">
        <v>5352</v>
      </c>
      <c r="L13" s="197" t="s">
        <v>5353</v>
      </c>
      <c r="M13" s="197" t="s">
        <v>5354</v>
      </c>
      <c r="N13" s="197" t="s">
        <v>5355</v>
      </c>
      <c r="O13" s="197" t="s">
        <v>5298</v>
      </c>
      <c r="P13" s="197" t="s">
        <v>5298</v>
      </c>
      <c r="Q13" s="197" t="s">
        <v>5298</v>
      </c>
      <c r="R13" s="197" t="s">
        <v>5360</v>
      </c>
      <c r="S13" s="197" t="s">
        <v>5298</v>
      </c>
      <c r="T13" s="197" t="s">
        <v>5362</v>
      </c>
      <c r="U13" s="197" t="s">
        <v>5363</v>
      </c>
      <c r="V13" s="197" t="s">
        <v>5365</v>
      </c>
      <c r="W13" s="545">
        <v>45981.0</v>
      </c>
      <c r="X13" s="224"/>
      <c r="Y13" s="224"/>
    </row>
    <row r="14">
      <c r="B14" s="197">
        <v>9.0</v>
      </c>
      <c r="C14" s="197" t="s">
        <v>43</v>
      </c>
      <c r="D14" s="197" t="s">
        <v>5369</v>
      </c>
      <c r="E14" s="197" t="s">
        <v>170</v>
      </c>
      <c r="F14" s="197" t="s">
        <v>4239</v>
      </c>
      <c r="G14" s="197" t="s">
        <v>240</v>
      </c>
      <c r="H14" s="197" t="s">
        <v>240</v>
      </c>
      <c r="I14" s="197" t="s">
        <v>876</v>
      </c>
      <c r="J14" s="197" t="s">
        <v>5372</v>
      </c>
      <c r="K14" s="197" t="s">
        <v>5373</v>
      </c>
      <c r="L14" s="197" t="s">
        <v>5374</v>
      </c>
      <c r="M14" s="197" t="s">
        <v>5375</v>
      </c>
      <c r="N14" s="197" t="s">
        <v>5377</v>
      </c>
      <c r="O14" s="197" t="s">
        <v>5379</v>
      </c>
      <c r="P14" s="197" t="s">
        <v>5380</v>
      </c>
      <c r="Q14" s="197" t="s">
        <v>5381</v>
      </c>
      <c r="R14" s="197" t="s">
        <v>5382</v>
      </c>
      <c r="S14" s="197" t="s">
        <v>5384</v>
      </c>
      <c r="T14" s="197" t="s">
        <v>5210</v>
      </c>
      <c r="U14" s="197" t="s">
        <v>5385</v>
      </c>
      <c r="V14" s="197" t="s">
        <v>37</v>
      </c>
      <c r="W14" s="197" t="s">
        <v>37</v>
      </c>
      <c r="X14" s="224"/>
      <c r="Y14" s="224"/>
    </row>
    <row r="15">
      <c r="B15" s="197">
        <v>10.0</v>
      </c>
      <c r="C15" s="197" t="s">
        <v>2102</v>
      </c>
      <c r="D15" s="197" t="s">
        <v>298</v>
      </c>
      <c r="E15" s="197" t="s">
        <v>170</v>
      </c>
      <c r="F15" s="197" t="s">
        <v>4239</v>
      </c>
      <c r="G15" s="197" t="s">
        <v>142</v>
      </c>
      <c r="H15" s="197" t="s">
        <v>142</v>
      </c>
      <c r="I15" s="197" t="s">
        <v>1701</v>
      </c>
      <c r="J15" s="197" t="s">
        <v>5388</v>
      </c>
      <c r="K15" s="197" t="s">
        <v>5390</v>
      </c>
      <c r="L15" s="197" t="s">
        <v>5392</v>
      </c>
      <c r="M15" s="197" t="s">
        <v>5394</v>
      </c>
      <c r="N15" s="197" t="s">
        <v>5397</v>
      </c>
      <c r="O15" s="197" t="s">
        <v>5398</v>
      </c>
      <c r="P15" s="197"/>
      <c r="Q15" s="197" t="s">
        <v>5210</v>
      </c>
      <c r="R15" s="197" t="s">
        <v>5298</v>
      </c>
      <c r="S15" s="197" t="s">
        <v>5210</v>
      </c>
      <c r="T15" s="197" t="s">
        <v>5400</v>
      </c>
      <c r="U15" s="197" t="s">
        <v>5363</v>
      </c>
      <c r="V15" s="197" t="s">
        <v>5402</v>
      </c>
      <c r="W15" s="545">
        <v>45959.0</v>
      </c>
      <c r="X15" s="246" t="s">
        <v>5403</v>
      </c>
      <c r="Y15" s="224"/>
    </row>
    <row r="16">
      <c r="B16" s="197">
        <v>11.0</v>
      </c>
      <c r="C16" s="197" t="s">
        <v>153</v>
      </c>
      <c r="D16" s="197" t="s">
        <v>5407</v>
      </c>
      <c r="E16" s="197" t="s">
        <v>170</v>
      </c>
      <c r="F16" s="197" t="s">
        <v>4239</v>
      </c>
      <c r="G16" s="197" t="s">
        <v>47</v>
      </c>
      <c r="H16" s="197" t="s">
        <v>47</v>
      </c>
      <c r="I16" s="197" t="s">
        <v>156</v>
      </c>
      <c r="J16" s="197"/>
      <c r="K16" s="197" t="s">
        <v>5411</v>
      </c>
      <c r="L16" s="197" t="s">
        <v>5413</v>
      </c>
      <c r="M16" s="197" t="s">
        <v>5415</v>
      </c>
      <c r="N16" s="197" t="s">
        <v>5210</v>
      </c>
      <c r="O16" s="197" t="s">
        <v>5210</v>
      </c>
      <c r="P16" s="197" t="s">
        <v>5417</v>
      </c>
      <c r="Q16" s="197" t="s">
        <v>5210</v>
      </c>
      <c r="R16" s="197" t="s">
        <v>5419</v>
      </c>
      <c r="S16" s="197" t="s">
        <v>5210</v>
      </c>
      <c r="T16" s="197" t="s">
        <v>5210</v>
      </c>
      <c r="U16" s="197" t="s">
        <v>5421</v>
      </c>
      <c r="V16" s="197" t="s">
        <v>5422</v>
      </c>
      <c r="W16" s="543">
        <v>45919.0</v>
      </c>
      <c r="X16" s="224"/>
      <c r="Y16" s="224"/>
    </row>
    <row r="17">
      <c r="B17" s="197">
        <v>12.0</v>
      </c>
      <c r="C17" s="197" t="s">
        <v>43</v>
      </c>
      <c r="D17" s="197" t="s">
        <v>5424</v>
      </c>
      <c r="E17" s="197" t="s">
        <v>170</v>
      </c>
      <c r="F17" s="197" t="s">
        <v>4239</v>
      </c>
      <c r="G17" s="197" t="s">
        <v>47</v>
      </c>
      <c r="H17" s="197" t="s">
        <v>47</v>
      </c>
      <c r="I17" s="197" t="s">
        <v>126</v>
      </c>
      <c r="J17" s="197" t="s">
        <v>5427</v>
      </c>
      <c r="K17" s="197" t="s">
        <v>5428</v>
      </c>
      <c r="L17" s="197" t="s">
        <v>5210</v>
      </c>
      <c r="M17" s="197" t="s">
        <v>5429</v>
      </c>
      <c r="N17" s="197" t="s">
        <v>5210</v>
      </c>
      <c r="O17" s="197" t="s">
        <v>5210</v>
      </c>
      <c r="P17" s="197" t="s">
        <v>5210</v>
      </c>
      <c r="Q17" s="197" t="s">
        <v>5210</v>
      </c>
      <c r="R17" s="197" t="s">
        <v>5210</v>
      </c>
      <c r="S17" s="197" t="s">
        <v>5210</v>
      </c>
      <c r="T17" s="197" t="s">
        <v>5433</v>
      </c>
      <c r="U17" s="197" t="s">
        <v>5363</v>
      </c>
      <c r="V17" s="197" t="s">
        <v>5435</v>
      </c>
      <c r="W17" s="543">
        <v>45938.0</v>
      </c>
      <c r="X17" s="224"/>
      <c r="Y17" s="224"/>
    </row>
    <row r="18">
      <c r="B18" s="197">
        <v>13.0</v>
      </c>
      <c r="C18" s="197" t="s">
        <v>205</v>
      </c>
      <c r="D18" s="197" t="s">
        <v>5439</v>
      </c>
      <c r="E18" s="197" t="s">
        <v>170</v>
      </c>
      <c r="F18" s="197" t="s">
        <v>4239</v>
      </c>
      <c r="G18" s="197" t="s">
        <v>210</v>
      </c>
      <c r="H18" s="197" t="s">
        <v>210</v>
      </c>
      <c r="I18" s="197" t="s">
        <v>210</v>
      </c>
      <c r="J18" s="197" t="s">
        <v>5444</v>
      </c>
      <c r="K18" s="197" t="s">
        <v>5445</v>
      </c>
      <c r="L18" s="197" t="s">
        <v>5446</v>
      </c>
      <c r="M18" s="197" t="s">
        <v>5447</v>
      </c>
      <c r="N18" s="197" t="s">
        <v>5449</v>
      </c>
      <c r="O18" s="197" t="s">
        <v>5451</v>
      </c>
      <c r="P18" s="197" t="s">
        <v>5210</v>
      </c>
      <c r="Q18" s="197" t="s">
        <v>5210</v>
      </c>
      <c r="R18" s="197" t="s">
        <v>5210</v>
      </c>
      <c r="S18" s="197" t="s">
        <v>5210</v>
      </c>
      <c r="T18" s="197" t="s">
        <v>5454</v>
      </c>
      <c r="U18" s="197" t="s">
        <v>5456</v>
      </c>
      <c r="V18" s="197" t="s">
        <v>5458</v>
      </c>
      <c r="W18" s="543">
        <v>46125.0</v>
      </c>
      <c r="X18" s="246" t="s">
        <v>5460</v>
      </c>
      <c r="Y18" s="224"/>
    </row>
    <row r="19">
      <c r="B19" s="197">
        <v>14.0</v>
      </c>
      <c r="C19" s="549" t="s">
        <v>172</v>
      </c>
      <c r="D19" s="549" t="s">
        <v>5462</v>
      </c>
      <c r="E19" s="549" t="s">
        <v>84</v>
      </c>
      <c r="F19" s="549" t="s">
        <v>4208</v>
      </c>
      <c r="G19" s="549" t="s">
        <v>47</v>
      </c>
      <c r="H19" s="549" t="s">
        <v>47</v>
      </c>
      <c r="I19" s="549" t="s">
        <v>1005</v>
      </c>
      <c r="J19" s="549" t="s">
        <v>5466</v>
      </c>
      <c r="K19" s="549" t="s">
        <v>5467</v>
      </c>
      <c r="L19" s="549" t="s">
        <v>5468</v>
      </c>
      <c r="M19" s="549" t="s">
        <v>5469</v>
      </c>
      <c r="N19" s="549" t="s">
        <v>5472</v>
      </c>
      <c r="O19" s="549" t="s">
        <v>5210</v>
      </c>
      <c r="P19" s="549" t="s">
        <v>5210</v>
      </c>
      <c r="Q19" s="549" t="s">
        <v>5473</v>
      </c>
      <c r="R19" s="197"/>
      <c r="S19" s="549" t="s">
        <v>5475</v>
      </c>
      <c r="T19" s="549" t="s">
        <v>5477</v>
      </c>
      <c r="U19" s="197"/>
      <c r="V19" s="549" t="s">
        <v>5479</v>
      </c>
      <c r="W19" s="550">
        <v>46184.0</v>
      </c>
      <c r="X19" s="224"/>
      <c r="Y19" s="224"/>
    </row>
    <row r="20">
      <c r="B20" s="197">
        <v>15.0</v>
      </c>
      <c r="C20" s="549" t="s">
        <v>172</v>
      </c>
      <c r="D20" s="549" t="s">
        <v>5484</v>
      </c>
      <c r="E20" s="549" t="s">
        <v>84</v>
      </c>
      <c r="F20" s="549" t="s">
        <v>4208</v>
      </c>
      <c r="G20" s="549" t="s">
        <v>47</v>
      </c>
      <c r="H20" s="549" t="s">
        <v>47</v>
      </c>
      <c r="I20" s="549" t="s">
        <v>316</v>
      </c>
      <c r="J20" s="549" t="s">
        <v>5487</v>
      </c>
      <c r="K20" s="549" t="s">
        <v>5488</v>
      </c>
      <c r="L20" s="549" t="s">
        <v>5489</v>
      </c>
      <c r="M20" s="549" t="s">
        <v>5210</v>
      </c>
      <c r="N20" s="549" t="s">
        <v>5490</v>
      </c>
      <c r="O20" s="549" t="s">
        <v>5210</v>
      </c>
      <c r="P20" s="549" t="s">
        <v>5210</v>
      </c>
      <c r="Q20" s="549" t="s">
        <v>5492</v>
      </c>
      <c r="R20" s="549" t="s">
        <v>5494</v>
      </c>
      <c r="S20" s="549" t="s">
        <v>5495</v>
      </c>
      <c r="T20" s="549" t="s">
        <v>5496</v>
      </c>
      <c r="U20" s="197"/>
      <c r="V20" s="549" t="s">
        <v>5499</v>
      </c>
      <c r="W20" s="553">
        <v>46156.0</v>
      </c>
      <c r="X20" s="246" t="s">
        <v>5503</v>
      </c>
      <c r="Y20" s="224"/>
    </row>
    <row r="21" ht="15.75" customHeight="1">
      <c r="B21" s="197">
        <v>16.0</v>
      </c>
      <c r="C21" s="549" t="s">
        <v>43</v>
      </c>
      <c r="D21" s="549" t="s">
        <v>5505</v>
      </c>
      <c r="E21" s="549" t="s">
        <v>84</v>
      </c>
      <c r="F21" s="549" t="s">
        <v>4208</v>
      </c>
      <c r="G21" s="549" t="s">
        <v>47</v>
      </c>
      <c r="H21" s="549" t="s">
        <v>47</v>
      </c>
      <c r="I21" s="549" t="s">
        <v>1838</v>
      </c>
      <c r="J21" s="549" t="s">
        <v>5507</v>
      </c>
      <c r="K21" s="549" t="s">
        <v>5509</v>
      </c>
      <c r="L21" s="549" t="s">
        <v>5511</v>
      </c>
      <c r="M21" s="549" t="s">
        <v>5210</v>
      </c>
      <c r="N21" s="549" t="s">
        <v>5512</v>
      </c>
      <c r="O21" s="549" t="s">
        <v>5513</v>
      </c>
      <c r="P21" s="549" t="s">
        <v>5210</v>
      </c>
      <c r="Q21" s="549" t="s">
        <v>5514</v>
      </c>
      <c r="R21" s="549" t="s">
        <v>5515</v>
      </c>
      <c r="S21" s="549" t="s">
        <v>5517</v>
      </c>
      <c r="T21" s="549" t="s">
        <v>5518</v>
      </c>
      <c r="U21" s="549" t="s">
        <v>5519</v>
      </c>
      <c r="V21" s="549" t="s">
        <v>5520</v>
      </c>
      <c r="W21" s="553">
        <v>46091.0</v>
      </c>
      <c r="X21" s="224"/>
      <c r="Y21" s="224"/>
    </row>
    <row r="22" ht="15.75" customHeight="1">
      <c r="B22" s="197">
        <v>17.0</v>
      </c>
      <c r="C22" s="549" t="s">
        <v>153</v>
      </c>
      <c r="D22" s="549" t="s">
        <v>5525</v>
      </c>
      <c r="E22" s="549" t="s">
        <v>84</v>
      </c>
      <c r="F22" s="549" t="s">
        <v>4255</v>
      </c>
      <c r="G22" s="549" t="s">
        <v>47</v>
      </c>
      <c r="H22" s="549" t="s">
        <v>47</v>
      </c>
      <c r="I22" s="549" t="s">
        <v>1747</v>
      </c>
      <c r="J22" s="549" t="s">
        <v>5530</v>
      </c>
      <c r="K22" s="549" t="s">
        <v>5531</v>
      </c>
      <c r="L22" s="549" t="s">
        <v>5532</v>
      </c>
      <c r="M22" s="549" t="s">
        <v>5534</v>
      </c>
      <c r="N22" s="549" t="s">
        <v>5535</v>
      </c>
      <c r="O22" s="549" t="s">
        <v>5210</v>
      </c>
      <c r="P22" s="549" t="s">
        <v>5537</v>
      </c>
      <c r="Q22" s="549" t="s">
        <v>5210</v>
      </c>
      <c r="R22" s="549" t="s">
        <v>5539</v>
      </c>
      <c r="S22" s="549" t="s">
        <v>5210</v>
      </c>
      <c r="T22" s="549" t="s">
        <v>5210</v>
      </c>
      <c r="U22" s="197"/>
      <c r="V22" s="549" t="s">
        <v>5540</v>
      </c>
      <c r="W22" s="553">
        <v>46218.0</v>
      </c>
      <c r="X22" s="224"/>
      <c r="Y22" s="224"/>
    </row>
    <row r="23" ht="15.75" customHeight="1">
      <c r="B23" s="197">
        <v>18.0</v>
      </c>
      <c r="C23" s="197"/>
      <c r="D23" s="197"/>
      <c r="E23" s="197"/>
      <c r="F23" s="197"/>
      <c r="G23" s="197"/>
      <c r="H23" s="197"/>
      <c r="I23" s="197"/>
      <c r="J23" s="197"/>
      <c r="K23" s="197"/>
      <c r="L23" s="197"/>
      <c r="M23" s="197"/>
      <c r="N23" s="197"/>
      <c r="O23" s="197"/>
      <c r="P23" s="197"/>
      <c r="Q23" s="197"/>
      <c r="R23" s="197"/>
      <c r="S23" s="197"/>
      <c r="T23" s="197"/>
      <c r="U23" s="197"/>
      <c r="V23" s="197"/>
      <c r="W23" s="197"/>
      <c r="X23" s="224"/>
      <c r="Y23" s="224"/>
    </row>
    <row r="24" ht="15.75" customHeight="1">
      <c r="B24" s="197">
        <v>19.0</v>
      </c>
      <c r="C24" s="197"/>
      <c r="D24" s="197"/>
      <c r="E24" s="197"/>
      <c r="F24" s="197"/>
      <c r="G24" s="197"/>
      <c r="H24" s="197"/>
      <c r="I24" s="197"/>
      <c r="J24" s="197"/>
      <c r="K24" s="197"/>
      <c r="L24" s="197"/>
      <c r="M24" s="197"/>
      <c r="N24" s="197"/>
      <c r="O24" s="197"/>
      <c r="P24" s="197"/>
      <c r="Q24" s="197"/>
      <c r="R24" s="197"/>
      <c r="S24" s="197"/>
      <c r="T24" s="197"/>
      <c r="U24" s="197"/>
      <c r="V24" s="197"/>
      <c r="W24" s="197"/>
      <c r="X24" s="224"/>
      <c r="Y24" s="224"/>
    </row>
    <row r="25" ht="15.75" customHeight="1">
      <c r="B25" s="197">
        <v>20.0</v>
      </c>
      <c r="C25" s="197"/>
      <c r="D25" s="197"/>
      <c r="E25" s="197"/>
      <c r="F25" s="197"/>
      <c r="G25" s="197"/>
      <c r="H25" s="197"/>
      <c r="I25" s="197"/>
      <c r="J25" s="197"/>
      <c r="K25" s="197"/>
      <c r="L25" s="197"/>
      <c r="M25" s="197"/>
      <c r="N25" s="197"/>
      <c r="O25" s="197"/>
      <c r="P25" s="197"/>
      <c r="Q25" s="197"/>
      <c r="R25" s="197"/>
      <c r="S25" s="197"/>
      <c r="T25" s="197"/>
      <c r="U25" s="197"/>
      <c r="V25" s="197"/>
      <c r="W25" s="197"/>
      <c r="X25" s="224"/>
      <c r="Y25" s="224"/>
    </row>
    <row r="26" ht="15.75" customHeight="1">
      <c r="B26" s="197">
        <v>21.0</v>
      </c>
      <c r="C26" s="197"/>
      <c r="D26" s="197"/>
      <c r="E26" s="197"/>
      <c r="F26" s="197"/>
      <c r="G26" s="197"/>
      <c r="H26" s="197"/>
      <c r="I26" s="197"/>
      <c r="J26" s="197"/>
      <c r="K26" s="197"/>
      <c r="L26" s="197"/>
      <c r="M26" s="197"/>
      <c r="N26" s="197"/>
      <c r="O26" s="197"/>
      <c r="P26" s="197"/>
      <c r="Q26" s="197"/>
      <c r="R26" s="197"/>
      <c r="S26" s="197"/>
      <c r="T26" s="197"/>
      <c r="U26" s="197"/>
      <c r="V26" s="197"/>
      <c r="W26" s="197"/>
      <c r="X26" s="224"/>
      <c r="Y26" s="224"/>
    </row>
    <row r="27" ht="15.75" customHeight="1">
      <c r="B27" s="197">
        <v>22.0</v>
      </c>
      <c r="C27" s="197"/>
      <c r="D27" s="197"/>
      <c r="E27" s="197"/>
      <c r="F27" s="197"/>
      <c r="G27" s="197"/>
      <c r="H27" s="197"/>
      <c r="I27" s="197"/>
      <c r="J27" s="197"/>
      <c r="K27" s="197"/>
      <c r="L27" s="197"/>
      <c r="M27" s="197"/>
      <c r="N27" s="197"/>
      <c r="O27" s="197"/>
      <c r="P27" s="197"/>
      <c r="Q27" s="197"/>
      <c r="R27" s="197"/>
      <c r="S27" s="197"/>
      <c r="T27" s="197"/>
      <c r="U27" s="197"/>
      <c r="V27" s="197"/>
      <c r="W27" s="197"/>
      <c r="X27" s="224"/>
      <c r="Y27" s="224"/>
    </row>
    <row r="28" ht="15.75" customHeight="1">
      <c r="B28" s="197">
        <v>23.0</v>
      </c>
      <c r="C28" s="197"/>
      <c r="D28" s="197"/>
      <c r="E28" s="197"/>
      <c r="F28" s="197"/>
      <c r="G28" s="197"/>
      <c r="H28" s="197"/>
      <c r="I28" s="197"/>
      <c r="J28" s="197"/>
      <c r="K28" s="197"/>
      <c r="L28" s="197"/>
      <c r="M28" s="197"/>
      <c r="N28" s="197"/>
      <c r="O28" s="197"/>
      <c r="P28" s="197"/>
      <c r="Q28" s="197"/>
      <c r="R28" s="197"/>
      <c r="S28" s="197"/>
      <c r="T28" s="197"/>
      <c r="U28" s="197"/>
      <c r="V28" s="197"/>
      <c r="W28" s="197"/>
      <c r="X28" s="224"/>
      <c r="Y28" s="224"/>
    </row>
    <row r="29" ht="15.75" customHeight="1">
      <c r="B29" s="197">
        <v>24.0</v>
      </c>
      <c r="C29" s="197"/>
      <c r="D29" s="197"/>
      <c r="E29" s="197"/>
      <c r="F29" s="197"/>
      <c r="G29" s="197"/>
      <c r="H29" s="197"/>
      <c r="I29" s="197"/>
      <c r="J29" s="197"/>
      <c r="K29" s="197"/>
      <c r="L29" s="197"/>
      <c r="M29" s="197"/>
      <c r="N29" s="197"/>
      <c r="O29" s="197"/>
      <c r="P29" s="197"/>
      <c r="Q29" s="197"/>
      <c r="R29" s="197"/>
      <c r="S29" s="197"/>
      <c r="T29" s="197"/>
      <c r="U29" s="197"/>
      <c r="V29" s="197"/>
      <c r="W29" s="197"/>
      <c r="X29" s="224"/>
      <c r="Y29" s="224"/>
    </row>
    <row r="30" ht="15.75" customHeight="1">
      <c r="B30" s="197">
        <v>25.0</v>
      </c>
      <c r="C30" s="197"/>
      <c r="D30" s="197"/>
      <c r="E30" s="197"/>
      <c r="F30" s="197"/>
      <c r="G30" s="197"/>
      <c r="H30" s="197"/>
      <c r="I30" s="197"/>
      <c r="J30" s="197"/>
      <c r="K30" s="197"/>
      <c r="L30" s="197"/>
      <c r="M30" s="197"/>
      <c r="N30" s="197"/>
      <c r="O30" s="197"/>
      <c r="P30" s="197"/>
      <c r="Q30" s="197"/>
      <c r="R30" s="197"/>
      <c r="S30" s="197"/>
      <c r="T30" s="197"/>
      <c r="U30" s="197"/>
      <c r="V30" s="197"/>
      <c r="W30" s="197"/>
      <c r="X30" s="224"/>
      <c r="Y30" s="224"/>
    </row>
    <row r="31" ht="15.75" customHeight="1">
      <c r="B31" s="197">
        <v>26.0</v>
      </c>
      <c r="C31" s="197"/>
      <c r="D31" s="197"/>
      <c r="E31" s="197"/>
      <c r="F31" s="197"/>
      <c r="G31" s="197"/>
      <c r="H31" s="197"/>
      <c r="I31" s="197"/>
      <c r="J31" s="197"/>
      <c r="K31" s="197"/>
      <c r="L31" s="197"/>
      <c r="M31" s="197"/>
      <c r="N31" s="197"/>
      <c r="O31" s="197"/>
      <c r="P31" s="197"/>
      <c r="Q31" s="197"/>
      <c r="R31" s="197"/>
      <c r="S31" s="197"/>
      <c r="T31" s="197"/>
      <c r="U31" s="197"/>
      <c r="V31" s="197"/>
      <c r="W31" s="197"/>
      <c r="X31" s="224"/>
      <c r="Y31" s="224"/>
    </row>
    <row r="32" ht="15.75" customHeight="1">
      <c r="B32" s="197">
        <v>27.0</v>
      </c>
      <c r="C32" s="197"/>
      <c r="D32" s="197"/>
      <c r="E32" s="197"/>
      <c r="F32" s="197"/>
      <c r="G32" s="197"/>
      <c r="H32" s="197"/>
      <c r="I32" s="197"/>
      <c r="J32" s="197"/>
      <c r="K32" s="197"/>
      <c r="L32" s="197"/>
      <c r="M32" s="197"/>
      <c r="N32" s="197"/>
      <c r="O32" s="197"/>
      <c r="P32" s="197"/>
      <c r="Q32" s="197"/>
      <c r="R32" s="197"/>
      <c r="S32" s="197"/>
      <c r="T32" s="197"/>
      <c r="U32" s="197"/>
      <c r="V32" s="197"/>
      <c r="W32" s="197"/>
      <c r="X32" s="224"/>
      <c r="Y32" s="224"/>
    </row>
    <row r="33" ht="15.75" customHeight="1">
      <c r="B33" s="197">
        <v>28.0</v>
      </c>
      <c r="C33" s="197"/>
      <c r="D33" s="197"/>
      <c r="E33" s="197"/>
      <c r="F33" s="197"/>
      <c r="G33" s="197"/>
      <c r="H33" s="197"/>
      <c r="I33" s="197"/>
      <c r="J33" s="197"/>
      <c r="K33" s="197"/>
      <c r="L33" s="197"/>
      <c r="M33" s="197"/>
      <c r="N33" s="197"/>
      <c r="O33" s="197"/>
      <c r="P33" s="197"/>
      <c r="Q33" s="197"/>
      <c r="R33" s="197"/>
      <c r="S33" s="197"/>
      <c r="T33" s="197"/>
      <c r="U33" s="197"/>
      <c r="V33" s="197"/>
      <c r="W33" s="197"/>
      <c r="X33" s="224"/>
      <c r="Y33" s="224"/>
    </row>
    <row r="34" ht="15.75" customHeight="1">
      <c r="B34" s="197">
        <v>29.0</v>
      </c>
      <c r="C34" s="197"/>
      <c r="D34" s="197"/>
      <c r="E34" s="197"/>
      <c r="F34" s="197"/>
      <c r="G34" s="197"/>
      <c r="H34" s="197"/>
      <c r="I34" s="197"/>
      <c r="J34" s="197"/>
      <c r="K34" s="197"/>
      <c r="L34" s="197"/>
      <c r="M34" s="197"/>
      <c r="N34" s="197"/>
      <c r="O34" s="197"/>
      <c r="P34" s="197"/>
      <c r="Q34" s="197"/>
      <c r="R34" s="197"/>
      <c r="S34" s="197"/>
      <c r="T34" s="197"/>
      <c r="U34" s="197"/>
      <c r="V34" s="197"/>
      <c r="W34" s="197"/>
      <c r="X34" s="224"/>
      <c r="Y34" s="224"/>
    </row>
    <row r="35" ht="15.75" customHeight="1">
      <c r="B35" s="197">
        <v>30.0</v>
      </c>
      <c r="C35" s="197"/>
      <c r="D35" s="197"/>
      <c r="E35" s="197"/>
      <c r="F35" s="197"/>
      <c r="G35" s="197"/>
      <c r="H35" s="197"/>
      <c r="I35" s="197"/>
      <c r="J35" s="197"/>
      <c r="K35" s="197"/>
      <c r="L35" s="197"/>
      <c r="M35" s="197"/>
      <c r="N35" s="197"/>
      <c r="O35" s="197"/>
      <c r="P35" s="197"/>
      <c r="Q35" s="197"/>
      <c r="R35" s="197"/>
      <c r="S35" s="197"/>
      <c r="T35" s="197"/>
      <c r="U35" s="197"/>
      <c r="V35" s="197"/>
      <c r="W35" s="197"/>
      <c r="X35" s="224"/>
      <c r="Y35" s="224"/>
    </row>
    <row r="36" ht="15.75" customHeight="1">
      <c r="B36" s="197">
        <v>31.0</v>
      </c>
      <c r="C36" s="197"/>
      <c r="D36" s="197"/>
      <c r="E36" s="197"/>
      <c r="F36" s="197"/>
      <c r="G36" s="197"/>
      <c r="H36" s="197"/>
      <c r="I36" s="197"/>
      <c r="J36" s="197"/>
      <c r="K36" s="197"/>
      <c r="L36" s="197"/>
      <c r="M36" s="197"/>
      <c r="N36" s="197"/>
      <c r="O36" s="197"/>
      <c r="P36" s="197"/>
      <c r="Q36" s="197"/>
      <c r="R36" s="197"/>
      <c r="S36" s="197"/>
      <c r="T36" s="197"/>
      <c r="U36" s="197"/>
      <c r="V36" s="197"/>
      <c r="W36" s="197"/>
      <c r="X36" s="224"/>
      <c r="Y36" s="224"/>
    </row>
    <row r="37" ht="15.75" customHeight="1">
      <c r="B37" s="197">
        <v>32.0</v>
      </c>
      <c r="C37" s="197"/>
      <c r="D37" s="197"/>
      <c r="E37" s="197"/>
      <c r="F37" s="197"/>
      <c r="G37" s="197"/>
      <c r="H37" s="197"/>
      <c r="I37" s="197"/>
      <c r="J37" s="197"/>
      <c r="K37" s="197"/>
      <c r="L37" s="197"/>
      <c r="M37" s="197"/>
      <c r="N37" s="197"/>
      <c r="O37" s="197"/>
      <c r="P37" s="197"/>
      <c r="Q37" s="197"/>
      <c r="R37" s="197"/>
      <c r="S37" s="197"/>
      <c r="T37" s="197"/>
      <c r="U37" s="197"/>
      <c r="V37" s="197"/>
      <c r="W37" s="197"/>
      <c r="X37" s="224"/>
      <c r="Y37" s="224"/>
    </row>
    <row r="38" ht="15.75" customHeight="1">
      <c r="B38" s="197">
        <v>33.0</v>
      </c>
      <c r="C38" s="197"/>
      <c r="D38" s="197"/>
      <c r="E38" s="197"/>
      <c r="F38" s="197"/>
      <c r="G38" s="197"/>
      <c r="H38" s="197"/>
      <c r="I38" s="197"/>
      <c r="J38" s="197"/>
      <c r="K38" s="197"/>
      <c r="L38" s="197"/>
      <c r="M38" s="197"/>
      <c r="N38" s="197"/>
      <c r="O38" s="197"/>
      <c r="P38" s="197"/>
      <c r="Q38" s="197"/>
      <c r="R38" s="197"/>
      <c r="S38" s="197"/>
      <c r="T38" s="197"/>
      <c r="U38" s="197"/>
      <c r="V38" s="197"/>
      <c r="W38" s="197"/>
      <c r="X38" s="224"/>
      <c r="Y38" s="224"/>
    </row>
    <row r="39" ht="15.75" customHeight="1">
      <c r="B39" s="197">
        <v>34.0</v>
      </c>
      <c r="C39" s="197"/>
      <c r="D39" s="197"/>
      <c r="E39" s="197"/>
      <c r="F39" s="197"/>
      <c r="G39" s="197"/>
      <c r="H39" s="197"/>
      <c r="I39" s="197"/>
      <c r="J39" s="197"/>
      <c r="K39" s="197"/>
      <c r="L39" s="197"/>
      <c r="M39" s="197"/>
      <c r="N39" s="197"/>
      <c r="O39" s="197"/>
      <c r="P39" s="197"/>
      <c r="Q39" s="197"/>
      <c r="R39" s="197"/>
      <c r="S39" s="197"/>
      <c r="T39" s="197"/>
      <c r="U39" s="197"/>
      <c r="V39" s="197"/>
      <c r="W39" s="197"/>
      <c r="X39" s="224"/>
      <c r="Y39" s="224"/>
    </row>
    <row r="40" ht="15.75" customHeight="1">
      <c r="B40" s="197">
        <v>35.0</v>
      </c>
      <c r="C40" s="197"/>
      <c r="D40" s="197"/>
      <c r="E40" s="197"/>
      <c r="F40" s="197"/>
      <c r="G40" s="197"/>
      <c r="H40" s="197"/>
      <c r="I40" s="197"/>
      <c r="J40" s="197"/>
      <c r="K40" s="197"/>
      <c r="L40" s="197"/>
      <c r="M40" s="197"/>
      <c r="N40" s="197"/>
      <c r="O40" s="197"/>
      <c r="P40" s="197"/>
      <c r="Q40" s="197"/>
      <c r="R40" s="197"/>
      <c r="S40" s="197"/>
      <c r="T40" s="197"/>
      <c r="U40" s="197"/>
      <c r="V40" s="197"/>
      <c r="W40" s="197"/>
      <c r="X40" s="224"/>
      <c r="Y40" s="224"/>
    </row>
    <row r="41" ht="15.75" customHeight="1">
      <c r="B41" s="197">
        <v>36.0</v>
      </c>
      <c r="C41" s="197"/>
      <c r="D41" s="197"/>
      <c r="E41" s="197"/>
      <c r="F41" s="197"/>
      <c r="G41" s="197"/>
      <c r="H41" s="197"/>
      <c r="I41" s="197"/>
      <c r="J41" s="197"/>
      <c r="K41" s="197"/>
      <c r="L41" s="197"/>
      <c r="M41" s="197"/>
      <c r="N41" s="197"/>
      <c r="O41" s="197"/>
      <c r="P41" s="197"/>
      <c r="Q41" s="197"/>
      <c r="R41" s="197"/>
      <c r="S41" s="197"/>
      <c r="T41" s="197"/>
      <c r="U41" s="197"/>
      <c r="V41" s="197"/>
      <c r="W41" s="197"/>
      <c r="X41" s="224"/>
      <c r="Y41" s="224"/>
    </row>
    <row r="42" ht="15.75" customHeight="1">
      <c r="B42" s="197">
        <v>37.0</v>
      </c>
      <c r="C42" s="197"/>
      <c r="D42" s="197"/>
      <c r="E42" s="197"/>
      <c r="F42" s="197"/>
      <c r="G42" s="197"/>
      <c r="H42" s="197"/>
      <c r="I42" s="197"/>
      <c r="J42" s="197"/>
      <c r="K42" s="197"/>
      <c r="L42" s="197"/>
      <c r="M42" s="197"/>
      <c r="N42" s="197"/>
      <c r="O42" s="197"/>
      <c r="P42" s="197"/>
      <c r="Q42" s="197"/>
      <c r="R42" s="197"/>
      <c r="S42" s="197"/>
      <c r="T42" s="197"/>
      <c r="U42" s="197"/>
      <c r="V42" s="197"/>
      <c r="W42" s="197"/>
      <c r="X42" s="224"/>
      <c r="Y42" s="224"/>
    </row>
    <row r="43" ht="15.75" customHeight="1">
      <c r="B43" s="197">
        <v>38.0</v>
      </c>
      <c r="C43" s="197"/>
      <c r="D43" s="197"/>
      <c r="E43" s="197"/>
      <c r="F43" s="197"/>
      <c r="G43" s="197"/>
      <c r="H43" s="197"/>
      <c r="I43" s="197"/>
      <c r="J43" s="197"/>
      <c r="K43" s="197"/>
      <c r="L43" s="197"/>
      <c r="M43" s="197"/>
      <c r="N43" s="197"/>
      <c r="O43" s="197"/>
      <c r="P43" s="197"/>
      <c r="Q43" s="197"/>
      <c r="R43" s="197"/>
      <c r="S43" s="197"/>
      <c r="T43" s="197"/>
      <c r="U43" s="197"/>
      <c r="V43" s="197"/>
      <c r="W43" s="197"/>
      <c r="X43" s="224"/>
      <c r="Y43" s="224"/>
    </row>
    <row r="44" ht="15.75" customHeight="1">
      <c r="B44" s="197">
        <v>39.0</v>
      </c>
      <c r="C44" s="197"/>
      <c r="D44" s="197"/>
      <c r="E44" s="197"/>
      <c r="F44" s="197"/>
      <c r="G44" s="197"/>
      <c r="H44" s="197"/>
      <c r="I44" s="197"/>
      <c r="J44" s="197"/>
      <c r="K44" s="197"/>
      <c r="L44" s="197"/>
      <c r="M44" s="197"/>
      <c r="N44" s="197"/>
      <c r="O44" s="197"/>
      <c r="P44" s="197"/>
      <c r="Q44" s="197"/>
      <c r="R44" s="197"/>
      <c r="S44" s="197"/>
      <c r="T44" s="197"/>
      <c r="U44" s="197"/>
      <c r="V44" s="197"/>
      <c r="W44" s="197"/>
      <c r="X44" s="224"/>
      <c r="Y44" s="224"/>
    </row>
    <row r="45" ht="15.75" customHeight="1">
      <c r="B45" s="197">
        <v>40.0</v>
      </c>
      <c r="C45" s="197"/>
      <c r="D45" s="197"/>
      <c r="E45" s="197"/>
      <c r="F45" s="197"/>
      <c r="G45" s="197"/>
      <c r="H45" s="197"/>
      <c r="I45" s="197"/>
      <c r="J45" s="197"/>
      <c r="K45" s="197"/>
      <c r="L45" s="197"/>
      <c r="M45" s="197"/>
      <c r="N45" s="197"/>
      <c r="O45" s="197"/>
      <c r="P45" s="197"/>
      <c r="Q45" s="197"/>
      <c r="R45" s="197"/>
      <c r="S45" s="197"/>
      <c r="T45" s="197"/>
      <c r="U45" s="197"/>
      <c r="V45" s="197"/>
      <c r="W45" s="197"/>
      <c r="X45" s="224"/>
      <c r="Y45" s="224"/>
    </row>
    <row r="46" ht="15.75" customHeight="1">
      <c r="B46" s="197">
        <v>41.0</v>
      </c>
      <c r="C46" s="197"/>
      <c r="D46" s="197"/>
      <c r="E46" s="197"/>
      <c r="F46" s="197"/>
      <c r="G46" s="197"/>
      <c r="H46" s="197"/>
      <c r="I46" s="197"/>
      <c r="J46" s="197"/>
      <c r="K46" s="197"/>
      <c r="L46" s="197"/>
      <c r="M46" s="197"/>
      <c r="N46" s="197"/>
      <c r="O46" s="197"/>
      <c r="P46" s="197"/>
      <c r="Q46" s="197"/>
      <c r="R46" s="197"/>
      <c r="S46" s="197"/>
      <c r="T46" s="197"/>
      <c r="U46" s="197"/>
      <c r="V46" s="197"/>
      <c r="W46" s="197"/>
      <c r="X46" s="224"/>
      <c r="Y46" s="224"/>
    </row>
    <row r="47" ht="15.75" customHeight="1">
      <c r="B47" s="197">
        <v>42.0</v>
      </c>
      <c r="C47" s="197"/>
      <c r="D47" s="197"/>
      <c r="E47" s="197"/>
      <c r="F47" s="197"/>
      <c r="G47" s="197"/>
      <c r="H47" s="197"/>
      <c r="I47" s="197"/>
      <c r="J47" s="197"/>
      <c r="K47" s="197"/>
      <c r="L47" s="197"/>
      <c r="M47" s="197"/>
      <c r="N47" s="197"/>
      <c r="O47" s="197"/>
      <c r="P47" s="197"/>
      <c r="Q47" s="197"/>
      <c r="R47" s="197"/>
      <c r="S47" s="197"/>
      <c r="T47" s="197"/>
      <c r="U47" s="197"/>
      <c r="V47" s="197"/>
      <c r="W47" s="197"/>
      <c r="X47" s="224"/>
      <c r="Y47" s="224"/>
    </row>
    <row r="48" ht="15.75" customHeight="1">
      <c r="B48" s="197">
        <v>43.0</v>
      </c>
      <c r="C48" s="197"/>
      <c r="D48" s="197"/>
      <c r="E48" s="197"/>
      <c r="F48" s="197"/>
      <c r="G48" s="197"/>
      <c r="H48" s="197"/>
      <c r="I48" s="197"/>
      <c r="J48" s="197"/>
      <c r="K48" s="197"/>
      <c r="L48" s="197"/>
      <c r="M48" s="197"/>
      <c r="N48" s="197"/>
      <c r="O48" s="197"/>
      <c r="P48" s="197"/>
      <c r="Q48" s="197"/>
      <c r="R48" s="197"/>
      <c r="S48" s="197"/>
      <c r="T48" s="197"/>
      <c r="U48" s="197"/>
      <c r="V48" s="197"/>
      <c r="W48" s="197"/>
      <c r="X48" s="224"/>
      <c r="Y48" s="224"/>
    </row>
    <row r="49" ht="15.75" customHeight="1">
      <c r="B49" s="197">
        <v>44.0</v>
      </c>
      <c r="C49" s="197"/>
      <c r="D49" s="197"/>
      <c r="E49" s="197"/>
      <c r="F49" s="197"/>
      <c r="G49" s="197"/>
      <c r="H49" s="197"/>
      <c r="I49" s="197"/>
      <c r="J49" s="197"/>
      <c r="K49" s="197"/>
      <c r="L49" s="197"/>
      <c r="M49" s="197"/>
      <c r="N49" s="197"/>
      <c r="O49" s="197"/>
      <c r="P49" s="197"/>
      <c r="Q49" s="197"/>
      <c r="R49" s="197"/>
      <c r="S49" s="197"/>
      <c r="T49" s="197"/>
      <c r="U49" s="197"/>
      <c r="V49" s="197"/>
      <c r="W49" s="197"/>
      <c r="X49" s="224"/>
      <c r="Y49" s="224"/>
    </row>
    <row r="50" ht="15.75" customHeight="1">
      <c r="B50" s="197">
        <v>45.0</v>
      </c>
      <c r="C50" s="197"/>
      <c r="D50" s="197"/>
      <c r="E50" s="197"/>
      <c r="F50" s="197"/>
      <c r="G50" s="197"/>
      <c r="H50" s="197"/>
      <c r="I50" s="197"/>
      <c r="J50" s="197"/>
      <c r="K50" s="197"/>
      <c r="L50" s="197"/>
      <c r="M50" s="197"/>
      <c r="N50" s="197"/>
      <c r="O50" s="197"/>
      <c r="P50" s="197"/>
      <c r="Q50" s="197"/>
      <c r="R50" s="197"/>
      <c r="S50" s="197"/>
      <c r="T50" s="197"/>
      <c r="U50" s="197"/>
      <c r="V50" s="197"/>
      <c r="W50" s="197"/>
      <c r="X50" s="224"/>
      <c r="Y50" s="224"/>
    </row>
    <row r="51" ht="15.75" customHeight="1">
      <c r="B51" s="197">
        <v>46.0</v>
      </c>
      <c r="C51" s="197"/>
      <c r="D51" s="197"/>
      <c r="E51" s="197"/>
      <c r="F51" s="197"/>
      <c r="G51" s="197"/>
      <c r="H51" s="197"/>
      <c r="I51" s="197"/>
      <c r="J51" s="197"/>
      <c r="K51" s="197"/>
      <c r="L51" s="197"/>
      <c r="M51" s="197"/>
      <c r="N51" s="197"/>
      <c r="O51" s="197"/>
      <c r="P51" s="197"/>
      <c r="Q51" s="197"/>
      <c r="R51" s="197"/>
      <c r="S51" s="197"/>
      <c r="T51" s="197"/>
      <c r="U51" s="197"/>
      <c r="V51" s="197"/>
      <c r="W51" s="197"/>
      <c r="X51" s="224"/>
      <c r="Y51" s="224"/>
    </row>
    <row r="52" ht="15.75" customHeight="1">
      <c r="B52" s="197">
        <v>47.0</v>
      </c>
      <c r="C52" s="197"/>
      <c r="D52" s="197"/>
      <c r="E52" s="197"/>
      <c r="F52" s="197"/>
      <c r="G52" s="197"/>
      <c r="H52" s="197"/>
      <c r="I52" s="197"/>
      <c r="J52" s="197"/>
      <c r="K52" s="197"/>
      <c r="L52" s="197"/>
      <c r="M52" s="197"/>
      <c r="N52" s="197"/>
      <c r="O52" s="197"/>
      <c r="P52" s="197"/>
      <c r="Q52" s="197"/>
      <c r="R52" s="197"/>
      <c r="S52" s="197"/>
      <c r="T52" s="197"/>
      <c r="U52" s="197"/>
      <c r="V52" s="197"/>
      <c r="W52" s="197"/>
      <c r="X52" s="224"/>
      <c r="Y52" s="224"/>
    </row>
    <row r="53" ht="15.75" customHeight="1">
      <c r="B53" s="197">
        <v>48.0</v>
      </c>
      <c r="C53" s="197"/>
      <c r="D53" s="197"/>
      <c r="E53" s="197"/>
      <c r="F53" s="197"/>
      <c r="G53" s="197"/>
      <c r="H53" s="197"/>
      <c r="I53" s="197"/>
      <c r="J53" s="197"/>
      <c r="K53" s="197"/>
      <c r="L53" s="197"/>
      <c r="M53" s="197"/>
      <c r="N53" s="197"/>
      <c r="O53" s="197"/>
      <c r="P53" s="197"/>
      <c r="Q53" s="197"/>
      <c r="R53" s="197"/>
      <c r="S53" s="197"/>
      <c r="T53" s="197"/>
      <c r="U53" s="197"/>
      <c r="V53" s="197"/>
      <c r="W53" s="197"/>
      <c r="X53" s="224"/>
      <c r="Y53" s="224"/>
    </row>
    <row r="54" ht="15.75" customHeight="1">
      <c r="B54" s="197">
        <v>49.0</v>
      </c>
      <c r="C54" s="197"/>
      <c r="D54" s="197"/>
      <c r="E54" s="197"/>
      <c r="F54" s="197"/>
      <c r="G54" s="197"/>
      <c r="H54" s="197"/>
      <c r="I54" s="197"/>
      <c r="J54" s="197"/>
      <c r="K54" s="197"/>
      <c r="L54" s="197"/>
      <c r="M54" s="197"/>
      <c r="N54" s="197"/>
      <c r="O54" s="197"/>
      <c r="P54" s="197"/>
      <c r="Q54" s="197"/>
      <c r="R54" s="197"/>
      <c r="S54" s="197"/>
      <c r="T54" s="197"/>
      <c r="U54" s="197"/>
      <c r="V54" s="197"/>
      <c r="W54" s="197"/>
      <c r="X54" s="224"/>
      <c r="Y54" s="224"/>
    </row>
    <row r="55" ht="15.75" customHeight="1">
      <c r="B55" s="197">
        <v>50.0</v>
      </c>
      <c r="C55" s="197"/>
      <c r="D55" s="197"/>
      <c r="E55" s="197"/>
      <c r="F55" s="197"/>
      <c r="G55" s="197"/>
      <c r="H55" s="197"/>
      <c r="I55" s="197"/>
      <c r="J55" s="197"/>
      <c r="K55" s="197"/>
      <c r="L55" s="197"/>
      <c r="M55" s="197"/>
      <c r="N55" s="197"/>
      <c r="O55" s="197"/>
      <c r="P55" s="197"/>
      <c r="Q55" s="197"/>
      <c r="R55" s="197"/>
      <c r="S55" s="197"/>
      <c r="T55" s="197"/>
      <c r="U55" s="197"/>
      <c r="V55" s="197"/>
      <c r="W55" s="197"/>
      <c r="X55" s="224"/>
      <c r="Y55" s="224"/>
    </row>
    <row r="56" ht="15.75" customHeight="1">
      <c r="B56" s="197">
        <v>51.0</v>
      </c>
      <c r="C56" s="197"/>
      <c r="D56" s="197"/>
      <c r="E56" s="197"/>
      <c r="F56" s="197"/>
      <c r="G56" s="197"/>
      <c r="H56" s="197"/>
      <c r="I56" s="197"/>
      <c r="J56" s="197"/>
      <c r="K56" s="197"/>
      <c r="L56" s="197"/>
      <c r="M56" s="197"/>
      <c r="N56" s="197"/>
      <c r="O56" s="197"/>
      <c r="P56" s="197"/>
      <c r="Q56" s="197"/>
      <c r="R56" s="197"/>
      <c r="S56" s="197"/>
      <c r="T56" s="197"/>
      <c r="U56" s="197"/>
      <c r="V56" s="197"/>
      <c r="W56" s="197"/>
      <c r="X56" s="224"/>
      <c r="Y56" s="224"/>
    </row>
    <row r="57" ht="15.75" customHeight="1">
      <c r="B57" s="197">
        <v>52.0</v>
      </c>
      <c r="C57" s="197"/>
      <c r="D57" s="197"/>
      <c r="E57" s="197"/>
      <c r="F57" s="197"/>
      <c r="G57" s="197"/>
      <c r="H57" s="197"/>
      <c r="I57" s="197"/>
      <c r="J57" s="197"/>
      <c r="K57" s="197"/>
      <c r="L57" s="197"/>
      <c r="M57" s="197"/>
      <c r="N57" s="197"/>
      <c r="O57" s="197"/>
      <c r="P57" s="197"/>
      <c r="Q57" s="197"/>
      <c r="R57" s="197"/>
      <c r="S57" s="197"/>
      <c r="T57" s="197"/>
      <c r="U57" s="197"/>
      <c r="V57" s="197"/>
      <c r="W57" s="197"/>
      <c r="X57" s="224"/>
      <c r="Y57" s="224"/>
    </row>
    <row r="58" ht="15.75" customHeight="1">
      <c r="B58" s="197">
        <v>53.0</v>
      </c>
      <c r="C58" s="197"/>
      <c r="D58" s="197"/>
      <c r="E58" s="197"/>
      <c r="F58" s="197"/>
      <c r="G58" s="197"/>
      <c r="H58" s="197"/>
      <c r="I58" s="197"/>
      <c r="J58" s="197"/>
      <c r="K58" s="197"/>
      <c r="L58" s="197"/>
      <c r="M58" s="197"/>
      <c r="N58" s="197"/>
      <c r="O58" s="197"/>
      <c r="P58" s="197"/>
      <c r="Q58" s="197"/>
      <c r="R58" s="197"/>
      <c r="S58" s="197"/>
      <c r="T58" s="197"/>
      <c r="U58" s="197"/>
      <c r="V58" s="197"/>
      <c r="W58" s="197"/>
      <c r="X58" s="224"/>
      <c r="Y58" s="224"/>
    </row>
    <row r="59" ht="15.75" customHeight="1">
      <c r="B59" s="197">
        <v>54.0</v>
      </c>
      <c r="C59" s="197"/>
      <c r="D59" s="197"/>
      <c r="E59" s="197"/>
      <c r="F59" s="197"/>
      <c r="G59" s="197"/>
      <c r="H59" s="197"/>
      <c r="I59" s="197"/>
      <c r="J59" s="197"/>
      <c r="K59" s="197"/>
      <c r="L59" s="197"/>
      <c r="M59" s="197"/>
      <c r="N59" s="197"/>
      <c r="O59" s="197"/>
      <c r="P59" s="197"/>
      <c r="Q59" s="197"/>
      <c r="R59" s="197"/>
      <c r="S59" s="197"/>
      <c r="T59" s="197"/>
      <c r="U59" s="197"/>
      <c r="V59" s="197"/>
      <c r="W59" s="197"/>
      <c r="X59" s="224"/>
      <c r="Y59" s="224"/>
    </row>
    <row r="60" ht="15.75" customHeight="1">
      <c r="B60" s="197">
        <v>55.0</v>
      </c>
      <c r="C60" s="197"/>
      <c r="D60" s="197"/>
      <c r="E60" s="197"/>
      <c r="F60" s="197"/>
      <c r="G60" s="197"/>
      <c r="H60" s="197"/>
      <c r="I60" s="197"/>
      <c r="J60" s="197"/>
      <c r="K60" s="197"/>
      <c r="L60" s="197"/>
      <c r="M60" s="197"/>
      <c r="N60" s="197"/>
      <c r="O60" s="197"/>
      <c r="P60" s="197"/>
      <c r="Q60" s="197"/>
      <c r="R60" s="197"/>
      <c r="S60" s="197"/>
      <c r="T60" s="197"/>
      <c r="U60" s="197"/>
      <c r="V60" s="197"/>
      <c r="W60" s="197"/>
      <c r="X60" s="224"/>
      <c r="Y60" s="224"/>
    </row>
    <row r="61" ht="15.75" customHeight="1">
      <c r="B61" s="197">
        <v>56.0</v>
      </c>
      <c r="C61" s="197"/>
      <c r="D61" s="197"/>
      <c r="E61" s="197"/>
      <c r="F61" s="197"/>
      <c r="G61" s="197"/>
      <c r="H61" s="197"/>
      <c r="I61" s="197"/>
      <c r="J61" s="197"/>
      <c r="K61" s="197"/>
      <c r="L61" s="197"/>
      <c r="M61" s="197"/>
      <c r="N61" s="197"/>
      <c r="O61" s="197"/>
      <c r="P61" s="197"/>
      <c r="Q61" s="197"/>
      <c r="R61" s="197"/>
      <c r="S61" s="197"/>
      <c r="T61" s="197"/>
      <c r="U61" s="197"/>
      <c r="V61" s="197"/>
      <c r="W61" s="197"/>
      <c r="X61" s="224"/>
      <c r="Y61" s="224"/>
    </row>
    <row r="62" ht="15.75" customHeight="1">
      <c r="B62" s="197">
        <v>57.0</v>
      </c>
      <c r="C62" s="197"/>
      <c r="D62" s="197"/>
      <c r="E62" s="197"/>
      <c r="F62" s="197"/>
      <c r="G62" s="197"/>
      <c r="H62" s="197"/>
      <c r="I62" s="197"/>
      <c r="J62" s="197"/>
      <c r="K62" s="197"/>
      <c r="L62" s="197"/>
      <c r="M62" s="197"/>
      <c r="N62" s="197"/>
      <c r="O62" s="197"/>
      <c r="P62" s="197"/>
      <c r="Q62" s="197"/>
      <c r="R62" s="197"/>
      <c r="S62" s="197"/>
      <c r="T62" s="197"/>
      <c r="U62" s="197"/>
      <c r="V62" s="197"/>
      <c r="W62" s="197"/>
      <c r="X62" s="224"/>
      <c r="Y62" s="224"/>
    </row>
    <row r="63" ht="15.75" customHeight="1">
      <c r="B63" s="197">
        <v>58.0</v>
      </c>
      <c r="C63" s="197"/>
      <c r="D63" s="197"/>
      <c r="E63" s="197"/>
      <c r="F63" s="197"/>
      <c r="G63" s="197"/>
      <c r="H63" s="197"/>
      <c r="I63" s="197"/>
      <c r="J63" s="197"/>
      <c r="K63" s="197"/>
      <c r="L63" s="197"/>
      <c r="M63" s="197"/>
      <c r="N63" s="197"/>
      <c r="O63" s="197"/>
      <c r="P63" s="197"/>
      <c r="Q63" s="197"/>
      <c r="R63" s="197"/>
      <c r="S63" s="197"/>
      <c r="T63" s="197"/>
      <c r="U63" s="197"/>
      <c r="V63" s="197"/>
      <c r="W63" s="197"/>
      <c r="X63" s="224"/>
      <c r="Y63" s="224"/>
    </row>
    <row r="64" ht="15.75" customHeight="1">
      <c r="B64" s="197">
        <v>59.0</v>
      </c>
      <c r="C64" s="197"/>
      <c r="D64" s="197"/>
      <c r="E64" s="197"/>
      <c r="F64" s="197"/>
      <c r="G64" s="197"/>
      <c r="H64" s="197"/>
      <c r="I64" s="197"/>
      <c r="J64" s="197"/>
      <c r="K64" s="197"/>
      <c r="L64" s="197"/>
      <c r="M64" s="197"/>
      <c r="N64" s="197"/>
      <c r="O64" s="197"/>
      <c r="P64" s="197"/>
      <c r="Q64" s="197"/>
      <c r="R64" s="197"/>
      <c r="S64" s="197"/>
      <c r="T64" s="197"/>
      <c r="U64" s="197"/>
      <c r="V64" s="197"/>
      <c r="W64" s="197"/>
      <c r="X64" s="224"/>
      <c r="Y64" s="224"/>
    </row>
    <row r="65" ht="15.75" customHeight="1">
      <c r="B65" s="197">
        <v>60.0</v>
      </c>
      <c r="C65" s="197"/>
      <c r="D65" s="197"/>
      <c r="E65" s="197"/>
      <c r="F65" s="197"/>
      <c r="G65" s="197"/>
      <c r="H65" s="197"/>
      <c r="I65" s="197"/>
      <c r="J65" s="197"/>
      <c r="K65" s="197"/>
      <c r="L65" s="197"/>
      <c r="M65" s="197"/>
      <c r="N65" s="197"/>
      <c r="O65" s="197"/>
      <c r="P65" s="197"/>
      <c r="Q65" s="197"/>
      <c r="R65" s="197"/>
      <c r="S65" s="197"/>
      <c r="T65" s="197"/>
      <c r="U65" s="197"/>
      <c r="V65" s="197"/>
      <c r="W65" s="197"/>
      <c r="X65" s="224"/>
      <c r="Y65" s="224"/>
    </row>
    <row r="66" ht="15.75" customHeight="1">
      <c r="B66" s="197">
        <v>61.0</v>
      </c>
      <c r="C66" s="197"/>
      <c r="D66" s="197"/>
      <c r="E66" s="197"/>
      <c r="F66" s="197"/>
      <c r="G66" s="197"/>
      <c r="H66" s="197"/>
      <c r="I66" s="197"/>
      <c r="J66" s="197"/>
      <c r="K66" s="197"/>
      <c r="L66" s="197"/>
      <c r="M66" s="197"/>
      <c r="N66" s="197"/>
      <c r="O66" s="197"/>
      <c r="P66" s="197"/>
      <c r="Q66" s="197"/>
      <c r="R66" s="197"/>
      <c r="S66" s="197"/>
      <c r="T66" s="197"/>
      <c r="U66" s="197"/>
      <c r="V66" s="197"/>
      <c r="W66" s="197"/>
      <c r="X66" s="224"/>
      <c r="Y66" s="224"/>
    </row>
    <row r="67" ht="15.75" customHeight="1">
      <c r="B67" s="197">
        <v>62.0</v>
      </c>
      <c r="C67" s="197"/>
      <c r="D67" s="197"/>
      <c r="E67" s="197"/>
      <c r="F67" s="197"/>
      <c r="G67" s="197"/>
      <c r="H67" s="197"/>
      <c r="I67" s="197"/>
      <c r="J67" s="197"/>
      <c r="K67" s="197"/>
      <c r="L67" s="197"/>
      <c r="M67" s="197"/>
      <c r="N67" s="197"/>
      <c r="O67" s="197"/>
      <c r="P67" s="197"/>
      <c r="Q67" s="197"/>
      <c r="R67" s="197"/>
      <c r="S67" s="197"/>
      <c r="T67" s="197"/>
      <c r="U67" s="197"/>
      <c r="V67" s="197"/>
      <c r="W67" s="197"/>
      <c r="X67" s="224"/>
      <c r="Y67" s="224"/>
    </row>
    <row r="68" ht="15.75" customHeight="1">
      <c r="B68" s="197">
        <v>63.0</v>
      </c>
      <c r="C68" s="197"/>
      <c r="D68" s="197"/>
      <c r="E68" s="197"/>
      <c r="F68" s="197"/>
      <c r="G68" s="197"/>
      <c r="H68" s="197"/>
      <c r="I68" s="197"/>
      <c r="J68" s="197"/>
      <c r="K68" s="197"/>
      <c r="L68" s="197"/>
      <c r="M68" s="197"/>
      <c r="N68" s="197"/>
      <c r="O68" s="197"/>
      <c r="P68" s="197"/>
      <c r="Q68" s="197"/>
      <c r="R68" s="197"/>
      <c r="S68" s="197"/>
      <c r="T68" s="197"/>
      <c r="U68" s="197"/>
      <c r="V68" s="197"/>
      <c r="W68" s="197"/>
      <c r="X68" s="224"/>
      <c r="Y68" s="224"/>
    </row>
    <row r="69" ht="15.75" customHeight="1">
      <c r="B69" s="197">
        <v>64.0</v>
      </c>
      <c r="C69" s="197"/>
      <c r="D69" s="197"/>
      <c r="E69" s="197"/>
      <c r="F69" s="197"/>
      <c r="G69" s="197"/>
      <c r="H69" s="197"/>
      <c r="I69" s="197"/>
      <c r="J69" s="197"/>
      <c r="K69" s="197"/>
      <c r="L69" s="197"/>
      <c r="M69" s="197"/>
      <c r="N69" s="197"/>
      <c r="O69" s="197"/>
      <c r="P69" s="197"/>
      <c r="Q69" s="197"/>
      <c r="R69" s="197"/>
      <c r="S69" s="197"/>
      <c r="T69" s="197"/>
      <c r="U69" s="197"/>
      <c r="V69" s="197"/>
      <c r="W69" s="197"/>
      <c r="X69" s="224"/>
      <c r="Y69" s="224"/>
    </row>
    <row r="70" ht="15.75" customHeight="1">
      <c r="B70" s="197">
        <v>65.0</v>
      </c>
      <c r="C70" s="197"/>
      <c r="D70" s="197"/>
      <c r="E70" s="197"/>
      <c r="F70" s="197"/>
      <c r="G70" s="197"/>
      <c r="H70" s="197"/>
      <c r="I70" s="197"/>
      <c r="J70" s="197"/>
      <c r="K70" s="197"/>
      <c r="L70" s="197"/>
      <c r="M70" s="197"/>
      <c r="N70" s="197"/>
      <c r="O70" s="197"/>
      <c r="P70" s="197"/>
      <c r="Q70" s="197"/>
      <c r="R70" s="197"/>
      <c r="S70" s="197"/>
      <c r="T70" s="197"/>
      <c r="U70" s="197"/>
      <c r="V70" s="197"/>
      <c r="W70" s="197"/>
      <c r="X70" s="224"/>
      <c r="Y70" s="224"/>
    </row>
    <row r="71" ht="15.75" customHeight="1">
      <c r="B71" s="197">
        <v>66.0</v>
      </c>
      <c r="C71" s="197"/>
      <c r="D71" s="197"/>
      <c r="E71" s="197"/>
      <c r="F71" s="197"/>
      <c r="G71" s="197"/>
      <c r="H71" s="197"/>
      <c r="I71" s="197"/>
      <c r="J71" s="197"/>
      <c r="K71" s="197"/>
      <c r="L71" s="197"/>
      <c r="M71" s="197"/>
      <c r="N71" s="197"/>
      <c r="O71" s="197"/>
      <c r="P71" s="197"/>
      <c r="Q71" s="197"/>
      <c r="R71" s="197"/>
      <c r="S71" s="197"/>
      <c r="T71" s="197"/>
      <c r="U71" s="197"/>
      <c r="V71" s="197"/>
      <c r="W71" s="197"/>
      <c r="X71" s="224"/>
      <c r="Y71" s="224"/>
    </row>
    <row r="72" ht="15.75" customHeight="1">
      <c r="B72" s="197">
        <v>67.0</v>
      </c>
      <c r="C72" s="197"/>
      <c r="D72" s="197"/>
      <c r="E72" s="197"/>
      <c r="F72" s="197"/>
      <c r="G72" s="197"/>
      <c r="H72" s="197"/>
      <c r="I72" s="197"/>
      <c r="J72" s="197"/>
      <c r="K72" s="197"/>
      <c r="L72" s="197"/>
      <c r="M72" s="197"/>
      <c r="N72" s="197"/>
      <c r="O72" s="197"/>
      <c r="P72" s="197"/>
      <c r="Q72" s="197"/>
      <c r="R72" s="197"/>
      <c r="S72" s="197"/>
      <c r="T72" s="197"/>
      <c r="U72" s="197"/>
      <c r="V72" s="197"/>
      <c r="W72" s="197"/>
      <c r="X72" s="224"/>
      <c r="Y72" s="224"/>
    </row>
    <row r="73" ht="15.75" customHeight="1">
      <c r="B73" s="197">
        <v>68.0</v>
      </c>
      <c r="C73" s="197"/>
      <c r="D73" s="197"/>
      <c r="E73" s="197"/>
      <c r="F73" s="197"/>
      <c r="G73" s="197"/>
      <c r="H73" s="197"/>
      <c r="I73" s="197"/>
      <c r="J73" s="197"/>
      <c r="K73" s="197"/>
      <c r="L73" s="197"/>
      <c r="M73" s="197"/>
      <c r="N73" s="197"/>
      <c r="O73" s="197"/>
      <c r="P73" s="197"/>
      <c r="Q73" s="197"/>
      <c r="R73" s="197"/>
      <c r="S73" s="197"/>
      <c r="T73" s="197"/>
      <c r="U73" s="197"/>
      <c r="V73" s="197"/>
      <c r="W73" s="197"/>
      <c r="X73" s="224"/>
      <c r="Y73" s="224"/>
    </row>
    <row r="74" ht="15.75" customHeight="1">
      <c r="B74" s="197">
        <v>69.0</v>
      </c>
      <c r="C74" s="197"/>
      <c r="D74" s="197"/>
      <c r="E74" s="197"/>
      <c r="F74" s="197"/>
      <c r="G74" s="197"/>
      <c r="H74" s="197"/>
      <c r="I74" s="197"/>
      <c r="J74" s="197"/>
      <c r="K74" s="197"/>
      <c r="L74" s="197"/>
      <c r="M74" s="197"/>
      <c r="N74" s="197"/>
      <c r="O74" s="197"/>
      <c r="P74" s="197"/>
      <c r="Q74" s="197"/>
      <c r="R74" s="197"/>
      <c r="S74" s="197"/>
      <c r="T74" s="197"/>
      <c r="U74" s="197"/>
      <c r="V74" s="197"/>
      <c r="W74" s="197"/>
      <c r="X74" s="224"/>
      <c r="Y74" s="224"/>
    </row>
    <row r="75" ht="15.75" customHeight="1">
      <c r="B75" s="197">
        <v>70.0</v>
      </c>
      <c r="C75" s="197"/>
      <c r="D75" s="197"/>
      <c r="E75" s="197"/>
      <c r="F75" s="197"/>
      <c r="G75" s="197"/>
      <c r="H75" s="197"/>
      <c r="I75" s="197"/>
      <c r="J75" s="197"/>
      <c r="K75" s="197"/>
      <c r="L75" s="197"/>
      <c r="M75" s="197"/>
      <c r="N75" s="197"/>
      <c r="O75" s="197"/>
      <c r="P75" s="197"/>
      <c r="Q75" s="197"/>
      <c r="R75" s="197"/>
      <c r="S75" s="197"/>
      <c r="T75" s="197"/>
      <c r="U75" s="197"/>
      <c r="V75" s="197"/>
      <c r="W75" s="197"/>
      <c r="X75" s="224"/>
      <c r="Y75" s="224"/>
    </row>
    <row r="76" ht="15.75" customHeight="1">
      <c r="B76" s="197">
        <v>71.0</v>
      </c>
      <c r="C76" s="197"/>
      <c r="D76" s="197"/>
      <c r="E76" s="197"/>
      <c r="F76" s="197"/>
      <c r="G76" s="197"/>
      <c r="H76" s="197"/>
      <c r="I76" s="197"/>
      <c r="J76" s="197"/>
      <c r="K76" s="197"/>
      <c r="L76" s="197"/>
      <c r="M76" s="197"/>
      <c r="N76" s="197"/>
      <c r="O76" s="197"/>
      <c r="P76" s="197"/>
      <c r="Q76" s="197"/>
      <c r="R76" s="197"/>
      <c r="S76" s="197"/>
      <c r="T76" s="197"/>
      <c r="U76" s="197"/>
      <c r="V76" s="197"/>
      <c r="W76" s="197"/>
      <c r="X76" s="224"/>
      <c r="Y76" s="224"/>
    </row>
    <row r="77" ht="15.75" customHeight="1">
      <c r="B77" s="197">
        <v>72.0</v>
      </c>
      <c r="C77" s="197"/>
      <c r="D77" s="197"/>
      <c r="E77" s="197"/>
      <c r="F77" s="197"/>
      <c r="G77" s="197"/>
      <c r="H77" s="197"/>
      <c r="I77" s="197"/>
      <c r="J77" s="197"/>
      <c r="K77" s="197"/>
      <c r="L77" s="197"/>
      <c r="M77" s="197"/>
      <c r="N77" s="197"/>
      <c r="O77" s="197"/>
      <c r="P77" s="197"/>
      <c r="Q77" s="197"/>
      <c r="R77" s="197"/>
      <c r="S77" s="197"/>
      <c r="T77" s="197"/>
      <c r="U77" s="197"/>
      <c r="V77" s="197"/>
      <c r="W77" s="197"/>
      <c r="X77" s="224"/>
      <c r="Y77" s="224"/>
    </row>
    <row r="78" ht="15.75" customHeight="1">
      <c r="B78" s="197">
        <v>73.0</v>
      </c>
      <c r="C78" s="197"/>
      <c r="D78" s="197"/>
      <c r="E78" s="197"/>
      <c r="F78" s="197"/>
      <c r="G78" s="197"/>
      <c r="H78" s="197"/>
      <c r="I78" s="197"/>
      <c r="J78" s="197"/>
      <c r="K78" s="197"/>
      <c r="L78" s="197"/>
      <c r="M78" s="197"/>
      <c r="N78" s="197"/>
      <c r="O78" s="197"/>
      <c r="P78" s="197"/>
      <c r="Q78" s="197"/>
      <c r="R78" s="197"/>
      <c r="S78" s="197"/>
      <c r="T78" s="197"/>
      <c r="U78" s="197"/>
      <c r="V78" s="197"/>
      <c r="W78" s="197"/>
      <c r="X78" s="224"/>
      <c r="Y78" s="224"/>
    </row>
    <row r="79" ht="15.75" customHeight="1">
      <c r="B79" s="197">
        <v>74.0</v>
      </c>
      <c r="C79" s="197"/>
      <c r="D79" s="197"/>
      <c r="E79" s="197"/>
      <c r="F79" s="197"/>
      <c r="G79" s="197"/>
      <c r="H79" s="197"/>
      <c r="I79" s="197"/>
      <c r="J79" s="197"/>
      <c r="K79" s="197"/>
      <c r="L79" s="197"/>
      <c r="M79" s="197"/>
      <c r="N79" s="197"/>
      <c r="O79" s="197"/>
      <c r="P79" s="197"/>
      <c r="Q79" s="197"/>
      <c r="R79" s="197"/>
      <c r="S79" s="197"/>
      <c r="T79" s="197"/>
      <c r="U79" s="197"/>
      <c r="V79" s="197"/>
      <c r="W79" s="197"/>
      <c r="X79" s="224"/>
      <c r="Y79" s="224"/>
    </row>
    <row r="80" ht="15.75" customHeight="1">
      <c r="B80" s="197">
        <v>75.0</v>
      </c>
      <c r="C80" s="197"/>
      <c r="D80" s="197"/>
      <c r="E80" s="197"/>
      <c r="F80" s="197"/>
      <c r="G80" s="197"/>
      <c r="H80" s="197"/>
      <c r="I80" s="197"/>
      <c r="J80" s="197"/>
      <c r="K80" s="197"/>
      <c r="L80" s="197"/>
      <c r="M80" s="197"/>
      <c r="N80" s="197"/>
      <c r="O80" s="197"/>
      <c r="P80" s="197"/>
      <c r="Q80" s="197"/>
      <c r="R80" s="197"/>
      <c r="S80" s="197"/>
      <c r="T80" s="197"/>
      <c r="U80" s="197"/>
      <c r="V80" s="197"/>
      <c r="W80" s="197"/>
      <c r="X80" s="224"/>
      <c r="Y80" s="224"/>
    </row>
    <row r="81" ht="15.75" customHeight="1">
      <c r="B81" s="197">
        <v>76.0</v>
      </c>
      <c r="C81" s="197"/>
      <c r="D81" s="197"/>
      <c r="E81" s="197"/>
      <c r="F81" s="197"/>
      <c r="G81" s="197"/>
      <c r="H81" s="197"/>
      <c r="I81" s="197"/>
      <c r="J81" s="197"/>
      <c r="K81" s="197"/>
      <c r="L81" s="197"/>
      <c r="M81" s="197"/>
      <c r="N81" s="197"/>
      <c r="O81" s="197"/>
      <c r="P81" s="197"/>
      <c r="Q81" s="197"/>
      <c r="R81" s="197"/>
      <c r="S81" s="197"/>
      <c r="T81" s="197"/>
      <c r="U81" s="197"/>
      <c r="V81" s="197"/>
      <c r="W81" s="197"/>
      <c r="X81" s="224"/>
      <c r="Y81" s="224"/>
    </row>
    <row r="82" ht="15.75" customHeight="1">
      <c r="B82" s="197">
        <v>77.0</v>
      </c>
      <c r="C82" s="197"/>
      <c r="D82" s="197"/>
      <c r="E82" s="197"/>
      <c r="F82" s="197"/>
      <c r="G82" s="197"/>
      <c r="H82" s="197"/>
      <c r="I82" s="197"/>
      <c r="J82" s="197"/>
      <c r="K82" s="197"/>
      <c r="L82" s="197"/>
      <c r="M82" s="197"/>
      <c r="N82" s="197"/>
      <c r="O82" s="197"/>
      <c r="P82" s="197"/>
      <c r="Q82" s="197"/>
      <c r="R82" s="197"/>
      <c r="S82" s="197"/>
      <c r="T82" s="197"/>
      <c r="U82" s="197"/>
      <c r="V82" s="197"/>
      <c r="W82" s="197"/>
      <c r="X82" s="224"/>
      <c r="Y82" s="224"/>
    </row>
    <row r="83" ht="15.75" customHeight="1">
      <c r="B83" s="197">
        <v>78.0</v>
      </c>
      <c r="C83" s="197"/>
      <c r="D83" s="197"/>
      <c r="E83" s="197"/>
      <c r="F83" s="197"/>
      <c r="G83" s="197"/>
      <c r="H83" s="197"/>
      <c r="I83" s="197"/>
      <c r="J83" s="197"/>
      <c r="K83" s="197"/>
      <c r="L83" s="197"/>
      <c r="M83" s="197"/>
      <c r="N83" s="197"/>
      <c r="O83" s="197"/>
      <c r="P83" s="197"/>
      <c r="Q83" s="197"/>
      <c r="R83" s="197"/>
      <c r="S83" s="197"/>
      <c r="T83" s="197"/>
      <c r="U83" s="197"/>
      <c r="V83" s="197"/>
      <c r="W83" s="197"/>
      <c r="X83" s="224"/>
      <c r="Y83" s="224"/>
    </row>
    <row r="84" ht="15.75" customHeight="1">
      <c r="B84" s="197">
        <v>79.0</v>
      </c>
      <c r="C84" s="197"/>
      <c r="D84" s="197"/>
      <c r="E84" s="197"/>
      <c r="F84" s="197"/>
      <c r="G84" s="197"/>
      <c r="H84" s="197"/>
      <c r="I84" s="197"/>
      <c r="J84" s="197"/>
      <c r="K84" s="197"/>
      <c r="L84" s="197"/>
      <c r="M84" s="197"/>
      <c r="N84" s="197"/>
      <c r="O84" s="197"/>
      <c r="P84" s="197"/>
      <c r="Q84" s="197"/>
      <c r="R84" s="197"/>
      <c r="S84" s="197"/>
      <c r="T84" s="197"/>
      <c r="U84" s="197"/>
      <c r="V84" s="197"/>
      <c r="W84" s="197"/>
      <c r="X84" s="224"/>
      <c r="Y84" s="224"/>
    </row>
    <row r="85" ht="15.75" customHeight="1">
      <c r="B85" s="197">
        <v>80.0</v>
      </c>
      <c r="C85" s="197"/>
      <c r="D85" s="197"/>
      <c r="E85" s="197"/>
      <c r="F85" s="197"/>
      <c r="G85" s="197"/>
      <c r="H85" s="197"/>
      <c r="I85" s="197"/>
      <c r="J85" s="197"/>
      <c r="K85" s="197"/>
      <c r="L85" s="197"/>
      <c r="M85" s="197"/>
      <c r="N85" s="197"/>
      <c r="O85" s="197"/>
      <c r="P85" s="197"/>
      <c r="Q85" s="197"/>
      <c r="R85" s="197"/>
      <c r="S85" s="197"/>
      <c r="T85" s="197"/>
      <c r="U85" s="197"/>
      <c r="V85" s="197"/>
      <c r="W85" s="197"/>
      <c r="X85" s="224"/>
      <c r="Y85" s="224"/>
    </row>
    <row r="86" ht="15.75" customHeight="1">
      <c r="B86" s="197">
        <v>81.0</v>
      </c>
      <c r="C86" s="197"/>
      <c r="D86" s="197"/>
      <c r="E86" s="197"/>
      <c r="F86" s="197"/>
      <c r="G86" s="197"/>
      <c r="H86" s="197"/>
      <c r="I86" s="197"/>
      <c r="J86" s="197"/>
      <c r="K86" s="197"/>
      <c r="L86" s="197"/>
      <c r="M86" s="197"/>
      <c r="N86" s="197"/>
      <c r="O86" s="197"/>
      <c r="P86" s="197"/>
      <c r="Q86" s="197"/>
      <c r="R86" s="197"/>
      <c r="S86" s="197"/>
      <c r="T86" s="197"/>
      <c r="U86" s="197"/>
      <c r="V86" s="197"/>
      <c r="W86" s="197"/>
      <c r="X86" s="224"/>
      <c r="Y86" s="224"/>
    </row>
    <row r="87" ht="15.75" customHeight="1">
      <c r="B87" s="197">
        <v>82.0</v>
      </c>
      <c r="C87" s="197"/>
      <c r="D87" s="197"/>
      <c r="E87" s="197"/>
      <c r="F87" s="197"/>
      <c r="G87" s="197"/>
      <c r="H87" s="197"/>
      <c r="I87" s="197"/>
      <c r="J87" s="197"/>
      <c r="K87" s="197"/>
      <c r="L87" s="197"/>
      <c r="M87" s="197"/>
      <c r="N87" s="197"/>
      <c r="O87" s="197"/>
      <c r="P87" s="197"/>
      <c r="Q87" s="197"/>
      <c r="R87" s="197"/>
      <c r="S87" s="197"/>
      <c r="T87" s="197"/>
      <c r="U87" s="197"/>
      <c r="V87" s="197"/>
      <c r="W87" s="197"/>
      <c r="X87" s="224"/>
      <c r="Y87" s="224"/>
    </row>
    <row r="88" ht="15.75" customHeight="1">
      <c r="B88" s="197">
        <v>83.0</v>
      </c>
      <c r="C88" s="197"/>
      <c r="D88" s="197"/>
      <c r="E88" s="197"/>
      <c r="F88" s="197"/>
      <c r="G88" s="197"/>
      <c r="H88" s="197"/>
      <c r="I88" s="197"/>
      <c r="J88" s="197"/>
      <c r="K88" s="197"/>
      <c r="L88" s="197"/>
      <c r="M88" s="197"/>
      <c r="N88" s="197"/>
      <c r="O88" s="197"/>
      <c r="P88" s="197"/>
      <c r="Q88" s="197"/>
      <c r="R88" s="197"/>
      <c r="S88" s="197"/>
      <c r="T88" s="197"/>
      <c r="U88" s="197"/>
      <c r="V88" s="197"/>
      <c r="W88" s="197"/>
      <c r="X88" s="224"/>
      <c r="Y88" s="224"/>
    </row>
    <row r="89" ht="15.75" customHeight="1">
      <c r="B89" s="197">
        <v>84.0</v>
      </c>
      <c r="C89" s="197"/>
      <c r="D89" s="197"/>
      <c r="E89" s="197"/>
      <c r="F89" s="197"/>
      <c r="G89" s="197"/>
      <c r="H89" s="197"/>
      <c r="I89" s="197"/>
      <c r="J89" s="197"/>
      <c r="K89" s="197"/>
      <c r="L89" s="197"/>
      <c r="M89" s="197"/>
      <c r="N89" s="197"/>
      <c r="O89" s="197"/>
      <c r="P89" s="197"/>
      <c r="Q89" s="197"/>
      <c r="R89" s="197"/>
      <c r="S89" s="197"/>
      <c r="T89" s="197"/>
      <c r="U89" s="197"/>
      <c r="V89" s="197"/>
      <c r="W89" s="197"/>
      <c r="X89" s="224"/>
      <c r="Y89" s="224"/>
    </row>
    <row r="90" ht="15.75" customHeight="1">
      <c r="B90" s="197">
        <v>85.0</v>
      </c>
      <c r="C90" s="197"/>
      <c r="D90" s="197"/>
      <c r="E90" s="197"/>
      <c r="F90" s="197"/>
      <c r="G90" s="197"/>
      <c r="H90" s="197"/>
      <c r="I90" s="197"/>
      <c r="J90" s="197"/>
      <c r="K90" s="197"/>
      <c r="L90" s="197"/>
      <c r="M90" s="197"/>
      <c r="N90" s="197"/>
      <c r="O90" s="197"/>
      <c r="P90" s="197"/>
      <c r="Q90" s="197"/>
      <c r="R90" s="197"/>
      <c r="S90" s="197"/>
      <c r="T90" s="197"/>
      <c r="U90" s="197"/>
      <c r="V90" s="197"/>
      <c r="W90" s="197"/>
      <c r="X90" s="224"/>
      <c r="Y90" s="224"/>
    </row>
    <row r="91" ht="15.75" customHeight="1">
      <c r="B91" s="197">
        <v>86.0</v>
      </c>
      <c r="C91" s="197"/>
      <c r="D91" s="197"/>
      <c r="E91" s="197"/>
      <c r="F91" s="197"/>
      <c r="G91" s="197"/>
      <c r="H91" s="197"/>
      <c r="I91" s="197"/>
      <c r="J91" s="197"/>
      <c r="K91" s="197"/>
      <c r="L91" s="197"/>
      <c r="M91" s="197"/>
      <c r="N91" s="197"/>
      <c r="O91" s="197"/>
      <c r="P91" s="197"/>
      <c r="Q91" s="197"/>
      <c r="R91" s="197"/>
      <c r="S91" s="197"/>
      <c r="T91" s="197"/>
      <c r="U91" s="197"/>
      <c r="V91" s="197"/>
      <c r="W91" s="197"/>
      <c r="X91" s="224"/>
      <c r="Y91" s="224"/>
    </row>
    <row r="92" ht="15.75" customHeight="1">
      <c r="B92" s="197">
        <v>87.0</v>
      </c>
      <c r="C92" s="197"/>
      <c r="D92" s="197"/>
      <c r="E92" s="197"/>
      <c r="F92" s="197"/>
      <c r="G92" s="197"/>
      <c r="H92" s="197"/>
      <c r="I92" s="197"/>
      <c r="J92" s="197"/>
      <c r="K92" s="197"/>
      <c r="L92" s="197"/>
      <c r="M92" s="197"/>
      <c r="N92" s="197"/>
      <c r="O92" s="197"/>
      <c r="P92" s="197"/>
      <c r="Q92" s="197"/>
      <c r="R92" s="197"/>
      <c r="S92" s="197"/>
      <c r="T92" s="197"/>
      <c r="U92" s="197"/>
      <c r="V92" s="197"/>
      <c r="W92" s="197"/>
      <c r="X92" s="224"/>
      <c r="Y92" s="224"/>
    </row>
    <row r="93" ht="15.75" customHeight="1">
      <c r="B93" s="197">
        <v>88.0</v>
      </c>
      <c r="C93" s="197"/>
      <c r="D93" s="197"/>
      <c r="E93" s="197"/>
      <c r="F93" s="197"/>
      <c r="G93" s="197"/>
      <c r="H93" s="197"/>
      <c r="I93" s="197"/>
      <c r="J93" s="197"/>
      <c r="K93" s="197"/>
      <c r="L93" s="197"/>
      <c r="M93" s="197"/>
      <c r="N93" s="197"/>
      <c r="O93" s="197"/>
      <c r="P93" s="197"/>
      <c r="Q93" s="197"/>
      <c r="R93" s="197"/>
      <c r="S93" s="197"/>
      <c r="T93" s="197"/>
      <c r="U93" s="197"/>
      <c r="V93" s="197"/>
      <c r="W93" s="197"/>
      <c r="X93" s="224"/>
      <c r="Y93" s="224"/>
    </row>
    <row r="94" ht="15.75" customHeight="1">
      <c r="B94" s="197">
        <v>89.0</v>
      </c>
      <c r="C94" s="197"/>
      <c r="D94" s="197"/>
      <c r="E94" s="197"/>
      <c r="F94" s="197"/>
      <c r="G94" s="197"/>
      <c r="H94" s="197"/>
      <c r="I94" s="197"/>
      <c r="J94" s="197"/>
      <c r="K94" s="197"/>
      <c r="L94" s="197"/>
      <c r="M94" s="197"/>
      <c r="N94" s="197"/>
      <c r="O94" s="197"/>
      <c r="P94" s="197"/>
      <c r="Q94" s="197"/>
      <c r="R94" s="197"/>
      <c r="S94" s="197"/>
      <c r="T94" s="197"/>
      <c r="U94" s="197"/>
      <c r="V94" s="197"/>
      <c r="W94" s="197"/>
      <c r="X94" s="224"/>
      <c r="Y94" s="224"/>
    </row>
    <row r="95" ht="15.75" customHeight="1">
      <c r="B95" s="197">
        <v>90.0</v>
      </c>
      <c r="C95" s="197"/>
      <c r="D95" s="197"/>
      <c r="E95" s="197"/>
      <c r="F95" s="197"/>
      <c r="G95" s="197"/>
      <c r="H95" s="197"/>
      <c r="I95" s="197"/>
      <c r="J95" s="197"/>
      <c r="K95" s="197"/>
      <c r="L95" s="197"/>
      <c r="M95" s="197"/>
      <c r="N95" s="197"/>
      <c r="O95" s="197"/>
      <c r="P95" s="197"/>
      <c r="Q95" s="197"/>
      <c r="R95" s="197"/>
      <c r="S95" s="197"/>
      <c r="T95" s="197"/>
      <c r="U95" s="197"/>
      <c r="V95" s="197"/>
      <c r="W95" s="197"/>
      <c r="X95" s="224"/>
      <c r="Y95" s="224"/>
    </row>
    <row r="96" ht="15.75" customHeight="1">
      <c r="B96" s="197">
        <v>91.0</v>
      </c>
      <c r="C96" s="197"/>
      <c r="D96" s="197"/>
      <c r="E96" s="197"/>
      <c r="F96" s="197"/>
      <c r="G96" s="197"/>
      <c r="H96" s="197"/>
      <c r="I96" s="197"/>
      <c r="J96" s="197"/>
      <c r="K96" s="197"/>
      <c r="L96" s="197"/>
      <c r="M96" s="197"/>
      <c r="N96" s="197"/>
      <c r="O96" s="197"/>
      <c r="P96" s="197"/>
      <c r="Q96" s="197"/>
      <c r="R96" s="197"/>
      <c r="S96" s="197"/>
      <c r="T96" s="197"/>
      <c r="U96" s="197"/>
      <c r="V96" s="197"/>
      <c r="W96" s="197"/>
      <c r="X96" s="224"/>
      <c r="Y96" s="224"/>
    </row>
    <row r="97" ht="15.75" customHeight="1">
      <c r="B97" s="197">
        <v>92.0</v>
      </c>
      <c r="C97" s="197"/>
      <c r="D97" s="197"/>
      <c r="E97" s="197"/>
      <c r="F97" s="197"/>
      <c r="G97" s="197"/>
      <c r="H97" s="197"/>
      <c r="I97" s="197"/>
      <c r="J97" s="197"/>
      <c r="K97" s="197"/>
      <c r="L97" s="197"/>
      <c r="M97" s="197"/>
      <c r="N97" s="197"/>
      <c r="O97" s="197"/>
      <c r="P97" s="197"/>
      <c r="Q97" s="197"/>
      <c r="R97" s="197"/>
      <c r="S97" s="197"/>
      <c r="T97" s="197"/>
      <c r="U97" s="197"/>
      <c r="V97" s="197"/>
      <c r="W97" s="197"/>
      <c r="X97" s="224"/>
      <c r="Y97" s="224"/>
    </row>
    <row r="98" ht="15.75" customHeight="1">
      <c r="B98" s="197">
        <v>93.0</v>
      </c>
      <c r="C98" s="197"/>
      <c r="D98" s="197"/>
      <c r="E98" s="197"/>
      <c r="F98" s="197"/>
      <c r="G98" s="197"/>
      <c r="H98" s="197"/>
      <c r="I98" s="197"/>
      <c r="J98" s="197"/>
      <c r="K98" s="197"/>
      <c r="L98" s="197"/>
      <c r="M98" s="197"/>
      <c r="N98" s="197"/>
      <c r="O98" s="197"/>
      <c r="P98" s="197"/>
      <c r="Q98" s="197"/>
      <c r="R98" s="197"/>
      <c r="S98" s="197"/>
      <c r="T98" s="197"/>
      <c r="U98" s="197"/>
      <c r="V98" s="197"/>
      <c r="W98" s="197"/>
      <c r="X98" s="224"/>
      <c r="Y98" s="224"/>
    </row>
    <row r="99" ht="15.75" customHeight="1">
      <c r="B99" s="197">
        <v>94.0</v>
      </c>
      <c r="C99" s="197"/>
      <c r="D99" s="197"/>
      <c r="E99" s="197"/>
      <c r="F99" s="197"/>
      <c r="G99" s="197"/>
      <c r="H99" s="197"/>
      <c r="I99" s="197"/>
      <c r="J99" s="197"/>
      <c r="K99" s="197"/>
      <c r="L99" s="197"/>
      <c r="M99" s="197"/>
      <c r="N99" s="197"/>
      <c r="O99" s="197"/>
      <c r="P99" s="197"/>
      <c r="Q99" s="197"/>
      <c r="R99" s="197"/>
      <c r="S99" s="197"/>
      <c r="T99" s="197"/>
      <c r="U99" s="197"/>
      <c r="V99" s="197"/>
      <c r="W99" s="197"/>
      <c r="X99" s="224"/>
      <c r="Y99" s="224"/>
    </row>
    <row r="100" ht="15.75" customHeight="1">
      <c r="B100" s="197">
        <v>95.0</v>
      </c>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224"/>
      <c r="Y100" s="224"/>
    </row>
    <row r="101" ht="15.75" customHeight="1">
      <c r="B101" s="197">
        <v>96.0</v>
      </c>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224"/>
      <c r="Y101" s="224"/>
    </row>
    <row r="102" ht="15.75" customHeight="1">
      <c r="B102" s="197">
        <v>97.0</v>
      </c>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224"/>
      <c r="Y102" s="224"/>
    </row>
    <row r="103" ht="15.75" customHeight="1">
      <c r="B103" s="197">
        <v>98.0</v>
      </c>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224"/>
      <c r="Y103" s="224"/>
    </row>
    <row r="104" ht="15.75" customHeight="1">
      <c r="B104" s="197">
        <v>99.0</v>
      </c>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224"/>
      <c r="Y104" s="224"/>
    </row>
    <row r="105" ht="15.75" customHeight="1">
      <c r="B105" s="197">
        <v>100.0</v>
      </c>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224"/>
      <c r="Y105" s="224"/>
    </row>
    <row r="106" ht="15.75" customHeight="1">
      <c r="B106" s="197">
        <v>101.0</v>
      </c>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224"/>
      <c r="Y106" s="224"/>
    </row>
    <row r="107" ht="15.75" customHeight="1">
      <c r="B107" s="197">
        <v>102.0</v>
      </c>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224"/>
      <c r="Y107" s="224"/>
    </row>
    <row r="108" ht="15.75" customHeight="1">
      <c r="B108" s="197">
        <v>103.0</v>
      </c>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224"/>
      <c r="Y108" s="224"/>
    </row>
    <row r="109" ht="15.75" customHeight="1">
      <c r="B109" s="197">
        <v>104.0</v>
      </c>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224"/>
      <c r="Y109" s="224"/>
    </row>
    <row r="110" ht="15.75" customHeight="1">
      <c r="B110" s="197">
        <v>105.0</v>
      </c>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224"/>
      <c r="Y110" s="224"/>
    </row>
    <row r="111" ht="15.75" customHeight="1">
      <c r="B111" s="197">
        <v>106.0</v>
      </c>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224"/>
      <c r="Y111" s="224"/>
    </row>
    <row r="112" ht="15.75" customHeight="1">
      <c r="B112" s="197">
        <v>107.0</v>
      </c>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224"/>
      <c r="Y112" s="224"/>
    </row>
    <row r="113" ht="15.75" customHeight="1">
      <c r="B113" s="197">
        <v>108.0</v>
      </c>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224"/>
      <c r="Y113" s="224"/>
    </row>
    <row r="114" ht="15.75" customHeight="1">
      <c r="B114" s="197">
        <v>109.0</v>
      </c>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224"/>
      <c r="Y114" s="224"/>
    </row>
    <row r="115" ht="15.75" customHeight="1">
      <c r="B115" s="197">
        <v>110.0</v>
      </c>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224"/>
      <c r="Y115" s="224"/>
    </row>
    <row r="116" ht="15.75" customHeight="1">
      <c r="B116" s="197">
        <v>111.0</v>
      </c>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224"/>
      <c r="Y116" s="224"/>
    </row>
    <row r="117" ht="15.75" customHeight="1">
      <c r="B117" s="197">
        <v>112.0</v>
      </c>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224"/>
      <c r="Y117" s="224"/>
    </row>
    <row r="118" ht="15.75" customHeight="1">
      <c r="B118" s="197">
        <v>113.0</v>
      </c>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224"/>
      <c r="Y118" s="224"/>
    </row>
    <row r="119" ht="15.75" customHeight="1">
      <c r="B119" s="197">
        <v>114.0</v>
      </c>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224"/>
      <c r="Y119" s="224"/>
    </row>
    <row r="120" ht="15.75" customHeight="1">
      <c r="B120" s="197">
        <v>115.0</v>
      </c>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224"/>
      <c r="Y120" s="224"/>
    </row>
    <row r="121" ht="15.75" customHeight="1">
      <c r="B121" s="197">
        <v>116.0</v>
      </c>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224"/>
      <c r="Y121" s="224"/>
    </row>
    <row r="122" ht="15.75" customHeight="1">
      <c r="B122" s="197">
        <v>117.0</v>
      </c>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224"/>
      <c r="Y122" s="224"/>
    </row>
    <row r="123" ht="15.75" customHeight="1">
      <c r="B123" s="197">
        <v>118.0</v>
      </c>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224"/>
      <c r="Y123" s="224"/>
    </row>
    <row r="124" ht="15.75" customHeight="1">
      <c r="B124" s="197">
        <v>119.0</v>
      </c>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224"/>
      <c r="Y124" s="224"/>
    </row>
    <row r="125" ht="15.75" customHeight="1">
      <c r="B125" s="197">
        <v>120.0</v>
      </c>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224"/>
      <c r="Y125" s="224"/>
    </row>
    <row r="126" ht="15.75" customHeight="1">
      <c r="B126" s="197">
        <v>121.0</v>
      </c>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224"/>
      <c r="Y126" s="224"/>
    </row>
    <row r="127" ht="15.75" customHeight="1">
      <c r="B127" s="197">
        <v>122.0</v>
      </c>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224"/>
      <c r="Y127" s="224"/>
    </row>
    <row r="128" ht="15.75" customHeight="1">
      <c r="B128" s="197">
        <v>123.0</v>
      </c>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224"/>
      <c r="Y128" s="224"/>
    </row>
    <row r="129" ht="15.75" customHeight="1">
      <c r="B129" s="197">
        <v>124.0</v>
      </c>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224"/>
      <c r="Y129" s="224"/>
    </row>
    <row r="130" ht="15.75" customHeight="1">
      <c r="B130" s="197">
        <v>125.0</v>
      </c>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224"/>
      <c r="Y130" s="224"/>
    </row>
    <row r="131" ht="15.75" customHeight="1">
      <c r="B131" s="197">
        <v>126.0</v>
      </c>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224"/>
      <c r="Y131" s="224"/>
    </row>
    <row r="132" ht="15.75" customHeight="1">
      <c r="B132" s="197">
        <v>127.0</v>
      </c>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224"/>
      <c r="Y132" s="224"/>
    </row>
    <row r="133" ht="15.75" customHeight="1">
      <c r="B133" s="197">
        <v>128.0</v>
      </c>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224"/>
      <c r="Y133" s="224"/>
    </row>
    <row r="134" ht="15.75" customHeight="1">
      <c r="B134" s="197">
        <v>129.0</v>
      </c>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224"/>
      <c r="Y134" s="224"/>
    </row>
    <row r="135" ht="15.75" customHeight="1">
      <c r="B135" s="197">
        <v>130.0</v>
      </c>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224"/>
      <c r="Y135" s="224"/>
    </row>
    <row r="136" ht="15.75" customHeight="1">
      <c r="B136" s="197">
        <v>131.0</v>
      </c>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224"/>
      <c r="Y136" s="224"/>
    </row>
    <row r="137" ht="15.75" customHeight="1">
      <c r="B137" s="197">
        <v>132.0</v>
      </c>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224"/>
      <c r="Y137" s="224"/>
    </row>
    <row r="138" ht="15.75" customHeight="1">
      <c r="B138" s="197">
        <v>133.0</v>
      </c>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224"/>
      <c r="Y138" s="224"/>
    </row>
    <row r="139" ht="15.75" customHeight="1">
      <c r="B139" s="197">
        <v>134.0</v>
      </c>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224"/>
      <c r="Y139" s="224"/>
    </row>
    <row r="140" ht="15.75" customHeight="1">
      <c r="B140" s="197">
        <v>135.0</v>
      </c>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224"/>
      <c r="Y140" s="224"/>
    </row>
    <row r="141" ht="15.75" customHeight="1">
      <c r="B141" s="197">
        <v>136.0</v>
      </c>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224"/>
      <c r="Y141" s="224"/>
    </row>
    <row r="142" ht="15.75" customHeight="1">
      <c r="B142" s="197">
        <v>137.0</v>
      </c>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224"/>
      <c r="Y142" s="224"/>
    </row>
    <row r="143" ht="15.75" customHeight="1">
      <c r="B143" s="197">
        <v>138.0</v>
      </c>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224"/>
      <c r="Y143" s="224"/>
    </row>
    <row r="144" ht="15.75" customHeight="1">
      <c r="B144" s="197">
        <v>139.0</v>
      </c>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224"/>
      <c r="Y144" s="224"/>
    </row>
    <row r="145" ht="15.75" customHeight="1">
      <c r="B145" s="197">
        <v>140.0</v>
      </c>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224"/>
      <c r="Y145" s="224"/>
    </row>
    <row r="146" ht="15.75" customHeight="1">
      <c r="B146" s="197">
        <v>141.0</v>
      </c>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224"/>
      <c r="Y146" s="224"/>
    </row>
    <row r="147" ht="15.75" customHeight="1">
      <c r="B147" s="197">
        <v>142.0</v>
      </c>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224"/>
      <c r="Y147" s="224"/>
    </row>
    <row r="148" ht="15.75" customHeight="1">
      <c r="B148" s="197">
        <v>143.0</v>
      </c>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224"/>
      <c r="Y148" s="224"/>
    </row>
    <row r="149" ht="15.75" customHeight="1">
      <c r="B149" s="197">
        <v>144.0</v>
      </c>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224"/>
      <c r="Y149" s="224"/>
    </row>
    <row r="150" ht="15.75" customHeight="1">
      <c r="B150" s="197">
        <v>145.0</v>
      </c>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224"/>
      <c r="Y150" s="224"/>
    </row>
    <row r="151" ht="15.75" customHeight="1">
      <c r="B151" s="197">
        <v>146.0</v>
      </c>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224"/>
      <c r="Y151" s="224"/>
    </row>
    <row r="152" ht="15.75" customHeight="1">
      <c r="B152" s="197">
        <v>147.0</v>
      </c>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224"/>
      <c r="Y152" s="224"/>
    </row>
    <row r="153" ht="15.75" customHeight="1">
      <c r="B153" s="197">
        <v>148.0</v>
      </c>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224"/>
      <c r="Y153" s="224"/>
    </row>
    <row r="154" ht="15.75" customHeight="1">
      <c r="B154" s="197">
        <v>149.0</v>
      </c>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224"/>
      <c r="Y154" s="224"/>
    </row>
    <row r="155" ht="15.75" customHeight="1">
      <c r="B155" s="197">
        <v>150.0</v>
      </c>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224"/>
      <c r="Y155" s="224"/>
    </row>
    <row r="156" ht="15.75" customHeight="1">
      <c r="B156" s="197">
        <v>151.0</v>
      </c>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224"/>
      <c r="Y156" s="224"/>
    </row>
    <row r="157" ht="15.75" customHeight="1">
      <c r="B157" s="197">
        <v>152.0</v>
      </c>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224"/>
      <c r="Y157" s="224"/>
    </row>
    <row r="158" ht="15.75" customHeight="1">
      <c r="B158" s="197">
        <v>153.0</v>
      </c>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224"/>
      <c r="Y158" s="224"/>
    </row>
    <row r="159" ht="15.75" customHeight="1">
      <c r="B159" s="197">
        <v>154.0</v>
      </c>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224"/>
      <c r="Y159" s="224"/>
    </row>
    <row r="160" ht="15.75" customHeight="1">
      <c r="B160" s="197">
        <v>155.0</v>
      </c>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224"/>
      <c r="Y160" s="224"/>
    </row>
    <row r="161" ht="15.75" customHeight="1">
      <c r="B161" s="197">
        <v>156.0</v>
      </c>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224"/>
      <c r="Y161" s="224"/>
    </row>
    <row r="162" ht="15.75" customHeight="1">
      <c r="B162" s="197">
        <v>157.0</v>
      </c>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224"/>
      <c r="Y162" s="224"/>
    </row>
    <row r="163" ht="15.75" customHeight="1">
      <c r="B163" s="197">
        <v>158.0</v>
      </c>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224"/>
      <c r="Y163" s="224"/>
    </row>
    <row r="164" ht="15.75" customHeight="1">
      <c r="B164" s="197">
        <v>159.0</v>
      </c>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224"/>
      <c r="Y164" s="224"/>
    </row>
    <row r="165" ht="15.75" customHeight="1">
      <c r="B165" s="197">
        <v>160.0</v>
      </c>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224"/>
      <c r="Y165" s="224"/>
    </row>
    <row r="166" ht="15.75" customHeight="1">
      <c r="B166" s="197">
        <v>161.0</v>
      </c>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224"/>
      <c r="Y166" s="224"/>
    </row>
    <row r="167" ht="15.75" customHeight="1">
      <c r="B167" s="197">
        <v>162.0</v>
      </c>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224"/>
      <c r="Y167" s="224"/>
    </row>
    <row r="168" ht="15.75" customHeight="1">
      <c r="B168" s="197">
        <v>163.0</v>
      </c>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224"/>
      <c r="Y168" s="224"/>
    </row>
    <row r="169" ht="15.75" customHeight="1">
      <c r="B169" s="197">
        <v>164.0</v>
      </c>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224"/>
      <c r="Y169" s="224"/>
    </row>
    <row r="170" ht="15.75" customHeight="1">
      <c r="B170" s="197">
        <v>165.0</v>
      </c>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224"/>
      <c r="Y170" s="224"/>
    </row>
    <row r="171" ht="15.75" customHeight="1">
      <c r="B171" s="197">
        <v>166.0</v>
      </c>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224"/>
      <c r="Y171" s="224"/>
    </row>
    <row r="172" ht="15.75" customHeight="1">
      <c r="B172" s="197">
        <v>167.0</v>
      </c>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224"/>
      <c r="Y172" s="224"/>
    </row>
    <row r="173" ht="15.75" customHeight="1">
      <c r="B173" s="197">
        <v>168.0</v>
      </c>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224"/>
      <c r="Y173" s="224"/>
    </row>
    <row r="174" ht="15.75" customHeight="1">
      <c r="B174" s="197">
        <v>169.0</v>
      </c>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224"/>
      <c r="Y174" s="224"/>
    </row>
    <row r="175" ht="15.75" customHeight="1">
      <c r="B175" s="197">
        <v>170.0</v>
      </c>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224"/>
      <c r="Y175" s="224"/>
    </row>
    <row r="176" ht="15.75" customHeight="1">
      <c r="B176" s="197">
        <v>171.0</v>
      </c>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224"/>
      <c r="Y176" s="224"/>
    </row>
    <row r="177" ht="15.75" customHeight="1">
      <c r="B177" s="197">
        <v>172.0</v>
      </c>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224"/>
      <c r="Y177" s="224"/>
    </row>
    <row r="178" ht="15.75" customHeight="1">
      <c r="B178" s="197">
        <v>173.0</v>
      </c>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224"/>
      <c r="Y178" s="224"/>
    </row>
    <row r="179" ht="15.75" customHeight="1">
      <c r="B179" s="197">
        <v>174.0</v>
      </c>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224"/>
      <c r="Y179" s="224"/>
    </row>
    <row r="180" ht="15.75" customHeight="1">
      <c r="B180" s="197">
        <v>175.0</v>
      </c>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224"/>
      <c r="Y180" s="224"/>
    </row>
    <row r="181" ht="15.75" customHeight="1">
      <c r="B181" s="197">
        <v>176.0</v>
      </c>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224"/>
      <c r="Y181" s="224"/>
    </row>
    <row r="182" ht="15.75" customHeight="1">
      <c r="B182" s="197">
        <v>177.0</v>
      </c>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224"/>
      <c r="Y182" s="224"/>
    </row>
    <row r="183" ht="15.75" customHeight="1">
      <c r="B183" s="197">
        <v>178.0</v>
      </c>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224"/>
      <c r="Y183" s="224"/>
    </row>
    <row r="184" ht="15.75" customHeight="1">
      <c r="B184" s="197">
        <v>179.0</v>
      </c>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224"/>
      <c r="Y184" s="224"/>
    </row>
    <row r="185" ht="15.75" customHeight="1">
      <c r="B185" s="197">
        <v>180.0</v>
      </c>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224"/>
      <c r="Y185" s="224"/>
    </row>
    <row r="186" ht="15.75" customHeight="1">
      <c r="B186" s="197">
        <v>181.0</v>
      </c>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224"/>
      <c r="Y186" s="224"/>
    </row>
    <row r="187" ht="15.75" customHeight="1">
      <c r="B187" s="197">
        <v>182.0</v>
      </c>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224"/>
      <c r="Y187" s="224"/>
    </row>
    <row r="188" ht="15.75" customHeight="1">
      <c r="B188" s="197">
        <v>183.0</v>
      </c>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224"/>
      <c r="Y188" s="224"/>
    </row>
    <row r="189" ht="15.75" customHeight="1">
      <c r="B189" s="197">
        <v>184.0</v>
      </c>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224"/>
      <c r="Y189" s="224"/>
    </row>
    <row r="190" ht="15.75" customHeight="1">
      <c r="B190" s="197">
        <v>185.0</v>
      </c>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224"/>
      <c r="Y190" s="224"/>
    </row>
    <row r="191" ht="15.75" customHeight="1">
      <c r="B191" s="197">
        <v>186.0</v>
      </c>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224"/>
      <c r="Y191" s="224"/>
    </row>
    <row r="192" ht="15.75" customHeight="1">
      <c r="B192" s="197">
        <v>187.0</v>
      </c>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224"/>
      <c r="Y192" s="224"/>
    </row>
    <row r="193" ht="15.75" customHeight="1">
      <c r="B193" s="197">
        <v>188.0</v>
      </c>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224"/>
      <c r="Y193" s="224"/>
    </row>
    <row r="194" ht="15.75" customHeight="1">
      <c r="B194" s="197">
        <v>189.0</v>
      </c>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224"/>
      <c r="Y194" s="224"/>
    </row>
    <row r="195" ht="15.75" customHeight="1">
      <c r="B195" s="197">
        <v>190.0</v>
      </c>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224"/>
      <c r="Y195" s="224"/>
    </row>
    <row r="196" ht="15.75" customHeight="1">
      <c r="B196" s="197">
        <v>191.0</v>
      </c>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224"/>
      <c r="Y196" s="224"/>
    </row>
    <row r="197" ht="15.75" customHeight="1">
      <c r="B197" s="197">
        <v>192.0</v>
      </c>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224"/>
      <c r="Y197" s="224"/>
    </row>
    <row r="198" ht="15.75" customHeight="1">
      <c r="B198" s="197">
        <v>193.0</v>
      </c>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224"/>
      <c r="Y198" s="224"/>
    </row>
    <row r="199" ht="15.75" customHeight="1">
      <c r="B199" s="197">
        <v>194.0</v>
      </c>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224"/>
      <c r="Y199" s="224"/>
    </row>
    <row r="200" ht="15.75" customHeight="1">
      <c r="B200" s="197">
        <v>195.0</v>
      </c>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224"/>
      <c r="Y200" s="224"/>
    </row>
    <row r="201" ht="15.75" customHeight="1">
      <c r="B201" s="197">
        <v>196.0</v>
      </c>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224"/>
      <c r="Y201" s="224"/>
    </row>
    <row r="202" ht="15.75" customHeight="1">
      <c r="B202" s="197">
        <v>197.0</v>
      </c>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224"/>
      <c r="Y202" s="224"/>
    </row>
    <row r="203" ht="15.75" customHeight="1">
      <c r="B203" s="197">
        <v>198.0</v>
      </c>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224"/>
      <c r="Y203" s="224"/>
    </row>
    <row r="204" ht="15.75" customHeight="1">
      <c r="B204" s="197">
        <v>199.0</v>
      </c>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224"/>
      <c r="Y204" s="224"/>
    </row>
    <row r="205" ht="15.75" customHeight="1">
      <c r="B205" s="197">
        <v>200.0</v>
      </c>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224"/>
      <c r="Y205" s="224"/>
    </row>
    <row r="206" ht="15.75" customHeight="1">
      <c r="B206" s="197">
        <v>201.0</v>
      </c>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224"/>
      <c r="Y206" s="224"/>
    </row>
    <row r="207" ht="15.75" customHeight="1">
      <c r="B207" s="197">
        <v>202.0</v>
      </c>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224"/>
      <c r="Y207" s="224"/>
    </row>
    <row r="208" ht="15.75" customHeight="1">
      <c r="B208" s="197">
        <v>203.0</v>
      </c>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224"/>
      <c r="Y208" s="224"/>
    </row>
    <row r="209" ht="15.75" customHeight="1">
      <c r="B209" s="197">
        <v>204.0</v>
      </c>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224"/>
      <c r="Y209" s="224"/>
    </row>
    <row r="210" ht="15.75" customHeight="1">
      <c r="B210" s="197">
        <v>205.0</v>
      </c>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224"/>
      <c r="Y210" s="224"/>
    </row>
    <row r="211" ht="15.75" customHeight="1">
      <c r="B211" s="197">
        <v>206.0</v>
      </c>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224"/>
      <c r="Y211" s="224"/>
    </row>
    <row r="212" ht="15.75" customHeight="1">
      <c r="B212" s="197">
        <v>207.0</v>
      </c>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224"/>
      <c r="Y212" s="224"/>
    </row>
    <row r="213" ht="15.75" customHeight="1">
      <c r="B213" s="197">
        <v>208.0</v>
      </c>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224"/>
      <c r="Y213" s="224"/>
    </row>
    <row r="214" ht="15.75" customHeight="1">
      <c r="B214" s="197">
        <v>209.0</v>
      </c>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224"/>
      <c r="Y214" s="224"/>
    </row>
    <row r="215" ht="15.75" customHeight="1">
      <c r="B215" s="197">
        <v>210.0</v>
      </c>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224"/>
      <c r="Y215" s="224"/>
    </row>
    <row r="216" ht="15.75" customHeight="1">
      <c r="B216" s="197">
        <v>211.0</v>
      </c>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224"/>
      <c r="Y216" s="224"/>
    </row>
    <row r="217" ht="15.75" customHeight="1">
      <c r="B217" s="197">
        <v>212.0</v>
      </c>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224"/>
      <c r="Y217" s="224"/>
    </row>
    <row r="218" ht="15.75" customHeight="1">
      <c r="B218" s="197">
        <v>213.0</v>
      </c>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224"/>
      <c r="Y218" s="224"/>
    </row>
    <row r="219" ht="15.75" customHeight="1">
      <c r="B219" s="197">
        <v>214.0</v>
      </c>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224"/>
      <c r="Y219" s="224"/>
    </row>
    <row r="220" ht="15.75" customHeight="1">
      <c r="B220" s="197">
        <v>215.0</v>
      </c>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224"/>
      <c r="Y220" s="224"/>
    </row>
    <row r="221" ht="15.75" customHeight="1">
      <c r="B221" s="197">
        <v>216.0</v>
      </c>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224"/>
      <c r="Y221" s="224"/>
    </row>
    <row r="222" ht="15.75" customHeight="1">
      <c r="B222" s="197">
        <v>217.0</v>
      </c>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224"/>
      <c r="Y222" s="224"/>
    </row>
    <row r="223" ht="15.75" customHeight="1">
      <c r="B223" s="197">
        <v>218.0</v>
      </c>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224"/>
      <c r="Y223" s="224"/>
    </row>
    <row r="224" ht="15.75" customHeight="1">
      <c r="B224" s="197">
        <v>219.0</v>
      </c>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224"/>
      <c r="Y224" s="224"/>
    </row>
    <row r="225" ht="15.75" customHeight="1">
      <c r="B225" s="197">
        <v>220.0</v>
      </c>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224"/>
      <c r="Y225" s="224"/>
    </row>
    <row r="226" ht="15.75" customHeight="1">
      <c r="B226" s="197">
        <v>221.0</v>
      </c>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224"/>
      <c r="Y226" s="224"/>
    </row>
    <row r="227" ht="15.75" customHeight="1">
      <c r="B227" s="197">
        <v>222.0</v>
      </c>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224"/>
      <c r="Y227" s="224"/>
    </row>
    <row r="228" ht="15.75" customHeight="1">
      <c r="B228" s="197">
        <v>223.0</v>
      </c>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224"/>
      <c r="Y228" s="224"/>
    </row>
    <row r="229" ht="15.75" customHeight="1">
      <c r="B229" s="197">
        <v>224.0</v>
      </c>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224"/>
      <c r="Y229" s="224"/>
    </row>
    <row r="230" ht="15.75" customHeight="1">
      <c r="B230" s="197">
        <v>225.0</v>
      </c>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224"/>
      <c r="Y230" s="224"/>
    </row>
    <row r="231" ht="15.75" customHeight="1">
      <c r="B231" s="197">
        <v>226.0</v>
      </c>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224"/>
      <c r="Y231" s="224"/>
    </row>
    <row r="232" ht="15.75" customHeight="1">
      <c r="B232" s="197">
        <v>227.0</v>
      </c>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224"/>
      <c r="Y232" s="224"/>
    </row>
    <row r="233" ht="15.75" customHeight="1">
      <c r="B233" s="197">
        <v>228.0</v>
      </c>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224"/>
      <c r="Y233" s="224"/>
    </row>
    <row r="234" ht="15.75" customHeight="1">
      <c r="B234" s="197">
        <v>229.0</v>
      </c>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224"/>
      <c r="Y234" s="224"/>
    </row>
    <row r="235" ht="15.75" customHeight="1">
      <c r="B235" s="197">
        <v>230.0</v>
      </c>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224"/>
      <c r="Y235" s="224"/>
    </row>
    <row r="236" ht="15.75" customHeight="1">
      <c r="B236" s="197">
        <v>231.0</v>
      </c>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224"/>
      <c r="Y236" s="224"/>
    </row>
    <row r="237" ht="15.75" customHeight="1">
      <c r="B237" s="197">
        <v>232.0</v>
      </c>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224"/>
      <c r="Y237" s="224"/>
    </row>
    <row r="238" ht="15.75" customHeight="1">
      <c r="B238" s="197">
        <v>233.0</v>
      </c>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224"/>
      <c r="Y238" s="224"/>
    </row>
    <row r="239" ht="15.75" customHeight="1">
      <c r="B239" s="197">
        <v>234.0</v>
      </c>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224"/>
      <c r="Y239" s="224"/>
    </row>
    <row r="240" ht="15.75" customHeight="1">
      <c r="B240" s="197">
        <v>235.0</v>
      </c>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224"/>
      <c r="Y240" s="224"/>
    </row>
    <row r="241" ht="15.75" customHeight="1">
      <c r="B241" s="197">
        <v>236.0</v>
      </c>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224"/>
      <c r="Y241" s="224"/>
    </row>
    <row r="242" ht="15.75" customHeight="1">
      <c r="B242" s="197">
        <v>237.0</v>
      </c>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224"/>
      <c r="Y242" s="224"/>
    </row>
    <row r="243" ht="15.75" customHeight="1">
      <c r="B243" s="197">
        <v>238.0</v>
      </c>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224"/>
      <c r="Y243" s="224"/>
    </row>
    <row r="244" ht="15.75" customHeight="1">
      <c r="B244" s="197">
        <v>239.0</v>
      </c>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224"/>
      <c r="Y244" s="224"/>
    </row>
    <row r="245" ht="15.75" customHeight="1">
      <c r="B245" s="197">
        <v>240.0</v>
      </c>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224"/>
      <c r="Y245" s="224"/>
    </row>
    <row r="246" ht="15.75" customHeight="1">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224"/>
      <c r="Y246" s="224"/>
    </row>
    <row r="247" ht="15.75" customHeight="1">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224"/>
      <c r="Y247" s="224"/>
    </row>
    <row r="248" ht="15.75" customHeight="1">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224"/>
      <c r="Y248" s="224"/>
    </row>
    <row r="249" ht="15.75" customHeight="1">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224"/>
      <c r="Y249" s="224"/>
    </row>
    <row r="250" ht="15.75" customHeight="1">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224"/>
      <c r="Y250" s="224"/>
    </row>
    <row r="251" ht="15.75" customHeight="1">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224"/>
      <c r="Y251" s="224"/>
    </row>
    <row r="252" ht="15.75" customHeight="1">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224"/>
      <c r="Y252" s="224"/>
    </row>
    <row r="253" ht="15.75" customHeight="1">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224"/>
      <c r="Y253" s="224"/>
    </row>
    <row r="254" ht="15.75" customHeight="1">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224"/>
      <c r="Y254" s="224"/>
    </row>
    <row r="255" ht="15.75" customHeight="1">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224"/>
      <c r="Y255" s="224"/>
    </row>
    <row r="256" ht="15.75" customHeight="1">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224"/>
      <c r="Y256" s="224"/>
    </row>
    <row r="257" ht="15.75" customHeight="1">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224"/>
      <c r="Y257" s="224"/>
    </row>
    <row r="258" ht="15.75" customHeight="1">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224"/>
      <c r="Y258" s="224"/>
    </row>
    <row r="259" ht="15.75" customHeight="1">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224"/>
      <c r="Y259" s="224"/>
    </row>
    <row r="260" ht="15.75" customHeight="1">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224"/>
      <c r="Y260" s="224"/>
    </row>
    <row r="261" ht="15.75" customHeight="1">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224"/>
      <c r="Y261" s="224"/>
    </row>
    <row r="262" ht="15.75" customHeight="1">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224"/>
      <c r="Y262" s="224"/>
    </row>
    <row r="263" ht="15.75" customHeight="1">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224"/>
      <c r="Y263" s="224"/>
    </row>
    <row r="264" ht="15.75" customHeight="1">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224"/>
      <c r="Y264" s="224"/>
    </row>
    <row r="265" ht="15.75" customHeight="1">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224"/>
      <c r="Y265" s="224"/>
    </row>
    <row r="266" ht="15.75" customHeight="1">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224"/>
      <c r="Y266" s="224"/>
    </row>
    <row r="267" ht="15.75" customHeight="1">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224"/>
      <c r="Y267" s="224"/>
    </row>
    <row r="268" ht="15.75" customHeight="1">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224"/>
      <c r="Y268" s="224"/>
    </row>
    <row r="269" ht="15.75" customHeight="1">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224"/>
      <c r="Y269" s="224"/>
    </row>
    <row r="270" ht="15.75" customHeight="1">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224"/>
      <c r="Y270" s="224"/>
    </row>
    <row r="271" ht="15.75" customHeight="1">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224"/>
      <c r="Y271" s="224"/>
    </row>
    <row r="272" ht="15.75" customHeight="1">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224"/>
      <c r="Y272" s="224"/>
    </row>
    <row r="273" ht="15.75" customHeight="1">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224"/>
      <c r="Y273" s="224"/>
    </row>
    <row r="274" ht="15.75" customHeight="1">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224"/>
      <c r="Y274" s="224"/>
    </row>
    <row r="275" ht="15.75" customHeight="1">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224"/>
      <c r="Y275" s="224"/>
    </row>
    <row r="276" ht="15.75" customHeight="1">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224"/>
      <c r="Y276" s="224"/>
    </row>
    <row r="277" ht="15.75" customHeight="1">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224"/>
      <c r="Y277" s="224"/>
    </row>
    <row r="278" ht="15.75" customHeight="1">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224"/>
      <c r="Y278" s="224"/>
    </row>
    <row r="279" ht="15.75" customHeight="1">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224"/>
      <c r="Y279" s="224"/>
    </row>
    <row r="280" ht="15.75" customHeight="1">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224"/>
      <c r="Y280" s="224"/>
    </row>
    <row r="281" ht="15.75" customHeight="1">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224"/>
      <c r="Y281" s="224"/>
    </row>
    <row r="282" ht="15.75" customHeight="1">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224"/>
      <c r="Y282" s="224"/>
    </row>
    <row r="283" ht="15.75" customHeight="1">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224"/>
      <c r="Y283" s="224"/>
    </row>
    <row r="284" ht="15.75" customHeight="1">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224"/>
      <c r="Y284" s="224"/>
    </row>
    <row r="285" ht="15.75" customHeight="1">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224"/>
      <c r="Y285" s="224"/>
    </row>
    <row r="286" ht="15.75" customHeight="1">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224"/>
      <c r="Y286" s="224"/>
    </row>
    <row r="287" ht="15.75" customHeight="1">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224"/>
      <c r="Y287" s="224"/>
    </row>
    <row r="288" ht="15.75" customHeight="1">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224"/>
      <c r="Y288" s="224"/>
    </row>
    <row r="289" ht="15.75" customHeight="1">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224"/>
      <c r="Y289" s="224"/>
    </row>
    <row r="290" ht="15.75" customHeight="1">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224"/>
      <c r="Y290" s="224"/>
    </row>
    <row r="291" ht="15.75" customHeight="1">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224"/>
      <c r="Y291" s="224"/>
    </row>
    <row r="292" ht="15.75" customHeight="1">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224"/>
      <c r="Y292" s="224"/>
    </row>
    <row r="293" ht="15.75" customHeight="1">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224"/>
      <c r="Y293" s="224"/>
    </row>
    <row r="294" ht="15.75" customHeight="1">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224"/>
      <c r="Y294" s="224"/>
    </row>
    <row r="295" ht="15.75" customHeight="1">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224"/>
      <c r="Y295" s="224"/>
    </row>
    <row r="296" ht="15.75" customHeight="1">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224"/>
      <c r="Y296" s="224"/>
    </row>
    <row r="297" ht="15.75" customHeight="1">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224"/>
      <c r="Y297" s="224"/>
    </row>
    <row r="298" ht="15.75" customHeight="1">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224"/>
      <c r="Y298" s="224"/>
    </row>
    <row r="299" ht="15.75" customHeight="1">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224"/>
      <c r="Y299" s="224"/>
    </row>
    <row r="300" ht="15.75" customHeight="1">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224"/>
      <c r="Y300" s="224"/>
    </row>
    <row r="301" ht="15.75" customHeight="1">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224"/>
      <c r="Y301" s="224"/>
    </row>
    <row r="302" ht="15.75" customHeight="1">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224"/>
      <c r="Y302" s="224"/>
    </row>
    <row r="303" ht="15.75" customHeight="1">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224"/>
      <c r="Y303" s="224"/>
    </row>
    <row r="304" ht="15.75" customHeight="1">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224"/>
      <c r="Y304" s="224"/>
    </row>
    <row r="305" ht="15.75" customHeight="1">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224"/>
      <c r="Y305" s="224"/>
    </row>
    <row r="306" ht="15.75" customHeight="1">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224"/>
      <c r="Y306" s="224"/>
    </row>
    <row r="307" ht="15.75" customHeight="1">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224"/>
      <c r="Y307" s="224"/>
    </row>
    <row r="308" ht="15.75" customHeight="1">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224"/>
      <c r="Y308" s="224"/>
    </row>
    <row r="309" ht="15.75" customHeight="1">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224"/>
      <c r="Y309" s="224"/>
    </row>
    <row r="310" ht="15.75" customHeight="1">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224"/>
      <c r="Y310" s="224"/>
    </row>
    <row r="311" ht="15.75" customHeight="1">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224"/>
      <c r="Y311" s="224"/>
    </row>
    <row r="312" ht="15.75" customHeight="1">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224"/>
      <c r="Y312" s="224"/>
    </row>
    <row r="313" ht="15.75" customHeight="1">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224"/>
      <c r="Y313" s="224"/>
    </row>
    <row r="314" ht="15.75" customHeight="1">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224"/>
      <c r="Y314" s="224"/>
    </row>
    <row r="315" ht="15.75" customHeight="1">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224"/>
      <c r="Y315" s="224"/>
    </row>
    <row r="316" ht="15.75" customHeight="1">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224"/>
      <c r="Y316" s="224"/>
    </row>
    <row r="317" ht="15.75" customHeight="1">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224"/>
      <c r="Y317" s="224"/>
    </row>
    <row r="318" ht="15.75" customHeight="1">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224"/>
      <c r="Y318" s="224"/>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4:V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2022-12-02T06:45:46Z</dcterms:created>
  <dc:creator>JOSE CARLOS BUSTAMANTE GUEVARA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b807a5f760a344f1812ff522fbb3293d</vt:lpwstr>
  </property>
</Properties>
</file>